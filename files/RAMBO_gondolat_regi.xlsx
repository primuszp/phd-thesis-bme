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a9013d9089981/Kutatás/doktori/files/"/>
    </mc:Choice>
  </mc:AlternateContent>
  <xr:revisionPtr revIDLastSave="9795" documentId="13_ncr:1_{6AE10B4C-81E5-644B-BDEB-C325651B441D}" xr6:coauthVersionLast="47" xr6:coauthVersionMax="47" xr10:uidLastSave="{692ACD83-F0CB-4260-AF9A-F363511C3CC6}"/>
  <bookViews>
    <workbookView xWindow="-120" yWindow="-120" windowWidth="29040" windowHeight="15840" xr2:uid="{E5368537-B00D-433B-8135-F67FF44FDC5F}"/>
  </bookViews>
  <sheets>
    <sheet name="AG1" sheetId="1" r:id="rId1"/>
    <sheet name="AG2" sheetId="2" r:id="rId2"/>
    <sheet name="BG1" sheetId="3" r:id="rId3"/>
    <sheet name="BG2" sheetId="4" r:id="rId4"/>
    <sheet name="CG1" sheetId="5" r:id="rId5"/>
    <sheet name="CG2" sheetId="6" r:id="rId6"/>
    <sheet name="Summary" sheetId="7" r:id="rId7"/>
    <sheet name="Munka1" sheetId="8" r:id="rId8"/>
  </sheets>
  <definedNames>
    <definedName name="solver_adj" localSheetId="0" hidden="1">'AG1'!$K$3:$K$5,'AG1'!$K$7:$K$8</definedName>
    <definedName name="solver_adj" localSheetId="1" hidden="1">'AG2'!$R$3</definedName>
    <definedName name="solver_adj" localSheetId="2" hidden="1">'BG1'!$R$20</definedName>
    <definedName name="solver_adj" localSheetId="3" hidden="1">'BG2'!$R$20</definedName>
    <definedName name="solver_adj" localSheetId="4" hidden="1">'CG1'!$R$8</definedName>
    <definedName name="solver_adj" localSheetId="5" hidden="1">'CG2'!$R$4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'AG1'!$K$4</definedName>
    <definedName name="solver_lhs1" localSheetId="1" hidden="1">'AG2'!$I$4</definedName>
    <definedName name="solver_lhs1" localSheetId="2" hidden="1">'BG1'!$I$4</definedName>
    <definedName name="solver_lhs2" localSheetId="0" hidden="1">'AG1'!$K$5</definedName>
    <definedName name="solver_lin" localSheetId="0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1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'AG1'!$P$22</definedName>
    <definedName name="solver_opt" localSheetId="1" hidden="1">'AG2'!$T$3</definedName>
    <definedName name="solver_opt" localSheetId="2" hidden="1">'BG1'!$T$20</definedName>
    <definedName name="solver_opt" localSheetId="3" hidden="1">'BG2'!$T$20</definedName>
    <definedName name="solver_opt" localSheetId="4" hidden="1">'CG1'!$T$8</definedName>
    <definedName name="solver_opt" localSheetId="5" hidden="1">'CG2'!$T$4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0" hidden="1">3</definedName>
    <definedName name="solver_rel1" localSheetId="1" hidden="1">1</definedName>
    <definedName name="solver_rel1" localSheetId="2" hidden="1">3</definedName>
    <definedName name="solver_rel2" localSheetId="0" hidden="1">1</definedName>
    <definedName name="solver_rhs1" localSheetId="0" hidden="1">'AG1'!$L$4</definedName>
    <definedName name="solver_rhs1" localSheetId="1" hidden="1">'AG2'!$J$4</definedName>
    <definedName name="solver_rhs1" localSheetId="2" hidden="1">'BG1'!$J$4</definedName>
    <definedName name="solver_rhs2" localSheetId="0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val" localSheetId="0" hidden="1">0</definedName>
    <definedName name="solver_val" localSheetId="1" hidden="1">0.01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1" hidden="1">3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5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2" l="1"/>
  <c r="L5" i="3"/>
  <c r="AH5" i="1"/>
  <c r="I3" i="1" l="1"/>
  <c r="I4" i="1"/>
  <c r="I5" i="1"/>
  <c r="I6" i="1"/>
  <c r="I7" i="1"/>
  <c r="I13" i="1"/>
  <c r="I14" i="1"/>
  <c r="I15" i="1"/>
  <c r="I16" i="1"/>
  <c r="I17" i="1"/>
  <c r="I18" i="1"/>
  <c r="I19" i="1"/>
  <c r="H3" i="1"/>
  <c r="F3" i="1"/>
  <c r="H4" i="1"/>
  <c r="H5" i="1"/>
  <c r="H6" i="1"/>
  <c r="H7" i="1"/>
  <c r="H8" i="1"/>
  <c r="I8" i="1" s="1"/>
  <c r="H9" i="1"/>
  <c r="I9" i="1" s="1"/>
  <c r="H10" i="1"/>
  <c r="I10" i="1" s="1"/>
  <c r="H11" i="1"/>
  <c r="I11" i="1" s="1"/>
  <c r="H12" i="1"/>
  <c r="I12" i="1" s="1"/>
  <c r="H13" i="1"/>
  <c r="H14" i="1"/>
  <c r="H15" i="1"/>
  <c r="H16" i="1"/>
  <c r="H17" i="1"/>
  <c r="H18" i="1"/>
  <c r="H19" i="1"/>
  <c r="H20" i="1"/>
  <c r="I20" i="1" s="1"/>
  <c r="O3" i="1"/>
  <c r="P3" i="1" s="1"/>
  <c r="N3" i="1"/>
  <c r="G6" i="1"/>
  <c r="N4" i="1"/>
  <c r="O4" i="1" s="1"/>
  <c r="P4" i="1" s="1"/>
  <c r="N5" i="1"/>
  <c r="O5" i="1" s="1"/>
  <c r="P5" i="1" s="1"/>
  <c r="N6" i="1"/>
  <c r="O6" i="1" s="1"/>
  <c r="P6" i="1" s="1"/>
  <c r="N7" i="1"/>
  <c r="O7" i="1" s="1"/>
  <c r="P7" i="1" s="1"/>
  <c r="N8" i="1"/>
  <c r="O8" i="1" s="1"/>
  <c r="P8" i="1" s="1"/>
  <c r="N9" i="1"/>
  <c r="O9" i="1" s="1"/>
  <c r="P9" i="1" s="1"/>
  <c r="N10" i="1"/>
  <c r="O10" i="1" s="1"/>
  <c r="P10" i="1" s="1"/>
  <c r="N11" i="1"/>
  <c r="O11" i="1" s="1"/>
  <c r="P11" i="1" s="1"/>
  <c r="N12" i="1"/>
  <c r="O12" i="1" s="1"/>
  <c r="P12" i="1" s="1"/>
  <c r="N13" i="1"/>
  <c r="O13" i="1" s="1"/>
  <c r="P13" i="1" s="1"/>
  <c r="N14" i="1"/>
  <c r="O14" i="1" s="1"/>
  <c r="P14" i="1" s="1"/>
  <c r="N15" i="1"/>
  <c r="O15" i="1" s="1"/>
  <c r="P15" i="1" s="1"/>
  <c r="N16" i="1"/>
  <c r="O16" i="1" s="1"/>
  <c r="P16" i="1" s="1"/>
  <c r="N17" i="1"/>
  <c r="O17" i="1" s="1"/>
  <c r="P17" i="1" s="1"/>
  <c r="N18" i="1"/>
  <c r="O18" i="1" s="1"/>
  <c r="P18" i="1" s="1"/>
  <c r="N19" i="1"/>
  <c r="O19" i="1" s="1"/>
  <c r="P19" i="1" s="1"/>
  <c r="N20" i="1"/>
  <c r="O20" i="1" s="1"/>
  <c r="P20" i="1" s="1"/>
  <c r="F4" i="1"/>
  <c r="G4" i="1" s="1"/>
  <c r="F5" i="1"/>
  <c r="G5" i="1" s="1"/>
  <c r="F6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G3" i="1"/>
  <c r="R2" i="1" l="1"/>
  <c r="U3" i="1"/>
  <c r="V3" i="1" s="1"/>
  <c r="AB3" i="1"/>
  <c r="AB9" i="1"/>
  <c r="AB4" i="1"/>
  <c r="AB5" i="1"/>
  <c r="AB6" i="1"/>
  <c r="AB7" i="1"/>
  <c r="AB8" i="1"/>
  <c r="AB10" i="1"/>
  <c r="AB11" i="1"/>
  <c r="AB12" i="1"/>
  <c r="AB13" i="1"/>
  <c r="AB14" i="1"/>
  <c r="AB15" i="1"/>
  <c r="AB16" i="1"/>
  <c r="AB17" i="1"/>
  <c r="AB18" i="1"/>
  <c r="AB19" i="1"/>
  <c r="AB20" i="1"/>
  <c r="AA3" i="1" l="1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13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Q58" i="7"/>
  <c r="Q59" i="7"/>
  <c r="Q60" i="7"/>
  <c r="Q61" i="7"/>
  <c r="Q62" i="7"/>
  <c r="Q63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13" i="7"/>
  <c r="K3" i="7" l="1"/>
  <c r="S4" i="7"/>
  <c r="S5" i="7"/>
  <c r="S6" i="7"/>
  <c r="S7" i="7"/>
  <c r="S8" i="7"/>
  <c r="S9" i="7"/>
  <c r="R4" i="7"/>
  <c r="R5" i="7"/>
  <c r="R6" i="7"/>
  <c r="R7" i="7"/>
  <c r="R8" i="7"/>
  <c r="R9" i="7"/>
  <c r="R3" i="7"/>
  <c r="Q4" i="7"/>
  <c r="Q5" i="7"/>
  <c r="Q6" i="7"/>
  <c r="Q7" i="7"/>
  <c r="Q8" i="7"/>
  <c r="Q9" i="7"/>
  <c r="Q3" i="7"/>
  <c r="P4" i="7"/>
  <c r="P5" i="7"/>
  <c r="P6" i="7"/>
  <c r="P7" i="7"/>
  <c r="P8" i="7"/>
  <c r="P9" i="7"/>
  <c r="P3" i="7"/>
  <c r="O4" i="7"/>
  <c r="O5" i="7"/>
  <c r="O6" i="7"/>
  <c r="O7" i="7"/>
  <c r="O8" i="7"/>
  <c r="O9" i="7"/>
  <c r="O3" i="7"/>
  <c r="N4" i="7"/>
  <c r="N5" i="7"/>
  <c r="N6" i="7"/>
  <c r="N7" i="7"/>
  <c r="N8" i="7"/>
  <c r="N9" i="7"/>
  <c r="N3" i="7"/>
  <c r="S3" i="7"/>
  <c r="K4" i="7" l="1"/>
  <c r="K5" i="7"/>
  <c r="K6" i="7"/>
  <c r="K7" i="7"/>
  <c r="K8" i="7"/>
  <c r="S20" i="6" l="1"/>
  <c r="T20" i="6" s="1"/>
  <c r="S19" i="6"/>
  <c r="T19" i="6" s="1"/>
  <c r="S18" i="6"/>
  <c r="T18" i="6" s="1"/>
  <c r="S17" i="6"/>
  <c r="T17" i="6" s="1"/>
  <c r="S16" i="6"/>
  <c r="T16" i="6" s="1"/>
  <c r="S15" i="6"/>
  <c r="T15" i="6" s="1"/>
  <c r="S14" i="6"/>
  <c r="T14" i="6" s="1"/>
  <c r="S13" i="6"/>
  <c r="T13" i="6" s="1"/>
  <c r="S12" i="6"/>
  <c r="T12" i="6" s="1"/>
  <c r="S11" i="6"/>
  <c r="T11" i="6" s="1"/>
  <c r="S10" i="6"/>
  <c r="T10" i="6" s="1"/>
  <c r="S9" i="6"/>
  <c r="T9" i="6" s="1"/>
  <c r="S8" i="6"/>
  <c r="T8" i="6" s="1"/>
  <c r="S7" i="6"/>
  <c r="T7" i="6" s="1"/>
  <c r="S6" i="6"/>
  <c r="T6" i="6" s="1"/>
  <c r="S5" i="6"/>
  <c r="T5" i="6" s="1"/>
  <c r="S4" i="6"/>
  <c r="T4" i="6" s="1"/>
  <c r="S3" i="6"/>
  <c r="T3" i="6" s="1"/>
  <c r="V2" i="6"/>
  <c r="S20" i="5"/>
  <c r="T20" i="5" s="1"/>
  <c r="S19" i="5"/>
  <c r="T19" i="5" s="1"/>
  <c r="S18" i="5"/>
  <c r="T18" i="5" s="1"/>
  <c r="S17" i="5"/>
  <c r="T17" i="5" s="1"/>
  <c r="S16" i="5"/>
  <c r="T16" i="5" s="1"/>
  <c r="S15" i="5"/>
  <c r="T15" i="5" s="1"/>
  <c r="S14" i="5"/>
  <c r="T14" i="5" s="1"/>
  <c r="S13" i="5"/>
  <c r="T13" i="5" s="1"/>
  <c r="S12" i="5"/>
  <c r="T12" i="5" s="1"/>
  <c r="S11" i="5"/>
  <c r="T11" i="5" s="1"/>
  <c r="S10" i="5"/>
  <c r="T10" i="5" s="1"/>
  <c r="S9" i="5"/>
  <c r="T9" i="5" s="1"/>
  <c r="S8" i="5"/>
  <c r="T8" i="5" s="1"/>
  <c r="S7" i="5"/>
  <c r="T7" i="5" s="1"/>
  <c r="S6" i="5"/>
  <c r="T6" i="5" s="1"/>
  <c r="S5" i="5"/>
  <c r="T5" i="5" s="1"/>
  <c r="S4" i="5"/>
  <c r="T4" i="5" s="1"/>
  <c r="S3" i="5"/>
  <c r="T3" i="5" s="1"/>
  <c r="V2" i="5"/>
  <c r="S20" i="4"/>
  <c r="T20" i="4" s="1"/>
  <c r="S19" i="4"/>
  <c r="T19" i="4" s="1"/>
  <c r="S18" i="4"/>
  <c r="T18" i="4" s="1"/>
  <c r="S17" i="4"/>
  <c r="T17" i="4" s="1"/>
  <c r="S16" i="4"/>
  <c r="T16" i="4" s="1"/>
  <c r="S15" i="4"/>
  <c r="T15" i="4" s="1"/>
  <c r="S14" i="4"/>
  <c r="T14" i="4" s="1"/>
  <c r="S13" i="4"/>
  <c r="T13" i="4" s="1"/>
  <c r="S12" i="4"/>
  <c r="T12" i="4" s="1"/>
  <c r="S11" i="4"/>
  <c r="T11" i="4" s="1"/>
  <c r="S10" i="4"/>
  <c r="T10" i="4" s="1"/>
  <c r="S9" i="4"/>
  <c r="T9" i="4" s="1"/>
  <c r="S8" i="4"/>
  <c r="T8" i="4" s="1"/>
  <c r="S7" i="4"/>
  <c r="T7" i="4" s="1"/>
  <c r="S6" i="4"/>
  <c r="T6" i="4" s="1"/>
  <c r="S5" i="4"/>
  <c r="T5" i="4" s="1"/>
  <c r="S4" i="4"/>
  <c r="T4" i="4" s="1"/>
  <c r="S3" i="4"/>
  <c r="T3" i="4" s="1"/>
  <c r="V2" i="4"/>
  <c r="V2" i="3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S10" i="3"/>
  <c r="T10" i="3" s="1"/>
  <c r="S9" i="3"/>
  <c r="T9" i="3" s="1"/>
  <c r="S8" i="3"/>
  <c r="T8" i="3" s="1"/>
  <c r="S7" i="3"/>
  <c r="T7" i="3" s="1"/>
  <c r="S6" i="3"/>
  <c r="T6" i="3" s="1"/>
  <c r="S5" i="3"/>
  <c r="T5" i="3" s="1"/>
  <c r="S4" i="3"/>
  <c r="T4" i="3" s="1"/>
  <c r="S3" i="3"/>
  <c r="T3" i="3" s="1"/>
  <c r="L20" i="6" l="1"/>
  <c r="M20" i="6" s="1"/>
  <c r="N20" i="6" s="1"/>
  <c r="L19" i="6"/>
  <c r="M19" i="6" s="1"/>
  <c r="N19" i="6" s="1"/>
  <c r="L18" i="6"/>
  <c r="M18" i="6" s="1"/>
  <c r="N18" i="6" s="1"/>
  <c r="L17" i="6"/>
  <c r="M17" i="6" s="1"/>
  <c r="N17" i="6" s="1"/>
  <c r="L16" i="6"/>
  <c r="M16" i="6" s="1"/>
  <c r="N16" i="6" s="1"/>
  <c r="L15" i="6"/>
  <c r="M15" i="6" s="1"/>
  <c r="N15" i="6" s="1"/>
  <c r="L14" i="6"/>
  <c r="M14" i="6" s="1"/>
  <c r="N14" i="6" s="1"/>
  <c r="L13" i="6"/>
  <c r="M13" i="6" s="1"/>
  <c r="N13" i="6" s="1"/>
  <c r="L12" i="6"/>
  <c r="M12" i="6" s="1"/>
  <c r="N12" i="6" s="1"/>
  <c r="L11" i="6"/>
  <c r="M11" i="6" s="1"/>
  <c r="N11" i="6" s="1"/>
  <c r="L10" i="6"/>
  <c r="M10" i="6" s="1"/>
  <c r="N10" i="6" s="1"/>
  <c r="L9" i="6"/>
  <c r="M9" i="6" s="1"/>
  <c r="N9" i="6" s="1"/>
  <c r="L8" i="6"/>
  <c r="M8" i="6" s="1"/>
  <c r="N8" i="6" s="1"/>
  <c r="L7" i="6"/>
  <c r="M7" i="6" s="1"/>
  <c r="N7" i="6" s="1"/>
  <c r="L6" i="6"/>
  <c r="M6" i="6" s="1"/>
  <c r="N6" i="6" s="1"/>
  <c r="L5" i="6"/>
  <c r="L4" i="6"/>
  <c r="M4" i="6" s="1"/>
  <c r="J4" i="6"/>
  <c r="L3" i="6"/>
  <c r="M3" i="6" s="1"/>
  <c r="N3" i="6" s="1"/>
  <c r="L20" i="5"/>
  <c r="M20" i="5" s="1"/>
  <c r="N20" i="5" s="1"/>
  <c r="L19" i="5"/>
  <c r="M19" i="5" s="1"/>
  <c r="N19" i="5" s="1"/>
  <c r="L18" i="5"/>
  <c r="M18" i="5" s="1"/>
  <c r="N18" i="5" s="1"/>
  <c r="L17" i="5"/>
  <c r="M17" i="5" s="1"/>
  <c r="N17" i="5" s="1"/>
  <c r="L16" i="5"/>
  <c r="M16" i="5" s="1"/>
  <c r="N16" i="5" s="1"/>
  <c r="L15" i="5"/>
  <c r="M15" i="5" s="1"/>
  <c r="N15" i="5" s="1"/>
  <c r="L14" i="5"/>
  <c r="M14" i="5" s="1"/>
  <c r="N14" i="5" s="1"/>
  <c r="L13" i="5"/>
  <c r="M13" i="5" s="1"/>
  <c r="N13" i="5" s="1"/>
  <c r="L12" i="5"/>
  <c r="M12" i="5" s="1"/>
  <c r="N12" i="5" s="1"/>
  <c r="L11" i="5"/>
  <c r="M11" i="5" s="1"/>
  <c r="N11" i="5" s="1"/>
  <c r="L10" i="5"/>
  <c r="M10" i="5" s="1"/>
  <c r="N10" i="5" s="1"/>
  <c r="L9" i="5"/>
  <c r="M9" i="5" s="1"/>
  <c r="N9" i="5" s="1"/>
  <c r="L8" i="5"/>
  <c r="M8" i="5" s="1"/>
  <c r="N8" i="5" s="1"/>
  <c r="L7" i="5"/>
  <c r="M7" i="5" s="1"/>
  <c r="N7" i="5" s="1"/>
  <c r="L6" i="5"/>
  <c r="M6" i="5" s="1"/>
  <c r="N6" i="5" s="1"/>
  <c r="L5" i="5"/>
  <c r="M5" i="5" s="1"/>
  <c r="N5" i="5" s="1"/>
  <c r="L4" i="5"/>
  <c r="M4" i="5" s="1"/>
  <c r="J4" i="5"/>
  <c r="L3" i="5"/>
  <c r="M3" i="5" s="1"/>
  <c r="N3" i="5" s="1"/>
  <c r="L20" i="4"/>
  <c r="M20" i="4" s="1"/>
  <c r="N20" i="4" s="1"/>
  <c r="L19" i="4"/>
  <c r="M19" i="4" s="1"/>
  <c r="N19" i="4" s="1"/>
  <c r="L18" i="4"/>
  <c r="M18" i="4" s="1"/>
  <c r="N18" i="4" s="1"/>
  <c r="L17" i="4"/>
  <c r="M17" i="4" s="1"/>
  <c r="N17" i="4" s="1"/>
  <c r="L16" i="4"/>
  <c r="M16" i="4" s="1"/>
  <c r="N16" i="4" s="1"/>
  <c r="L15" i="4"/>
  <c r="M15" i="4" s="1"/>
  <c r="N15" i="4" s="1"/>
  <c r="L14" i="4"/>
  <c r="M14" i="4" s="1"/>
  <c r="N14" i="4" s="1"/>
  <c r="L13" i="4"/>
  <c r="M13" i="4" s="1"/>
  <c r="N13" i="4" s="1"/>
  <c r="L12" i="4"/>
  <c r="M12" i="4" s="1"/>
  <c r="N12" i="4" s="1"/>
  <c r="L11" i="4"/>
  <c r="M11" i="4" s="1"/>
  <c r="N11" i="4" s="1"/>
  <c r="L10" i="4"/>
  <c r="M10" i="4" s="1"/>
  <c r="N10" i="4" s="1"/>
  <c r="L9" i="4"/>
  <c r="M9" i="4" s="1"/>
  <c r="N9" i="4" s="1"/>
  <c r="L8" i="4"/>
  <c r="M8" i="4" s="1"/>
  <c r="N8" i="4" s="1"/>
  <c r="L7" i="4"/>
  <c r="M7" i="4" s="1"/>
  <c r="N7" i="4" s="1"/>
  <c r="L6" i="4"/>
  <c r="M6" i="4" s="1"/>
  <c r="N6" i="4" s="1"/>
  <c r="L5" i="4"/>
  <c r="M5" i="4" s="1"/>
  <c r="N5" i="4" s="1"/>
  <c r="L4" i="4"/>
  <c r="M4" i="4" s="1"/>
  <c r="N4" i="4" s="1"/>
  <c r="J4" i="4"/>
  <c r="L3" i="4"/>
  <c r="M3" i="4" s="1"/>
  <c r="L20" i="3"/>
  <c r="M20" i="3" s="1"/>
  <c r="N20" i="3" s="1"/>
  <c r="J4" i="3"/>
  <c r="V2" i="2"/>
  <c r="S3" i="2"/>
  <c r="T3" i="2" s="1"/>
  <c r="S4" i="2"/>
  <c r="T4" i="2" s="1"/>
  <c r="M5" i="6" l="1"/>
  <c r="N5" i="6" s="1"/>
  <c r="P2" i="6"/>
  <c r="N4" i="6"/>
  <c r="P2" i="5"/>
  <c r="N4" i="5"/>
  <c r="N22" i="5" s="1"/>
  <c r="N3" i="4"/>
  <c r="N22" i="4" s="1"/>
  <c r="P2" i="4"/>
  <c r="L16" i="3"/>
  <c r="M16" i="3" s="1"/>
  <c r="N16" i="3" s="1"/>
  <c r="L12" i="3"/>
  <c r="M12" i="3" s="1"/>
  <c r="N12" i="3" s="1"/>
  <c r="L15" i="3"/>
  <c r="M15" i="3" s="1"/>
  <c r="N15" i="3" s="1"/>
  <c r="M5" i="3"/>
  <c r="N5" i="3" s="1"/>
  <c r="L6" i="3"/>
  <c r="M6" i="3" s="1"/>
  <c r="N6" i="3" s="1"/>
  <c r="L18" i="3"/>
  <c r="M18" i="3" s="1"/>
  <c r="N18" i="3" s="1"/>
  <c r="L11" i="3"/>
  <c r="M11" i="3" s="1"/>
  <c r="N11" i="3" s="1"/>
  <c r="L3" i="3"/>
  <c r="M3" i="3" s="1"/>
  <c r="N3" i="3" s="1"/>
  <c r="L14" i="3"/>
  <c r="M14" i="3" s="1"/>
  <c r="N14" i="3" s="1"/>
  <c r="L4" i="3"/>
  <c r="M4" i="3" s="1"/>
  <c r="N4" i="3" s="1"/>
  <c r="L17" i="3"/>
  <c r="M17" i="3" s="1"/>
  <c r="N17" i="3" s="1"/>
  <c r="L7" i="3"/>
  <c r="M7" i="3" s="1"/>
  <c r="N7" i="3" s="1"/>
  <c r="L10" i="3"/>
  <c r="M10" i="3" s="1"/>
  <c r="N10" i="3" s="1"/>
  <c r="L13" i="3"/>
  <c r="M13" i="3" s="1"/>
  <c r="N13" i="3" s="1"/>
  <c r="L8" i="3"/>
  <c r="M8" i="3" s="1"/>
  <c r="N8" i="3" s="1"/>
  <c r="L19" i="3"/>
  <c r="M19" i="3" s="1"/>
  <c r="N19" i="3" s="1"/>
  <c r="L9" i="3"/>
  <c r="M9" i="3" s="1"/>
  <c r="N9" i="3" s="1"/>
  <c r="S20" i="2"/>
  <c r="T20" i="2" s="1"/>
  <c r="J4" i="2"/>
  <c r="U4" i="1"/>
  <c r="AA4" i="1" s="1"/>
  <c r="U5" i="1"/>
  <c r="AA5" i="1" s="1"/>
  <c r="U6" i="1"/>
  <c r="AA6" i="1" s="1"/>
  <c r="U7" i="1"/>
  <c r="AA7" i="1" s="1"/>
  <c r="U8" i="1"/>
  <c r="AA8" i="1" s="1"/>
  <c r="U9" i="1"/>
  <c r="AA9" i="1" s="1"/>
  <c r="U10" i="1"/>
  <c r="AA10" i="1" s="1"/>
  <c r="U11" i="1"/>
  <c r="AA11" i="1" s="1"/>
  <c r="U12" i="1"/>
  <c r="AA12" i="1" s="1"/>
  <c r="U13" i="1"/>
  <c r="AA13" i="1" s="1"/>
  <c r="U14" i="1"/>
  <c r="AA14" i="1" s="1"/>
  <c r="U15" i="1"/>
  <c r="AA15" i="1" s="1"/>
  <c r="U16" i="1"/>
  <c r="AA16" i="1" s="1"/>
  <c r="U17" i="1"/>
  <c r="AA17" i="1" s="1"/>
  <c r="U18" i="1"/>
  <c r="AA18" i="1" s="1"/>
  <c r="U19" i="1"/>
  <c r="AA19" i="1" s="1"/>
  <c r="U20" i="1"/>
  <c r="AA20" i="1" s="1"/>
  <c r="X2" i="1"/>
  <c r="N22" i="6" l="1"/>
  <c r="AH6" i="1"/>
  <c r="AC19" i="1" s="1"/>
  <c r="AD19" i="1" s="1"/>
  <c r="V15" i="1"/>
  <c r="V7" i="1"/>
  <c r="V19" i="1"/>
  <c r="V9" i="1"/>
  <c r="V10" i="1"/>
  <c r="V18" i="1"/>
  <c r="V14" i="1"/>
  <c r="V4" i="1"/>
  <c r="V20" i="1"/>
  <c r="V17" i="1"/>
  <c r="V16" i="1"/>
  <c r="V13" i="1"/>
  <c r="V11" i="1"/>
  <c r="V6" i="1"/>
  <c r="V8" i="1"/>
  <c r="V12" i="1"/>
  <c r="V5" i="1"/>
  <c r="P2" i="3"/>
  <c r="N22" i="3"/>
  <c r="L16" i="2"/>
  <c r="M16" i="2" s="1"/>
  <c r="N16" i="2" s="1"/>
  <c r="S13" i="2"/>
  <c r="T13" i="2" s="1"/>
  <c r="L18" i="2"/>
  <c r="M18" i="2" s="1"/>
  <c r="N18" i="2" s="1"/>
  <c r="S11" i="2"/>
  <c r="T11" i="2" s="1"/>
  <c r="L3" i="2"/>
  <c r="L8" i="2"/>
  <c r="M8" i="2" s="1"/>
  <c r="N8" i="2" s="1"/>
  <c r="S5" i="2"/>
  <c r="T5" i="2" s="1"/>
  <c r="L6" i="2"/>
  <c r="M6" i="2" s="1"/>
  <c r="N6" i="2" s="1"/>
  <c r="S8" i="2"/>
  <c r="T8" i="2" s="1"/>
  <c r="L10" i="2"/>
  <c r="M10" i="2" s="1"/>
  <c r="N10" i="2" s="1"/>
  <c r="S12" i="2"/>
  <c r="T12" i="2" s="1"/>
  <c r="S6" i="2"/>
  <c r="T6" i="2" s="1"/>
  <c r="S16" i="2"/>
  <c r="T16" i="2" s="1"/>
  <c r="S9" i="2"/>
  <c r="T9" i="2" s="1"/>
  <c r="L12" i="2"/>
  <c r="M12" i="2" s="1"/>
  <c r="N12" i="2" s="1"/>
  <c r="L5" i="2"/>
  <c r="M5" i="2" s="1"/>
  <c r="N5" i="2" s="1"/>
  <c r="S18" i="2"/>
  <c r="T18" i="2" s="1"/>
  <c r="L17" i="2"/>
  <c r="M17" i="2" s="1"/>
  <c r="N17" i="2" s="1"/>
  <c r="L7" i="2"/>
  <c r="M7" i="2" s="1"/>
  <c r="N7" i="2" s="1"/>
  <c r="S15" i="2"/>
  <c r="T15" i="2" s="1"/>
  <c r="L14" i="2"/>
  <c r="M14" i="2" s="1"/>
  <c r="N14" i="2" s="1"/>
  <c r="S7" i="2"/>
  <c r="T7" i="2" s="1"/>
  <c r="L20" i="2"/>
  <c r="M20" i="2" s="1"/>
  <c r="N20" i="2" s="1"/>
  <c r="S17" i="2"/>
  <c r="T17" i="2" s="1"/>
  <c r="L19" i="2"/>
  <c r="M19" i="2" s="1"/>
  <c r="N19" i="2" s="1"/>
  <c r="L4" i="2"/>
  <c r="M4" i="2" s="1"/>
  <c r="N4" i="2" s="1"/>
  <c r="S10" i="2"/>
  <c r="T10" i="2" s="1"/>
  <c r="S19" i="2"/>
  <c r="T19" i="2" s="1"/>
  <c r="L9" i="2"/>
  <c r="M9" i="2" s="1"/>
  <c r="N9" i="2" s="1"/>
  <c r="L15" i="2"/>
  <c r="M15" i="2" s="1"/>
  <c r="N15" i="2" s="1"/>
  <c r="S14" i="2"/>
  <c r="T14" i="2" s="1"/>
  <c r="L13" i="2"/>
  <c r="M13" i="2" s="1"/>
  <c r="N13" i="2" s="1"/>
  <c r="L11" i="2"/>
  <c r="M11" i="2" s="1"/>
  <c r="N11" i="2" s="1"/>
  <c r="L4" i="1"/>
  <c r="N3" i="2" l="1"/>
  <c r="N22" i="2" s="1"/>
  <c r="AC11" i="1"/>
  <c r="AD11" i="1" s="1"/>
  <c r="AE11" i="1" s="1"/>
  <c r="AC12" i="1"/>
  <c r="AD12" i="1" s="1"/>
  <c r="AE12" i="1" s="1"/>
  <c r="AC9" i="1"/>
  <c r="AD9" i="1" s="1"/>
  <c r="AE9" i="1" s="1"/>
  <c r="AC6" i="1"/>
  <c r="AD6" i="1" s="1"/>
  <c r="AE6" i="1" s="1"/>
  <c r="AC18" i="1"/>
  <c r="AD18" i="1" s="1"/>
  <c r="AE18" i="1" s="1"/>
  <c r="AC15" i="1"/>
  <c r="AD15" i="1" s="1"/>
  <c r="AE15" i="1" s="1"/>
  <c r="AC16" i="1"/>
  <c r="AD16" i="1" s="1"/>
  <c r="AE16" i="1" s="1"/>
  <c r="AC13" i="1"/>
  <c r="AD13" i="1" s="1"/>
  <c r="AE13" i="1" s="1"/>
  <c r="AC10" i="1"/>
  <c r="AD10" i="1" s="1"/>
  <c r="AE10" i="1" s="1"/>
  <c r="AC3" i="1"/>
  <c r="AC4" i="1"/>
  <c r="AD4" i="1" s="1"/>
  <c r="AE4" i="1" s="1"/>
  <c r="AC20" i="1"/>
  <c r="AD20" i="1" s="1"/>
  <c r="AE20" i="1" s="1"/>
  <c r="AC17" i="1"/>
  <c r="AD17" i="1" s="1"/>
  <c r="AE17" i="1" s="1"/>
  <c r="AC14" i="1"/>
  <c r="AD14" i="1" s="1"/>
  <c r="AE14" i="1" s="1"/>
  <c r="AC7" i="1"/>
  <c r="AD7" i="1" s="1"/>
  <c r="AE7" i="1" s="1"/>
  <c r="AC8" i="1"/>
  <c r="AD8" i="1" s="1"/>
  <c r="AE8" i="1" s="1"/>
  <c r="AC5" i="1"/>
  <c r="AD5" i="1" s="1"/>
  <c r="AE5" i="1" s="1"/>
  <c r="AE19" i="1"/>
  <c r="P2" i="2"/>
  <c r="AD3" i="1" l="1"/>
  <c r="AE3" i="1" s="1"/>
  <c r="AE22" i="1" s="1"/>
  <c r="P22" i="1" l="1"/>
</calcChain>
</file>

<file path=xl/sharedStrings.xml><?xml version="1.0" encoding="utf-8"?>
<sst xmlns="http://schemas.openxmlformats.org/spreadsheetml/2006/main" count="171" uniqueCount="56">
  <si>
    <t>Temperature [°C]</t>
  </si>
  <si>
    <t>Frequency [Hz]</t>
  </si>
  <si>
    <t>Phase Angle [°]</t>
  </si>
  <si>
    <t>Modulus [MPa]</t>
  </si>
  <si>
    <t>Phase Angle</t>
  </si>
  <si>
    <t>Modulus</t>
  </si>
  <si>
    <t>Frequency</t>
  </si>
  <si>
    <t>Temperature</t>
  </si>
  <si>
    <t>Initial Values</t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</si>
  <si>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</si>
  <si>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</si>
  <si>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t>R</t>
  </si>
  <si>
    <t>Results</t>
  </si>
  <si>
    <t>Error</t>
  </si>
  <si>
    <t>Use Solver on this Cell</t>
  </si>
  <si>
    <r>
      <t>f</t>
    </r>
    <r>
      <rPr>
        <b/>
        <vertAlign val="subscript"/>
        <sz val="11"/>
        <color theme="1"/>
        <rFont val="Calibri"/>
        <family val="2"/>
        <charset val="238"/>
        <scheme val="minor"/>
      </rPr>
      <t>pre</t>
    </r>
    <r>
      <rPr>
        <b/>
        <sz val="11"/>
        <color theme="1"/>
        <rFont val="Calibri"/>
        <family val="2"/>
        <charset val="238"/>
        <scheme val="minor"/>
      </rPr>
      <t xml:space="preserve"> [Hz]</t>
    </r>
  </si>
  <si>
    <r>
      <t>R</t>
    </r>
    <r>
      <rPr>
        <b/>
        <vertAlign val="superscript"/>
        <sz val="10"/>
        <rFont val="Arial"/>
        <family val="2"/>
        <charset val="238"/>
      </rPr>
      <t>2</t>
    </r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</si>
  <si>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N</t>
    </r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</si>
  <si>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pre</t>
    </r>
  </si>
  <si>
    <t>Code</t>
  </si>
  <si>
    <t>AG1</t>
  </si>
  <si>
    <t>AG2</t>
  </si>
  <si>
    <t>BG1</t>
  </si>
  <si>
    <t>BG2</t>
  </si>
  <si>
    <t>CG1</t>
  </si>
  <si>
    <t>CG2</t>
  </si>
  <si>
    <r>
      <t>E</t>
    </r>
    <r>
      <rPr>
        <b/>
        <vertAlign val="subscript"/>
        <sz val="11"/>
        <color theme="1"/>
        <rFont val="Calibri (Szövegtörzs)"/>
        <charset val="238"/>
      </rPr>
      <t>min</t>
    </r>
  </si>
  <si>
    <r>
      <t>E</t>
    </r>
    <r>
      <rPr>
        <b/>
        <vertAlign val="subscript"/>
        <sz val="11"/>
        <color theme="1"/>
        <rFont val="Calibri (Szövegtörzs)"/>
        <charset val="238"/>
      </rPr>
      <t>max</t>
    </r>
  </si>
  <si>
    <t>T [℃]</t>
  </si>
  <si>
    <r>
      <t>R</t>
    </r>
    <r>
      <rPr>
        <b/>
        <vertAlign val="superscript"/>
        <sz val="11"/>
        <color theme="1"/>
        <rFont val="Calibri (Szövegtörzs)"/>
        <charset val="238"/>
      </rPr>
      <t>2</t>
    </r>
    <r>
      <rPr>
        <b/>
        <sz val="11"/>
        <color theme="1"/>
        <rFont val="Calibri (Szövegtörzs)"/>
        <charset val="238"/>
      </rPr>
      <t xml:space="preserve"> - Freq.</t>
    </r>
  </si>
  <si>
    <r>
      <t>R</t>
    </r>
    <r>
      <rPr>
        <b/>
        <vertAlign val="superscript"/>
        <sz val="11"/>
        <color theme="1"/>
        <rFont val="Calibri (Szövegtörzs)"/>
        <charset val="238"/>
      </rPr>
      <t>2</t>
    </r>
    <r>
      <rPr>
        <b/>
        <sz val="11"/>
        <color theme="1"/>
        <rFont val="Calibri"/>
        <family val="2"/>
        <charset val="238"/>
        <scheme val="minor"/>
      </rPr>
      <t xml:space="preserve"> - Mod.</t>
    </r>
  </si>
  <si>
    <t>a</t>
  </si>
  <si>
    <t>b</t>
  </si>
  <si>
    <t>E*</t>
  </si>
  <si>
    <t>Ref. T</t>
  </si>
  <si>
    <t>freq. (AG1)</t>
  </si>
  <si>
    <t>freq. (AG2)</t>
  </si>
  <si>
    <t>freq. (BG1)</t>
  </si>
  <si>
    <t>freq. (BG2)</t>
  </si>
  <si>
    <t>freq. (CG1)</t>
  </si>
  <si>
    <t>freq. (CG2)</t>
  </si>
  <si>
    <r>
      <t>T</t>
    </r>
    <r>
      <rPr>
        <b/>
        <vertAlign val="subscript"/>
        <sz val="11"/>
        <color theme="1"/>
        <rFont val="Calibri (Szövegtörzs)"/>
        <charset val="238"/>
      </rPr>
      <t>ref</t>
    </r>
    <r>
      <rPr>
        <b/>
        <sz val="11"/>
        <color theme="1"/>
        <rFont val="Calibri"/>
        <family val="2"/>
        <charset val="238"/>
        <scheme val="minor"/>
      </rPr>
      <t xml:space="preserve"> [℃]</t>
    </r>
  </si>
  <si>
    <t>fr</t>
  </si>
  <si>
    <t>Tref</t>
  </si>
  <si>
    <t>fm</t>
  </si>
  <si>
    <t>pm</t>
  </si>
  <si>
    <t>Rd</t>
  </si>
  <si>
    <t>md</t>
  </si>
  <si>
    <t>Pre</t>
  </si>
  <si>
    <t>log(fm/fr)</t>
  </si>
  <si>
    <t>C1</t>
  </si>
  <si>
    <t>C2</t>
  </si>
  <si>
    <t>fr2</t>
  </si>
  <si>
    <t>C</t>
  </si>
  <si>
    <r>
      <t>T</t>
    </r>
    <r>
      <rPr>
        <b/>
        <vertAlign val="subscript"/>
        <sz val="11"/>
        <rFont val="Arial"/>
        <family val="2"/>
        <charset val="238"/>
      </rPr>
      <t>ref</t>
    </r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</si>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</sst>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0000"/>
    <numFmt numFmtId="167" formatCode="0.0000000"/>
    <numFmt numFmtId="168" formatCode="0.0000E+00"/>
    <numFmt numFmtId="169" formatCode="0.0"/>
    <numFmt numFmtId="170" formatCode="0.000000"/>
  </numFmts>
  <fonts count="1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vertAlign val="superscript"/>
      <sz val="10"/>
      <name val="Arial"/>
      <family val="2"/>
      <charset val="238"/>
    </font>
    <font>
      <sz val="11"/>
      <name val="Calibri"/>
      <family val="2"/>
      <charset val="238"/>
      <scheme val="minor"/>
    </font>
    <font>
      <b/>
      <vertAlign val="superscript"/>
      <sz val="11"/>
      <color theme="1"/>
      <name val="Calibri (Szövegtörzs)"/>
      <charset val="238"/>
    </font>
    <font>
      <b/>
      <vertAlign val="subscript"/>
      <sz val="11"/>
      <color theme="1"/>
      <name val="Calibri (Szövegtörzs)"/>
      <charset val="238"/>
    </font>
    <font>
      <b/>
      <sz val="11"/>
      <color theme="1"/>
      <name val="Calibri (Szövegtörzs)"/>
      <charset val="238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238"/>
    </font>
    <font>
      <b/>
      <vertAlign val="subscript"/>
      <sz val="1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4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4" xfId="0" applyBorder="1"/>
    <xf numFmtId="166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0" fontId="0" fillId="0" borderId="7" xfId="0" applyBorder="1"/>
    <xf numFmtId="166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/>
    </xf>
    <xf numFmtId="0" fontId="0" fillId="0" borderId="10" xfId="0" applyBorder="1"/>
    <xf numFmtId="166" fontId="0" fillId="0" borderId="1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'AG1'!$AA$3:$AA$20</c:f>
              <c:numCache>
                <c:formatCode>0.0000</c:formatCode>
                <c:ptCount val="18"/>
                <c:pt idx="0">
                  <c:v>580783.58472090785</c:v>
                </c:pt>
                <c:pt idx="1">
                  <c:v>197931.62458994309</c:v>
                </c:pt>
                <c:pt idx="2">
                  <c:v>91631.861206554182</c:v>
                </c:pt>
                <c:pt idx="3">
                  <c:v>16806.718931059142</c:v>
                </c:pt>
                <c:pt idx="4">
                  <c:v>8314.1339487769892</c:v>
                </c:pt>
                <c:pt idx="5">
                  <c:v>1684.8941489767258</c:v>
                </c:pt>
                <c:pt idx="6">
                  <c:v>14802.236482698892</c:v>
                </c:pt>
                <c:pt idx="7">
                  <c:v>5868.3498542876778</c:v>
                </c:pt>
                <c:pt idx="8">
                  <c:v>2948.0973756682624</c:v>
                </c:pt>
                <c:pt idx="9">
                  <c:v>611.64507091133248</c:v>
                </c:pt>
                <c:pt idx="10">
                  <c:v>312.86513581465823</c:v>
                </c:pt>
                <c:pt idx="11">
                  <c:v>66.201148154438954</c:v>
                </c:pt>
                <c:pt idx="12">
                  <c:v>542.32594604613018</c:v>
                </c:pt>
                <c:pt idx="13">
                  <c:v>223.77998615943497</c:v>
                </c:pt>
                <c:pt idx="14">
                  <c:v>114.69125051096339</c:v>
                </c:pt>
                <c:pt idx="15">
                  <c:v>24.059806599672577</c:v>
                </c:pt>
                <c:pt idx="16">
                  <c:v>12.131215605126798</c:v>
                </c:pt>
                <c:pt idx="17">
                  <c:v>2.3000788974369391</c:v>
                </c:pt>
              </c:numCache>
            </c:numRef>
          </c:xVal>
          <c:yVal>
            <c:numRef>
              <c:f>'AG1'!$Z$3:$Z$20</c:f>
              <c:numCache>
                <c:formatCode>0.00</c:formatCode>
                <c:ptCount val="18"/>
                <c:pt idx="0">
                  <c:v>17.331244000000002</c:v>
                </c:pt>
                <c:pt idx="1">
                  <c:v>13.031172</c:v>
                </c:pt>
                <c:pt idx="2">
                  <c:v>16.182673999999999</c:v>
                </c:pt>
                <c:pt idx="3">
                  <c:v>18.755966000000001</c:v>
                </c:pt>
                <c:pt idx="4">
                  <c:v>22.237423</c:v>
                </c:pt>
                <c:pt idx="5">
                  <c:v>23.809588999999999</c:v>
                </c:pt>
                <c:pt idx="6">
                  <c:v>10.603424</c:v>
                </c:pt>
                <c:pt idx="7">
                  <c:v>16.541653</c:v>
                </c:pt>
                <c:pt idx="8">
                  <c:v>17.987231999999999</c:v>
                </c:pt>
                <c:pt idx="9">
                  <c:v>26.221813000000001</c:v>
                </c:pt>
                <c:pt idx="10">
                  <c:v>27.084215</c:v>
                </c:pt>
                <c:pt idx="11">
                  <c:v>29.858281999999999</c:v>
                </c:pt>
                <c:pt idx="12">
                  <c:v>19.588760000000001</c:v>
                </c:pt>
                <c:pt idx="13">
                  <c:v>26.601870999999999</c:v>
                </c:pt>
                <c:pt idx="14">
                  <c:v>28.265042999999999</c:v>
                </c:pt>
                <c:pt idx="15">
                  <c:v>30.273053999999998</c:v>
                </c:pt>
                <c:pt idx="16">
                  <c:v>28.746621999999999</c:v>
                </c:pt>
                <c:pt idx="17">
                  <c:v>23.550543000000001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1-E841-BA53-9FED638F851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'AG1'!$AA$3:$AA$20</c:f>
              <c:numCache>
                <c:formatCode>0.0000</c:formatCode>
                <c:ptCount val="18"/>
                <c:pt idx="0">
                  <c:v>580783.58472090785</c:v>
                </c:pt>
                <c:pt idx="1">
                  <c:v>197931.62458994309</c:v>
                </c:pt>
                <c:pt idx="2">
                  <c:v>91631.861206554182</c:v>
                </c:pt>
                <c:pt idx="3">
                  <c:v>16806.718931059142</c:v>
                </c:pt>
                <c:pt idx="4">
                  <c:v>8314.1339487769892</c:v>
                </c:pt>
                <c:pt idx="5">
                  <c:v>1684.8941489767258</c:v>
                </c:pt>
                <c:pt idx="6">
                  <c:v>14802.236482698892</c:v>
                </c:pt>
                <c:pt idx="7">
                  <c:v>5868.3498542876778</c:v>
                </c:pt>
                <c:pt idx="8">
                  <c:v>2948.0973756682624</c:v>
                </c:pt>
                <c:pt idx="9">
                  <c:v>611.64507091133248</c:v>
                </c:pt>
                <c:pt idx="10">
                  <c:v>312.86513581465823</c:v>
                </c:pt>
                <c:pt idx="11">
                  <c:v>66.201148154438954</c:v>
                </c:pt>
                <c:pt idx="12">
                  <c:v>542.32594604613018</c:v>
                </c:pt>
                <c:pt idx="13">
                  <c:v>223.77998615943497</c:v>
                </c:pt>
                <c:pt idx="14">
                  <c:v>114.69125051096339</c:v>
                </c:pt>
                <c:pt idx="15">
                  <c:v>24.059806599672577</c:v>
                </c:pt>
                <c:pt idx="16">
                  <c:v>12.131215605126798</c:v>
                </c:pt>
                <c:pt idx="17">
                  <c:v>2.3000788974369391</c:v>
                </c:pt>
              </c:numCache>
            </c:numRef>
          </c:xVal>
          <c:yVal>
            <c:numRef>
              <c:f>'AG1'!$AD$3:$AD$20</c:f>
              <c:numCache>
                <c:formatCode>0.0000</c:formatCode>
                <c:ptCount val="18"/>
                <c:pt idx="0">
                  <c:v>12.573629571175566</c:v>
                </c:pt>
                <c:pt idx="1">
                  <c:v>13.400191371129594</c:v>
                </c:pt>
                <c:pt idx="2">
                  <c:v>14.083598261132069</c:v>
                </c:pt>
                <c:pt idx="3">
                  <c:v>15.955985456872792</c:v>
                </c:pt>
                <c:pt idx="4">
                  <c:v>16.930921233905185</c:v>
                </c:pt>
                <c:pt idx="5">
                  <c:v>19.771551809272797</c:v>
                </c:pt>
                <c:pt idx="6">
                  <c:v>16.121803895437417</c:v>
                </c:pt>
                <c:pt idx="7">
                  <c:v>17.468841729880175</c:v>
                </c:pt>
                <c:pt idx="8">
                  <c:v>18.659253519942936</c:v>
                </c:pt>
                <c:pt idx="9">
                  <c:v>22.183018906631407</c:v>
                </c:pt>
                <c:pt idx="10">
                  <c:v>24.083976822939125</c:v>
                </c:pt>
                <c:pt idx="11">
                  <c:v>28.821407939534804</c:v>
                </c:pt>
                <c:pt idx="12">
                  <c:v>22.506371220373655</c:v>
                </c:pt>
                <c:pt idx="13">
                  <c:v>25.113929255039579</c:v>
                </c:pt>
                <c:pt idx="14">
                  <c:v>27.228801367806494</c:v>
                </c:pt>
                <c:pt idx="15">
                  <c:v>30.273053999999998</c:v>
                </c:pt>
                <c:pt idx="16">
                  <c:v>29.570127510392599</c:v>
                </c:pt>
                <c:pt idx="17">
                  <c:v>24.748091713840719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71-E841-BA53-9FED638F8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51599"/>
        <c:axId val="1890205855"/>
      </c:scatterChart>
      <c:valAx>
        <c:axId val="19417515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90205855"/>
        <c:crosses val="autoZero"/>
        <c:crossBetween val="midCat"/>
      </c:valAx>
      <c:valAx>
        <c:axId val="18902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4175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5111548556430446E-2"/>
                  <c:y val="-0.22552201808107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'AG1'!$Z$3:$Z$20</c:f>
              <c:numCache>
                <c:formatCode>0.00</c:formatCode>
                <c:ptCount val="18"/>
                <c:pt idx="0">
                  <c:v>17.331244000000002</c:v>
                </c:pt>
                <c:pt idx="1">
                  <c:v>13.031172</c:v>
                </c:pt>
                <c:pt idx="2">
                  <c:v>16.182673999999999</c:v>
                </c:pt>
                <c:pt idx="3">
                  <c:v>18.755966000000001</c:v>
                </c:pt>
                <c:pt idx="4">
                  <c:v>22.237423</c:v>
                </c:pt>
                <c:pt idx="5">
                  <c:v>23.809588999999999</c:v>
                </c:pt>
                <c:pt idx="6">
                  <c:v>10.603424</c:v>
                </c:pt>
                <c:pt idx="7">
                  <c:v>16.541653</c:v>
                </c:pt>
                <c:pt idx="8">
                  <c:v>17.987231999999999</c:v>
                </c:pt>
                <c:pt idx="9">
                  <c:v>26.221813000000001</c:v>
                </c:pt>
                <c:pt idx="10">
                  <c:v>27.084215</c:v>
                </c:pt>
                <c:pt idx="11">
                  <c:v>29.858281999999999</c:v>
                </c:pt>
                <c:pt idx="12">
                  <c:v>19.588760000000001</c:v>
                </c:pt>
                <c:pt idx="13">
                  <c:v>26.601870999999999</c:v>
                </c:pt>
                <c:pt idx="14">
                  <c:v>28.265042999999999</c:v>
                </c:pt>
                <c:pt idx="15">
                  <c:v>30.273053999999998</c:v>
                </c:pt>
                <c:pt idx="16">
                  <c:v>28.746621999999999</c:v>
                </c:pt>
                <c:pt idx="17">
                  <c:v>23.550543000000001</c:v>
                </c:pt>
              </c:numCache>
            </c:numRef>
          </c:xVal>
          <c:yVal>
            <c:numRef>
              <c:f>'AG1'!$AD$3:$AD$20</c:f>
              <c:numCache>
                <c:formatCode>0.0000</c:formatCode>
                <c:ptCount val="18"/>
                <c:pt idx="0">
                  <c:v>12.573629571175566</c:v>
                </c:pt>
                <c:pt idx="1">
                  <c:v>13.400191371129594</c:v>
                </c:pt>
                <c:pt idx="2">
                  <c:v>14.083598261132069</c:v>
                </c:pt>
                <c:pt idx="3">
                  <c:v>15.955985456872792</c:v>
                </c:pt>
                <c:pt idx="4">
                  <c:v>16.930921233905185</c:v>
                </c:pt>
                <c:pt idx="5">
                  <c:v>19.771551809272797</c:v>
                </c:pt>
                <c:pt idx="6">
                  <c:v>16.121803895437417</c:v>
                </c:pt>
                <c:pt idx="7">
                  <c:v>17.468841729880175</c:v>
                </c:pt>
                <c:pt idx="8">
                  <c:v>18.659253519942936</c:v>
                </c:pt>
                <c:pt idx="9">
                  <c:v>22.183018906631407</c:v>
                </c:pt>
                <c:pt idx="10">
                  <c:v>24.083976822939125</c:v>
                </c:pt>
                <c:pt idx="11">
                  <c:v>28.821407939534804</c:v>
                </c:pt>
                <c:pt idx="12">
                  <c:v>22.506371220373655</c:v>
                </c:pt>
                <c:pt idx="13">
                  <c:v>25.113929255039579</c:v>
                </c:pt>
                <c:pt idx="14">
                  <c:v>27.228801367806494</c:v>
                </c:pt>
                <c:pt idx="15">
                  <c:v>30.273053999999998</c:v>
                </c:pt>
                <c:pt idx="16">
                  <c:v>29.570127510392599</c:v>
                </c:pt>
                <c:pt idx="17">
                  <c:v>24.748091713840719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9-E446-9036-450C84D03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718815"/>
        <c:axId val="1541037311"/>
      </c:scatterChart>
      <c:valAx>
        <c:axId val="18927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41037311"/>
        <c:crosses val="autoZero"/>
        <c:crossBetween val="midCat"/>
      </c:valAx>
      <c:valAx>
        <c:axId val="15410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9271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'AG1'!$G$3:$G$20</c:f>
              <c:numCache>
                <c:formatCode>General</c:formatCode>
                <c:ptCount val="18"/>
                <c:pt idx="0">
                  <c:v>896.70191357336967</c:v>
                </c:pt>
                <c:pt idx="1">
                  <c:v>358.68076542934784</c:v>
                </c:pt>
                <c:pt idx="2">
                  <c:v>179.34038271467392</c:v>
                </c:pt>
                <c:pt idx="3">
                  <c:v>35.868076542934787</c:v>
                </c:pt>
                <c:pt idx="4">
                  <c:v>17.934038271467394</c:v>
                </c:pt>
                <c:pt idx="5">
                  <c:v>3.5868076542934788</c:v>
                </c:pt>
                <c:pt idx="6">
                  <c:v>25</c:v>
                </c:pt>
                <c:pt idx="7">
                  <c:v>10</c:v>
                </c:pt>
                <c:pt idx="8">
                  <c:v>5</c:v>
                </c:pt>
                <c:pt idx="9">
                  <c:v>1</c:v>
                </c:pt>
                <c:pt idx="10">
                  <c:v>0.5</c:v>
                </c:pt>
                <c:pt idx="11">
                  <c:v>0.1</c:v>
                </c:pt>
                <c:pt idx="12">
                  <c:v>1.1212694834929704</c:v>
                </c:pt>
                <c:pt idx="13">
                  <c:v>0.44850779339718816</c:v>
                </c:pt>
                <c:pt idx="14">
                  <c:v>0.22425389669859408</c:v>
                </c:pt>
                <c:pt idx="15">
                  <c:v>4.4850779339718816E-2</c:v>
                </c:pt>
                <c:pt idx="16">
                  <c:v>2.2425389669859408E-2</c:v>
                </c:pt>
                <c:pt idx="17">
                  <c:v>4.4850779339718821E-3</c:v>
                </c:pt>
              </c:numCache>
            </c:numRef>
          </c:xVal>
          <c:yVal>
            <c:numRef>
              <c:f>'AG1'!$D$3:$D$20</c:f>
              <c:numCache>
                <c:formatCode>0</c:formatCode>
                <c:ptCount val="18"/>
                <c:pt idx="0">
                  <c:v>27890.222656000002</c:v>
                </c:pt>
                <c:pt idx="1">
                  <c:v>32464.939452999999</c:v>
                </c:pt>
                <c:pt idx="2">
                  <c:v>32003.925781000002</c:v>
                </c:pt>
                <c:pt idx="3">
                  <c:v>29290.876952999999</c:v>
                </c:pt>
                <c:pt idx="4">
                  <c:v>26386.759765999999</c:v>
                </c:pt>
                <c:pt idx="5">
                  <c:v>18527.648437</c:v>
                </c:pt>
                <c:pt idx="6">
                  <c:v>28000</c:v>
                </c:pt>
                <c:pt idx="7">
                  <c:v>22213.759765999999</c:v>
                </c:pt>
                <c:pt idx="8">
                  <c:v>19019.732422000001</c:v>
                </c:pt>
                <c:pt idx="9">
                  <c:v>14287.422852</c:v>
                </c:pt>
                <c:pt idx="10">
                  <c:v>11951.486328000001</c:v>
                </c:pt>
                <c:pt idx="11">
                  <c:v>7491.4033200000003</c:v>
                </c:pt>
                <c:pt idx="12">
                  <c:v>15169.161133</c:v>
                </c:pt>
                <c:pt idx="13">
                  <c:v>11686.303711</c:v>
                </c:pt>
                <c:pt idx="14">
                  <c:v>8971.5976559999999</c:v>
                </c:pt>
                <c:pt idx="15">
                  <c:v>5406.4360349999997</c:v>
                </c:pt>
                <c:pt idx="16">
                  <c:v>4250.2915039999998</c:v>
                </c:pt>
                <c:pt idx="17">
                  <c:v>2619.2705080000001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A7-4E7F-BB3C-1027B36BD2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'AG1'!$I$3:$I$20</c:f>
              <c:numCache>
                <c:formatCode>General</c:formatCode>
                <c:ptCount val="18"/>
                <c:pt idx="0">
                  <c:v>25.453471567323145</c:v>
                </c:pt>
                <c:pt idx="1">
                  <c:v>136.69823164435232</c:v>
                </c:pt>
                <c:pt idx="2">
                  <c:v>111.54007853671075</c:v>
                </c:pt>
                <c:pt idx="3">
                  <c:v>39.952413312749982</c:v>
                </c:pt>
                <c:pt idx="4">
                  <c:v>16.319072916944343</c:v>
                </c:pt>
                <c:pt idx="5">
                  <c:v>2.2301977574611591</c:v>
                </c:pt>
                <c:pt idx="6">
                  <c:v>26.331452078216472</c:v>
                </c:pt>
                <c:pt idx="7">
                  <c:v>5.4349004996451891</c:v>
                </c:pt>
                <c:pt idx="8">
                  <c:v>2.5079057826732951</c:v>
                </c:pt>
                <c:pt idx="9">
                  <c:v>0.79800852103333253</c:v>
                </c:pt>
                <c:pt idx="10">
                  <c:v>0.43387132717021915</c:v>
                </c:pt>
                <c:pt idx="11">
                  <c:v>0.10507779002810543</c:v>
                </c:pt>
                <c:pt idx="12">
                  <c:v>0.99340305796872552</c:v>
                </c:pt>
                <c:pt idx="13">
                  <c:v>0.40337739496886543</c:v>
                </c:pt>
                <c:pt idx="14">
                  <c:v>0.17829268023342437</c:v>
                </c:pt>
                <c:pt idx="15">
                  <c:v>4.0850410982721984E-2</c:v>
                </c:pt>
                <c:pt idx="16">
                  <c:v>1.9798914135191633E-2</c:v>
                </c:pt>
                <c:pt idx="17">
                  <c:v>3.4496446302812928E-3</c:v>
                </c:pt>
              </c:numCache>
            </c:numRef>
          </c:xVal>
          <c:yVal>
            <c:numRef>
              <c:f>'AG1'!$D$3:$D$20</c:f>
              <c:numCache>
                <c:formatCode>0</c:formatCode>
                <c:ptCount val="18"/>
                <c:pt idx="0">
                  <c:v>27890.222656000002</c:v>
                </c:pt>
                <c:pt idx="1">
                  <c:v>32464.939452999999</c:v>
                </c:pt>
                <c:pt idx="2">
                  <c:v>32003.925781000002</c:v>
                </c:pt>
                <c:pt idx="3">
                  <c:v>29290.876952999999</c:v>
                </c:pt>
                <c:pt idx="4">
                  <c:v>26386.759765999999</c:v>
                </c:pt>
                <c:pt idx="5">
                  <c:v>18527.648437</c:v>
                </c:pt>
                <c:pt idx="6">
                  <c:v>28000</c:v>
                </c:pt>
                <c:pt idx="7">
                  <c:v>22213.759765999999</c:v>
                </c:pt>
                <c:pt idx="8">
                  <c:v>19019.732422000001</c:v>
                </c:pt>
                <c:pt idx="9">
                  <c:v>14287.422852</c:v>
                </c:pt>
                <c:pt idx="10">
                  <c:v>11951.486328000001</c:v>
                </c:pt>
                <c:pt idx="11">
                  <c:v>7491.4033200000003</c:v>
                </c:pt>
                <c:pt idx="12">
                  <c:v>15169.161133</c:v>
                </c:pt>
                <c:pt idx="13">
                  <c:v>11686.303711</c:v>
                </c:pt>
                <c:pt idx="14">
                  <c:v>8971.5976559999999</c:v>
                </c:pt>
                <c:pt idx="15">
                  <c:v>5406.4360349999997</c:v>
                </c:pt>
                <c:pt idx="16">
                  <c:v>4250.2915039999998</c:v>
                </c:pt>
                <c:pt idx="17">
                  <c:v>2619.2705080000001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7-4E7F-BB3C-1027B36BD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906687"/>
        <c:axId val="1976564495"/>
      </c:scatterChart>
      <c:valAx>
        <c:axId val="19749066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76564495"/>
        <c:crosses val="autoZero"/>
        <c:crossBetween val="midCat"/>
      </c:valAx>
      <c:valAx>
        <c:axId val="19765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7490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4423665791776025E-2"/>
                  <c:y val="-4.3409886264216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'AG1'!$G$6:$G$20</c:f>
              <c:numCache>
                <c:formatCode>General</c:formatCode>
                <c:ptCount val="15"/>
                <c:pt idx="0">
                  <c:v>35.868076542934787</c:v>
                </c:pt>
                <c:pt idx="1">
                  <c:v>17.934038271467394</c:v>
                </c:pt>
                <c:pt idx="2">
                  <c:v>3.5868076542934788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  <c:pt idx="6">
                  <c:v>1</c:v>
                </c:pt>
                <c:pt idx="7">
                  <c:v>0.5</c:v>
                </c:pt>
                <c:pt idx="8">
                  <c:v>0.1</c:v>
                </c:pt>
                <c:pt idx="9">
                  <c:v>1.1212694834929704</c:v>
                </c:pt>
                <c:pt idx="10">
                  <c:v>0.44850779339718816</c:v>
                </c:pt>
                <c:pt idx="11">
                  <c:v>0.22425389669859408</c:v>
                </c:pt>
                <c:pt idx="12">
                  <c:v>4.4850779339718816E-2</c:v>
                </c:pt>
                <c:pt idx="13">
                  <c:v>2.2425389669859408E-2</c:v>
                </c:pt>
                <c:pt idx="14">
                  <c:v>4.4850779339718821E-3</c:v>
                </c:pt>
              </c:numCache>
            </c:numRef>
          </c:xVal>
          <c:yVal>
            <c:numRef>
              <c:f>'AG1'!$I$6:$I$20</c:f>
              <c:numCache>
                <c:formatCode>General</c:formatCode>
                <c:ptCount val="15"/>
                <c:pt idx="0">
                  <c:v>39.952413312749982</c:v>
                </c:pt>
                <c:pt idx="1">
                  <c:v>16.319072916944343</c:v>
                </c:pt>
                <c:pt idx="2">
                  <c:v>2.2301977574611591</c:v>
                </c:pt>
                <c:pt idx="3">
                  <c:v>26.331452078216472</c:v>
                </c:pt>
                <c:pt idx="4">
                  <c:v>5.4349004996451891</c:v>
                </c:pt>
                <c:pt idx="5">
                  <c:v>2.5079057826732951</c:v>
                </c:pt>
                <c:pt idx="6">
                  <c:v>0.79800852103333253</c:v>
                </c:pt>
                <c:pt idx="7">
                  <c:v>0.43387132717021915</c:v>
                </c:pt>
                <c:pt idx="8">
                  <c:v>0.10507779002810543</c:v>
                </c:pt>
                <c:pt idx="9">
                  <c:v>0.99340305796872552</c:v>
                </c:pt>
                <c:pt idx="10">
                  <c:v>0.40337739496886543</c:v>
                </c:pt>
                <c:pt idx="11">
                  <c:v>0.17829268023342437</c:v>
                </c:pt>
                <c:pt idx="12">
                  <c:v>4.0850410982721984E-2</c:v>
                </c:pt>
                <c:pt idx="13">
                  <c:v>1.9798914135191633E-2</c:v>
                </c:pt>
                <c:pt idx="14">
                  <c:v>3.4496446302812928E-3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1-41FC-A607-89F2FF462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737167"/>
        <c:axId val="1976584879"/>
      </c:scatterChart>
      <c:valAx>
        <c:axId val="213473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76584879"/>
        <c:crosses val="autoZero"/>
        <c:crossBetween val="midCat"/>
      </c:valAx>
      <c:valAx>
        <c:axId val="19765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13473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'AG1'!$E$3:$E$20</c:f>
              <c:numCache>
                <c:formatCode>0.00</c:formatCode>
                <c:ptCount val="18"/>
                <c:pt idx="0">
                  <c:v>17.331244000000002</c:v>
                </c:pt>
                <c:pt idx="1">
                  <c:v>13.031172</c:v>
                </c:pt>
                <c:pt idx="2">
                  <c:v>16.182673999999999</c:v>
                </c:pt>
                <c:pt idx="3">
                  <c:v>18.755966000000001</c:v>
                </c:pt>
                <c:pt idx="4">
                  <c:v>22.237423</c:v>
                </c:pt>
                <c:pt idx="5">
                  <c:v>23.809588999999999</c:v>
                </c:pt>
                <c:pt idx="6">
                  <c:v>10.603424</c:v>
                </c:pt>
                <c:pt idx="7">
                  <c:v>16.541653</c:v>
                </c:pt>
                <c:pt idx="8">
                  <c:v>17.987231999999999</c:v>
                </c:pt>
                <c:pt idx="9">
                  <c:v>26.221813000000001</c:v>
                </c:pt>
                <c:pt idx="10">
                  <c:v>27.084215</c:v>
                </c:pt>
                <c:pt idx="11">
                  <c:v>29.858281999999999</c:v>
                </c:pt>
                <c:pt idx="12">
                  <c:v>19.588760000000001</c:v>
                </c:pt>
                <c:pt idx="13">
                  <c:v>26.601870999999999</c:v>
                </c:pt>
                <c:pt idx="14">
                  <c:v>28.265042999999999</c:v>
                </c:pt>
                <c:pt idx="15">
                  <c:v>30.273053999999998</c:v>
                </c:pt>
                <c:pt idx="16">
                  <c:v>28.746621999999999</c:v>
                </c:pt>
                <c:pt idx="17">
                  <c:v>23.550543000000001</c:v>
                </c:pt>
              </c:numCache>
            </c:numRef>
          </c:xVal>
          <c:yVal>
            <c:numRef>
              <c:f>'AG1'!$AA$3:$AA$20</c:f>
              <c:numCache>
                <c:formatCode>0.0000</c:formatCode>
                <c:ptCount val="18"/>
                <c:pt idx="0">
                  <c:v>580783.58472090785</c:v>
                </c:pt>
                <c:pt idx="1">
                  <c:v>197931.62458994309</c:v>
                </c:pt>
                <c:pt idx="2">
                  <c:v>91631.861206554182</c:v>
                </c:pt>
                <c:pt idx="3">
                  <c:v>16806.718931059142</c:v>
                </c:pt>
                <c:pt idx="4">
                  <c:v>8314.1339487769892</c:v>
                </c:pt>
                <c:pt idx="5">
                  <c:v>1684.8941489767258</c:v>
                </c:pt>
                <c:pt idx="6">
                  <c:v>14802.236482698892</c:v>
                </c:pt>
                <c:pt idx="7">
                  <c:v>5868.3498542876778</c:v>
                </c:pt>
                <c:pt idx="8">
                  <c:v>2948.0973756682624</c:v>
                </c:pt>
                <c:pt idx="9">
                  <c:v>611.64507091133248</c:v>
                </c:pt>
                <c:pt idx="10">
                  <c:v>312.86513581465823</c:v>
                </c:pt>
                <c:pt idx="11">
                  <c:v>66.201148154438954</c:v>
                </c:pt>
                <c:pt idx="12">
                  <c:v>542.32594604613018</c:v>
                </c:pt>
                <c:pt idx="13">
                  <c:v>223.77998615943497</c:v>
                </c:pt>
                <c:pt idx="14">
                  <c:v>114.69125051096339</c:v>
                </c:pt>
                <c:pt idx="15">
                  <c:v>24.059806599672577</c:v>
                </c:pt>
                <c:pt idx="16">
                  <c:v>12.131215605126798</c:v>
                </c:pt>
                <c:pt idx="17">
                  <c:v>2.3000788974369391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C-4E21-847E-8FE6F68BD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63103"/>
        <c:axId val="1168261439"/>
      </c:scatterChart>
      <c:valAx>
        <c:axId val="11682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68261439"/>
        <c:crosses val="autoZero"/>
        <c:crossBetween val="midCat"/>
      </c:valAx>
      <c:valAx>
        <c:axId val="11682614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682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'BG2'!$C$9:$C$14</c:f>
              <c:numCache>
                <c:formatCode>0.0</c:formatCode>
                <c:ptCount val="6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1</c:v>
                </c:pt>
                <c:pt idx="4">
                  <c:v>0.5</c:v>
                </c:pt>
                <c:pt idx="5">
                  <c:v>0.1</c:v>
                </c:pt>
              </c:numCache>
            </c:numRef>
          </c:xVal>
          <c:yVal>
            <c:numRef>
              <c:f>'BG2'!$D$9:$D$14</c:f>
              <c:numCache>
                <c:formatCode>0</c:formatCode>
                <c:ptCount val="6"/>
                <c:pt idx="0">
                  <c:v>22355.226562</c:v>
                </c:pt>
                <c:pt idx="1">
                  <c:v>20539.855468999998</c:v>
                </c:pt>
                <c:pt idx="2">
                  <c:v>19054.482422000001</c:v>
                </c:pt>
                <c:pt idx="3">
                  <c:v>14167.073242</c:v>
                </c:pt>
                <c:pt idx="4">
                  <c:v>12014.984375</c:v>
                </c:pt>
                <c:pt idx="5">
                  <c:v>8058.8056640000004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E-428B-AC9E-BF09EC838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79192"/>
        <c:axId val="714076240"/>
      </c:scatterChart>
      <c:valAx>
        <c:axId val="714079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4076240"/>
        <c:crosses val="autoZero"/>
        <c:crossBetween val="midCat"/>
      </c:valAx>
      <c:valAx>
        <c:axId val="7140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407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'CG1'!$C$9:$C$14</c:f>
              <c:numCache>
                <c:formatCode>0.0</c:formatCode>
                <c:ptCount val="6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1</c:v>
                </c:pt>
                <c:pt idx="4">
                  <c:v>0.5</c:v>
                </c:pt>
                <c:pt idx="5">
                  <c:v>0.1</c:v>
                </c:pt>
              </c:numCache>
            </c:numRef>
          </c:xVal>
          <c:yVal>
            <c:numRef>
              <c:f>'CG1'!$D$9:$D$14</c:f>
              <c:numCache>
                <c:formatCode>0</c:formatCode>
                <c:ptCount val="6"/>
                <c:pt idx="0">
                  <c:v>14800.754883</c:v>
                </c:pt>
                <c:pt idx="1">
                  <c:v>11571.862305000001</c:v>
                </c:pt>
                <c:pt idx="2">
                  <c:v>9762.6699219999991</c:v>
                </c:pt>
                <c:pt idx="3">
                  <c:v>6278.5971680000002</c:v>
                </c:pt>
                <c:pt idx="4">
                  <c:v>5231.1293949999999</c:v>
                </c:pt>
                <c:pt idx="5">
                  <c:v>3531.7934570000002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1-4E54-AE60-788F44B1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79848"/>
        <c:axId val="714077552"/>
      </c:scatterChart>
      <c:valAx>
        <c:axId val="7140798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4077552"/>
        <c:crosses val="autoZero"/>
        <c:crossBetween val="midCat"/>
      </c:valAx>
      <c:valAx>
        <c:axId val="71407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407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AG1</c:v>
          </c:tx>
          <c:spPr>
            <a:ln w="19050" cap="rnd">
              <a:solidFill>
                <a:schemeClr val="tx1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Summary!$M$3:$M$9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Summary!$N$3:$N$9</c:f>
              <c:numCache>
                <c:formatCode>0.0000</c:formatCode>
                <c:ptCount val="7"/>
                <c:pt idx="0">
                  <c:v>0.13308710419582584</c:v>
                </c:pt>
                <c:pt idx="1">
                  <c:v>0.235558121154397</c:v>
                </c:pt>
                <c:pt idx="2">
                  <c:v>0.41692716042678685</c:v>
                </c:pt>
                <c:pt idx="3">
                  <c:v>0.73794211063352633</c:v>
                </c:pt>
                <c:pt idx="4">
                  <c:v>1.306123971604122</c:v>
                </c:pt>
                <c:pt idx="5">
                  <c:v>2.3117800226014356</c:v>
                </c:pt>
                <c:pt idx="6">
                  <c:v>4.091745492072576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6-AE44-887D-A7F38D098081}"/>
            </c:ext>
          </c:extLst>
        </c:ser>
        <c:ser>
          <c:idx val="1"/>
          <c:order val="1"/>
          <c:tx>
            <c:v>BG1</c:v>
          </c:tx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Summary!$M$3:$M$9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Summary!$P$3:$P$9</c:f>
              <c:numCache>
                <c:formatCode>0.0000</c:formatCode>
                <c:ptCount val="7"/>
                <c:pt idx="0">
                  <c:v>9.0171442499437593E-2</c:v>
                </c:pt>
                <c:pt idx="1">
                  <c:v>0.15814715117249475</c:v>
                </c:pt>
                <c:pt idx="2">
                  <c:v>0.27736632275935819</c:v>
                </c:pt>
                <c:pt idx="3">
                  <c:v>0.48645882287905934</c:v>
                </c:pt>
                <c:pt idx="4">
                  <c:v>0.85317562710087824</c:v>
                </c:pt>
                <c:pt idx="5">
                  <c:v>1.4963417589404999</c:v>
                </c:pt>
                <c:pt idx="6">
                  <c:v>2.6243584420683517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6-AE44-887D-A7F38D098081}"/>
            </c:ext>
          </c:extLst>
        </c:ser>
        <c:ser>
          <c:idx val="2"/>
          <c:order val="2"/>
          <c:tx>
            <c:v>CG1</c:v>
          </c:tx>
          <c:spPr>
            <a:ln w="19050" cap="rnd">
              <a:solidFill>
                <a:schemeClr val="accent2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Summary!$M$3:$M$9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Summary!$R$3:$R$9</c:f>
              <c:numCache>
                <c:formatCode>0.0000</c:formatCode>
                <c:ptCount val="7"/>
                <c:pt idx="0">
                  <c:v>0.30694763293051708</c:v>
                </c:pt>
                <c:pt idx="1">
                  <c:v>0.49553843777362072</c:v>
                </c:pt>
                <c:pt idx="2">
                  <c:v>0.80000077201021114</c:v>
                </c:pt>
                <c:pt idx="3">
                  <c:v>1.291526925928012</c:v>
                </c:pt>
                <c:pt idx="4">
                  <c:v>2.0850502383962324</c:v>
                </c:pt>
                <c:pt idx="5">
                  <c:v>3.3661199076530175</c:v>
                </c:pt>
                <c:pt idx="6">
                  <c:v>5.4342878766380665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66-AE44-887D-A7F38D098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956911"/>
        <c:axId val="466033871"/>
      </c:scatterChart>
      <c:valAx>
        <c:axId val="46595691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Hőmérséklet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66033871"/>
        <c:crosses val="autoZero"/>
        <c:crossBetween val="midCat"/>
      </c:valAx>
      <c:valAx>
        <c:axId val="4660338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65956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Summary!$O$14:$O$63</c:f>
              <c:numCache>
                <c:formatCode>0.000000</c:formatCode>
                <c:ptCount val="50"/>
                <c:pt idx="0">
                  <c:v>7.3103783823008135E-5</c:v>
                </c:pt>
                <c:pt idx="1">
                  <c:v>3.0243500229566267E-4</c:v>
                </c:pt>
                <c:pt idx="2">
                  <c:v>6.8602631530447465E-4</c:v>
                </c:pt>
                <c:pt idx="3">
                  <c:v>1.2262200501842115E-3</c:v>
                </c:pt>
                <c:pt idx="4">
                  <c:v>1.9268915038000377E-3</c:v>
                </c:pt>
                <c:pt idx="5">
                  <c:v>2.7928003506627196E-3</c:v>
                </c:pt>
                <c:pt idx="6">
                  <c:v>5.7171251510555014E-3</c:v>
                </c:pt>
                <c:pt idx="7">
                  <c:v>1.5174540846601185E-2</c:v>
                </c:pt>
                <c:pt idx="8">
                  <c:v>3.0278485017262595E-2</c:v>
                </c:pt>
                <c:pt idx="9">
                  <c:v>5.2259463573774673E-2</c:v>
                </c:pt>
                <c:pt idx="10">
                  <c:v>8.2649377691424886E-2</c:v>
                </c:pt>
                <c:pt idx="11">
                  <c:v>0.12334889295032131</c:v>
                </c:pt>
                <c:pt idx="12">
                  <c:v>0.17671864003934595</c:v>
                </c:pt>
                <c:pt idx="13">
                  <c:v>0.2456990745928202</c:v>
                </c:pt>
                <c:pt idx="14">
                  <c:v>0.33396748652360803</c:v>
                </c:pt>
                <c:pt idx="15">
                  <c:v>0.44614446219285636</c:v>
                </c:pt>
                <c:pt idx="16">
                  <c:v>0.58806714530924609</c:v>
                </c:pt>
                <c:pt idx="17">
                  <c:v>0.76715376720589179</c:v>
                </c:pt>
                <c:pt idx="18">
                  <c:v>0.99289424610827681</c:v>
                </c:pt>
                <c:pt idx="19">
                  <c:v>1.2775168787374458</c:v>
                </c:pt>
                <c:pt idx="20">
                  <c:v>1.6369039191543315</c:v>
                </c:pt>
                <c:pt idx="21">
                  <c:v>2.0918634156756126</c:v>
                </c:pt>
                <c:pt idx="22">
                  <c:v>2.6699180171354522</c:v>
                </c:pt>
                <c:pt idx="23">
                  <c:v>3.4078551684850078</c:v>
                </c:pt>
                <c:pt idx="24">
                  <c:v>4.3554169428259693</c:v>
                </c:pt>
                <c:pt idx="25">
                  <c:v>5.5807260808683878</c:v>
                </c:pt>
                <c:pt idx="26">
                  <c:v>7.1784089540328182</c:v>
                </c:pt>
                <c:pt idx="27">
                  <c:v>9.2819985019248961</c:v>
                </c:pt>
                <c:pt idx="28">
                  <c:v>12.083292798725237</c:v>
                </c:pt>
                <c:pt idx="29">
                  <c:v>15.863321388915852</c:v>
                </c:pt>
                <c:pt idx="30">
                  <c:v>21.04326857646581</c:v>
                </c:pt>
                <c:pt idx="31">
                  <c:v>28.27088376646897</c:v>
                </c:pt>
                <c:pt idx="32">
                  <c:v>38.572466380831685</c:v>
                </c:pt>
                <c:pt idx="33">
                  <c:v>53.631507147515833</c:v>
                </c:pt>
                <c:pt idx="34">
                  <c:v>76.324914660942838</c:v>
                </c:pt>
                <c:pt idx="35">
                  <c:v>111.81601332669518</c:v>
                </c:pt>
                <c:pt idx="36">
                  <c:v>169.94236813532939</c:v>
                </c:pt>
                <c:pt idx="37">
                  <c:v>270.89746837294251</c:v>
                </c:pt>
                <c:pt idx="38">
                  <c:v>349.85451129083884</c:v>
                </c:pt>
                <c:pt idx="39">
                  <c:v>460.29316347311834</c:v>
                </c:pt>
                <c:pt idx="40">
                  <c:v>619.10585366729765</c:v>
                </c:pt>
                <c:pt idx="41">
                  <c:v>855.17638476373725</c:v>
                </c:pt>
                <c:pt idx="42">
                  <c:v>1220.5299705071495</c:v>
                </c:pt>
                <c:pt idx="43">
                  <c:v>1815.0403666788625</c:v>
                </c:pt>
                <c:pt idx="44">
                  <c:v>2846.4011650074558</c:v>
                </c:pt>
                <c:pt idx="45">
                  <c:v>4793.6538800706694</c:v>
                </c:pt>
                <c:pt idx="46">
                  <c:v>8927.6232758591723</c:v>
                </c:pt>
                <c:pt idx="47">
                  <c:v>19369.576721733065</c:v>
                </c:pt>
                <c:pt idx="48">
                  <c:v>54479.455098391431</c:v>
                </c:pt>
                <c:pt idx="49">
                  <c:v>263579.27943008154</c:v>
                </c:pt>
              </c:numCache>
            </c:numRef>
          </c:xVal>
          <c:yVal>
            <c:numRef>
              <c:f>Summary!$N$14:$N$63</c:f>
              <c:numCache>
                <c:formatCode>General</c:formatCode>
                <c:ptCount val="50"/>
                <c:pt idx="0">
                  <c:v>1500</c:v>
                </c:pt>
                <c:pt idx="1">
                  <c:v>1700</c:v>
                </c:pt>
                <c:pt idx="2">
                  <c:v>1900</c:v>
                </c:pt>
                <c:pt idx="3">
                  <c:v>2100</c:v>
                </c:pt>
                <c:pt idx="4">
                  <c:v>2300</c:v>
                </c:pt>
                <c:pt idx="5">
                  <c:v>2500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  <c:pt idx="9">
                  <c:v>6000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  <c:pt idx="14">
                  <c:v>11000</c:v>
                </c:pt>
                <c:pt idx="15">
                  <c:v>12000</c:v>
                </c:pt>
                <c:pt idx="16">
                  <c:v>13000</c:v>
                </c:pt>
                <c:pt idx="17">
                  <c:v>14000</c:v>
                </c:pt>
                <c:pt idx="18">
                  <c:v>15000</c:v>
                </c:pt>
                <c:pt idx="19">
                  <c:v>16000</c:v>
                </c:pt>
                <c:pt idx="20">
                  <c:v>17000</c:v>
                </c:pt>
                <c:pt idx="21">
                  <c:v>18000</c:v>
                </c:pt>
                <c:pt idx="22">
                  <c:v>19000</c:v>
                </c:pt>
                <c:pt idx="23">
                  <c:v>20000</c:v>
                </c:pt>
                <c:pt idx="24">
                  <c:v>21000</c:v>
                </c:pt>
                <c:pt idx="25">
                  <c:v>22000</c:v>
                </c:pt>
                <c:pt idx="26">
                  <c:v>23000</c:v>
                </c:pt>
                <c:pt idx="27">
                  <c:v>24000</c:v>
                </c:pt>
                <c:pt idx="28">
                  <c:v>25000</c:v>
                </c:pt>
                <c:pt idx="29">
                  <c:v>26000</c:v>
                </c:pt>
                <c:pt idx="30">
                  <c:v>27000</c:v>
                </c:pt>
                <c:pt idx="31">
                  <c:v>28000</c:v>
                </c:pt>
                <c:pt idx="32">
                  <c:v>29000</c:v>
                </c:pt>
                <c:pt idx="33">
                  <c:v>30000</c:v>
                </c:pt>
                <c:pt idx="34">
                  <c:v>31000</c:v>
                </c:pt>
                <c:pt idx="35">
                  <c:v>32000</c:v>
                </c:pt>
                <c:pt idx="36">
                  <c:v>33000</c:v>
                </c:pt>
                <c:pt idx="37">
                  <c:v>34000</c:v>
                </c:pt>
                <c:pt idx="38">
                  <c:v>34500</c:v>
                </c:pt>
                <c:pt idx="39">
                  <c:v>35000</c:v>
                </c:pt>
                <c:pt idx="40">
                  <c:v>35500</c:v>
                </c:pt>
                <c:pt idx="41">
                  <c:v>36000</c:v>
                </c:pt>
                <c:pt idx="42">
                  <c:v>36500</c:v>
                </c:pt>
                <c:pt idx="43">
                  <c:v>37000</c:v>
                </c:pt>
                <c:pt idx="44">
                  <c:v>37500</c:v>
                </c:pt>
                <c:pt idx="45">
                  <c:v>38000</c:v>
                </c:pt>
                <c:pt idx="46">
                  <c:v>38500</c:v>
                </c:pt>
                <c:pt idx="47">
                  <c:v>39000</c:v>
                </c:pt>
                <c:pt idx="48">
                  <c:v>39500</c:v>
                </c:pt>
                <c:pt idx="49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8B-B541-8B7F-6627A22B4E4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Summary!$P$15:$P$63</c:f>
              <c:numCache>
                <c:formatCode>0.000000</c:formatCode>
                <c:ptCount val="49"/>
                <c:pt idx="0">
                  <c:v>1.1282555331232112E-4</c:v>
                </c:pt>
                <c:pt idx="1">
                  <c:v>4.1131685510922882E-4</c:v>
                </c:pt>
                <c:pt idx="2">
                  <c:v>8.6738869700989931E-4</c:v>
                </c:pt>
                <c:pt idx="3">
                  <c:v>1.4734476029631253E-3</c:v>
                </c:pt>
                <c:pt idx="4">
                  <c:v>2.2272571636652058E-3</c:v>
                </c:pt>
                <c:pt idx="5">
                  <c:v>4.7643425314963499E-3</c:v>
                </c:pt>
                <c:pt idx="6">
                  <c:v>1.2823820977569305E-2</c:v>
                </c:pt>
                <c:pt idx="7">
                  <c:v>2.5464214738987252E-2</c:v>
                </c:pt>
                <c:pt idx="8">
                  <c:v>4.3696093060854417E-2</c:v>
                </c:pt>
                <c:pt idx="9">
                  <c:v>6.8878131759630049E-2</c:v>
                </c:pt>
                <c:pt idx="10">
                  <c:v>0.10279524371469911</c:v>
                </c:pt>
                <c:pt idx="11">
                  <c:v>0.14778452589505267</c:v>
                </c:pt>
                <c:pt idx="12">
                  <c:v>0.20691673679942091</c:v>
                </c:pt>
                <c:pt idx="13">
                  <c:v>0.28425371477611039</c:v>
                </c:pt>
                <c:pt idx="14">
                  <c:v>0.38521524116098693</c:v>
                </c:pt>
                <c:pt idx="15">
                  <c:v>0.5171078742643026</c:v>
                </c:pt>
                <c:pt idx="16">
                  <c:v>0.68989850099185768</c:v>
                </c:pt>
                <c:pt idx="17">
                  <c:v>0.917365167170067</c:v>
                </c:pt>
                <c:pt idx="18">
                  <c:v>1.2188421568498906</c:v>
                </c:pt>
                <c:pt idx="19">
                  <c:v>1.6219233048763118</c:v>
                </c:pt>
                <c:pt idx="20">
                  <c:v>2.1667513124975235</c:v>
                </c:pt>
                <c:pt idx="21">
                  <c:v>2.9130100548693174</c:v>
                </c:pt>
                <c:pt idx="22">
                  <c:v>3.9516785529699807</c:v>
                </c:pt>
                <c:pt idx="23">
                  <c:v>5.4254960505920202</c:v>
                </c:pt>
                <c:pt idx="24">
                  <c:v>7.5660722236514779</c:v>
                </c:pt>
                <c:pt idx="25">
                  <c:v>10.764457919882318</c:v>
                </c:pt>
                <c:pt idx="26">
                  <c:v>15.713135077781486</c:v>
                </c:pt>
                <c:pt idx="27">
                  <c:v>23.711832202622123</c:v>
                </c:pt>
                <c:pt idx="28">
                  <c:v>37.383850594857194</c:v>
                </c:pt>
                <c:pt idx="29">
                  <c:v>62.542153389113253</c:v>
                </c:pt>
                <c:pt idx="30">
                  <c:v>113.77926736998174</c:v>
                </c:pt>
                <c:pt idx="31">
                  <c:v>234.77989077208878</c:v>
                </c:pt>
                <c:pt idx="32">
                  <c:v>596.90824884788128</c:v>
                </c:pt>
                <c:pt idx="33">
                  <c:v>2288.9510922955574</c:v>
                </c:pt>
                <c:pt idx="34">
                  <c:v>29402.777971815267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xVal>
          <c:yVal>
            <c:numRef>
              <c:f>Summary!$N$15:$N$63</c:f>
              <c:numCache>
                <c:formatCode>General</c:formatCode>
                <c:ptCount val="49"/>
                <c:pt idx="0">
                  <c:v>1700</c:v>
                </c:pt>
                <c:pt idx="1">
                  <c:v>1900</c:v>
                </c:pt>
                <c:pt idx="2">
                  <c:v>2100</c:v>
                </c:pt>
                <c:pt idx="3">
                  <c:v>2300</c:v>
                </c:pt>
                <c:pt idx="4">
                  <c:v>2500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  <c:pt idx="13">
                  <c:v>11000</c:v>
                </c:pt>
                <c:pt idx="14">
                  <c:v>12000</c:v>
                </c:pt>
                <c:pt idx="15">
                  <c:v>13000</c:v>
                </c:pt>
                <c:pt idx="16">
                  <c:v>14000</c:v>
                </c:pt>
                <c:pt idx="17">
                  <c:v>15000</c:v>
                </c:pt>
                <c:pt idx="18">
                  <c:v>16000</c:v>
                </c:pt>
                <c:pt idx="19">
                  <c:v>17000</c:v>
                </c:pt>
                <c:pt idx="20">
                  <c:v>18000</c:v>
                </c:pt>
                <c:pt idx="21">
                  <c:v>19000</c:v>
                </c:pt>
                <c:pt idx="22">
                  <c:v>20000</c:v>
                </c:pt>
                <c:pt idx="23">
                  <c:v>21000</c:v>
                </c:pt>
                <c:pt idx="24">
                  <c:v>22000</c:v>
                </c:pt>
                <c:pt idx="25">
                  <c:v>23000</c:v>
                </c:pt>
                <c:pt idx="26">
                  <c:v>24000</c:v>
                </c:pt>
                <c:pt idx="27">
                  <c:v>25000</c:v>
                </c:pt>
                <c:pt idx="28">
                  <c:v>26000</c:v>
                </c:pt>
                <c:pt idx="29">
                  <c:v>27000</c:v>
                </c:pt>
                <c:pt idx="30">
                  <c:v>28000</c:v>
                </c:pt>
                <c:pt idx="31">
                  <c:v>29000</c:v>
                </c:pt>
                <c:pt idx="32">
                  <c:v>30000</c:v>
                </c:pt>
                <c:pt idx="33">
                  <c:v>31000</c:v>
                </c:pt>
                <c:pt idx="34">
                  <c:v>32000</c:v>
                </c:pt>
                <c:pt idx="35">
                  <c:v>33000</c:v>
                </c:pt>
                <c:pt idx="36">
                  <c:v>34000</c:v>
                </c:pt>
                <c:pt idx="37">
                  <c:v>34500</c:v>
                </c:pt>
                <c:pt idx="38">
                  <c:v>35000</c:v>
                </c:pt>
                <c:pt idx="39">
                  <c:v>35500</c:v>
                </c:pt>
                <c:pt idx="40">
                  <c:v>36000</c:v>
                </c:pt>
                <c:pt idx="41">
                  <c:v>36500</c:v>
                </c:pt>
                <c:pt idx="42">
                  <c:v>37000</c:v>
                </c:pt>
                <c:pt idx="43">
                  <c:v>37500</c:v>
                </c:pt>
                <c:pt idx="44">
                  <c:v>38000</c:v>
                </c:pt>
                <c:pt idx="45">
                  <c:v>38500</c:v>
                </c:pt>
                <c:pt idx="46">
                  <c:v>39000</c:v>
                </c:pt>
                <c:pt idx="47">
                  <c:v>39500</c:v>
                </c:pt>
                <c:pt idx="48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8B-B541-8B7F-6627A22B4E4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Summary!$Q$13:$Q$57</c:f>
              <c:numCache>
                <c:formatCode>0.000000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6.1599270865423741E-6</c:v>
                </c:pt>
                <c:pt idx="5">
                  <c:v>2.154889799084353E-4</c:v>
                </c:pt>
                <c:pt idx="6">
                  <c:v>6.3308103489604359E-4</c:v>
                </c:pt>
                <c:pt idx="7">
                  <c:v>2.4407997748418647E-3</c:v>
                </c:pt>
                <c:pt idx="8">
                  <c:v>9.2330269372998715E-3</c:v>
                </c:pt>
                <c:pt idx="9">
                  <c:v>2.0723964125892093E-2</c:v>
                </c:pt>
                <c:pt idx="10">
                  <c:v>3.794291735414624E-2</c:v>
                </c:pt>
                <c:pt idx="11">
                  <c:v>6.2381339873526377E-2</c:v>
                </c:pt>
                <c:pt idx="12">
                  <c:v>9.6079645020607618E-2</c:v>
                </c:pt>
                <c:pt idx="13">
                  <c:v>0.14180378646588757</c:v>
                </c:pt>
                <c:pt idx="14">
                  <c:v>0.20331667913954782</c:v>
                </c:pt>
                <c:pt idx="15">
                  <c:v>0.28578287541230574</c:v>
                </c:pt>
                <c:pt idx="16">
                  <c:v>0.39637532749859616</c:v>
                </c:pt>
                <c:pt idx="17">
                  <c:v>0.54519954373794954</c:v>
                </c:pt>
                <c:pt idx="18">
                  <c:v>0.74673008397070495</c:v>
                </c:pt>
                <c:pt idx="19">
                  <c:v>1.0220971530870679</c:v>
                </c:pt>
                <c:pt idx="20">
                  <c:v>1.4028267250641051</c:v>
                </c:pt>
                <c:pt idx="21">
                  <c:v>1.9371512576453991</c:v>
                </c:pt>
                <c:pt idx="22">
                  <c:v>2.701044854382662</c:v>
                </c:pt>
                <c:pt idx="23">
                  <c:v>3.8183355981578591</c:v>
                </c:pt>
                <c:pt idx="24">
                  <c:v>5.4991865186078295</c:v>
                </c:pt>
                <c:pt idx="25">
                  <c:v>8.1181041861857768</c:v>
                </c:pt>
                <c:pt idx="26">
                  <c:v>12.383551818843792</c:v>
                </c:pt>
                <c:pt idx="27">
                  <c:v>19.740155754995584</c:v>
                </c:pt>
                <c:pt idx="28">
                  <c:v>33.433936655113371</c:v>
                </c:pt>
                <c:pt idx="29">
                  <c:v>61.778294355091624</c:v>
                </c:pt>
                <c:pt idx="30">
                  <c:v>130.4446884024668</c:v>
                </c:pt>
                <c:pt idx="31">
                  <c:v>345.7231125135234</c:v>
                </c:pt>
                <c:pt idx="32">
                  <c:v>1467.138304051477</c:v>
                </c:pt>
                <c:pt idx="33">
                  <c:v>31391.517351868137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xVal>
          <c:yVal>
            <c:numRef>
              <c:f>Summary!$N$13:$N$57</c:f>
              <c:numCache>
                <c:formatCode>General</c:formatCode>
                <c:ptCount val="45"/>
                <c:pt idx="0">
                  <c:v>1300</c:v>
                </c:pt>
                <c:pt idx="1">
                  <c:v>1500</c:v>
                </c:pt>
                <c:pt idx="2">
                  <c:v>1700</c:v>
                </c:pt>
                <c:pt idx="3">
                  <c:v>1900</c:v>
                </c:pt>
                <c:pt idx="4">
                  <c:v>2100</c:v>
                </c:pt>
                <c:pt idx="5">
                  <c:v>2300</c:v>
                </c:pt>
                <c:pt idx="6">
                  <c:v>2500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  <c:pt idx="17">
                  <c:v>13000</c:v>
                </c:pt>
                <c:pt idx="18">
                  <c:v>14000</c:v>
                </c:pt>
                <c:pt idx="19">
                  <c:v>15000</c:v>
                </c:pt>
                <c:pt idx="20">
                  <c:v>16000</c:v>
                </c:pt>
                <c:pt idx="21">
                  <c:v>17000</c:v>
                </c:pt>
                <c:pt idx="22">
                  <c:v>18000</c:v>
                </c:pt>
                <c:pt idx="23">
                  <c:v>19000</c:v>
                </c:pt>
                <c:pt idx="24">
                  <c:v>20000</c:v>
                </c:pt>
                <c:pt idx="25">
                  <c:v>21000</c:v>
                </c:pt>
                <c:pt idx="26">
                  <c:v>22000</c:v>
                </c:pt>
                <c:pt idx="27">
                  <c:v>23000</c:v>
                </c:pt>
                <c:pt idx="28">
                  <c:v>24000</c:v>
                </c:pt>
                <c:pt idx="29">
                  <c:v>25000</c:v>
                </c:pt>
                <c:pt idx="30">
                  <c:v>26000</c:v>
                </c:pt>
                <c:pt idx="31">
                  <c:v>27000</c:v>
                </c:pt>
                <c:pt idx="32">
                  <c:v>28000</c:v>
                </c:pt>
                <c:pt idx="33">
                  <c:v>29000</c:v>
                </c:pt>
                <c:pt idx="34">
                  <c:v>30000</c:v>
                </c:pt>
                <c:pt idx="35">
                  <c:v>31000</c:v>
                </c:pt>
                <c:pt idx="36">
                  <c:v>32000</c:v>
                </c:pt>
                <c:pt idx="37">
                  <c:v>33000</c:v>
                </c:pt>
                <c:pt idx="38">
                  <c:v>34000</c:v>
                </c:pt>
                <c:pt idx="39">
                  <c:v>34500</c:v>
                </c:pt>
                <c:pt idx="40">
                  <c:v>35000</c:v>
                </c:pt>
                <c:pt idx="41">
                  <c:v>35500</c:v>
                </c:pt>
                <c:pt idx="42">
                  <c:v>36000</c:v>
                </c:pt>
                <c:pt idx="43">
                  <c:v>36500</c:v>
                </c:pt>
                <c:pt idx="44">
                  <c:v>37000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8B-B541-8B7F-6627A22B4E46}"/>
            </c:ext>
          </c:extLst>
        </c:ser>
        <c:ser>
          <c:idx val="3"/>
          <c:order val="3"/>
          <c:tx>
            <c:v>BG2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Summary!$R$16:$R$52</c:f>
              <c:numCache>
                <c:formatCode>0.000000</c:formatCode>
                <c:ptCount val="37"/>
                <c:pt idx="0">
                  <c:v>3.1087580270019015E-5</c:v>
                </c:pt>
                <c:pt idx="1">
                  <c:v>1.7161474048013698E-4</c:v>
                </c:pt>
                <c:pt idx="2">
                  <c:v>4.3064587163089421E-4</c:v>
                </c:pt>
                <c:pt idx="3">
                  <c:v>8.144592106790221E-4</c:v>
                </c:pt>
                <c:pt idx="4">
                  <c:v>2.3646902824280402E-3</c:v>
                </c:pt>
                <c:pt idx="5">
                  <c:v>8.4083369034024386E-3</c:v>
                </c:pt>
                <c:pt idx="6">
                  <c:v>1.9337002420313273E-2</c:v>
                </c:pt>
                <c:pt idx="7">
                  <c:v>3.6591763284190643E-2</c:v>
                </c:pt>
                <c:pt idx="8">
                  <c:v>6.2032704897406699E-2</c:v>
                </c:pt>
                <c:pt idx="9">
                  <c:v>9.8071610306772306E-2</c:v>
                </c:pt>
                <c:pt idx="10">
                  <c:v>0.14785288149819034</c:v>
                </c:pt>
                <c:pt idx="11">
                  <c:v>0.21550218280220421</c:v>
                </c:pt>
                <c:pt idx="12">
                  <c:v>0.30647159686247538</c:v>
                </c:pt>
                <c:pt idx="13">
                  <c:v>0.42802416111362401</c:v>
                </c:pt>
                <c:pt idx="14">
                  <c:v>0.58992249692554732</c:v>
                </c:pt>
                <c:pt idx="15">
                  <c:v>0.80542077521171651</c:v>
                </c:pt>
                <c:pt idx="16">
                  <c:v>1.0927148944970946</c:v>
                </c:pt>
                <c:pt idx="17">
                  <c:v>1.477097223544678</c:v>
                </c:pt>
                <c:pt idx="18">
                  <c:v>1.9942160711566412</c:v>
                </c:pt>
                <c:pt idx="19">
                  <c:v>2.6951050974354476</c:v>
                </c:pt>
                <c:pt idx="20">
                  <c:v>3.654117202475347</c:v>
                </c:pt>
                <c:pt idx="21">
                  <c:v>4.9817539315481705</c:v>
                </c:pt>
                <c:pt idx="22">
                  <c:v>6.8459982789180343</c:v>
                </c:pt>
                <c:pt idx="23">
                  <c:v>9.5089294525175134</c:v>
                </c:pt>
                <c:pt idx="24">
                  <c:v>13.391891023828807</c:v>
                </c:pt>
                <c:pt idx="25">
                  <c:v>19.19645661352185</c:v>
                </c:pt>
                <c:pt idx="26">
                  <c:v>28.14028873272833</c:v>
                </c:pt>
                <c:pt idx="27">
                  <c:v>42.444674983302015</c:v>
                </c:pt>
                <c:pt idx="28">
                  <c:v>66.415956055858501</c:v>
                </c:pt>
                <c:pt idx="29">
                  <c:v>109.06244210336088</c:v>
                </c:pt>
                <c:pt idx="30">
                  <c:v>191.16610695841632</c:v>
                </c:pt>
                <c:pt idx="31">
                  <c:v>367.37982136615716</c:v>
                </c:pt>
                <c:pt idx="32">
                  <c:v>810.68003546848513</c:v>
                </c:pt>
                <c:pt idx="33">
                  <c:v>2249.3307535810854</c:v>
                </c:pt>
                <c:pt idx="34">
                  <c:v>9801.5764378217846</c:v>
                </c:pt>
                <c:pt idx="35">
                  <c:v>161969.23884285567</c:v>
                </c:pt>
                <c:pt idx="36">
                  <c:v>10504692.747125726</c:v>
                </c:pt>
              </c:numCache>
            </c:numRef>
          </c:xVal>
          <c:yVal>
            <c:numRef>
              <c:f>Summary!$N$16:$N$52</c:f>
              <c:numCache>
                <c:formatCode>General</c:formatCode>
                <c:ptCount val="37"/>
                <c:pt idx="0">
                  <c:v>1900</c:v>
                </c:pt>
                <c:pt idx="1">
                  <c:v>2100</c:v>
                </c:pt>
                <c:pt idx="2">
                  <c:v>2300</c:v>
                </c:pt>
                <c:pt idx="3">
                  <c:v>2500</c:v>
                </c:pt>
                <c:pt idx="4">
                  <c:v>3000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  <c:pt idx="12">
                  <c:v>11000</c:v>
                </c:pt>
                <c:pt idx="13">
                  <c:v>12000</c:v>
                </c:pt>
                <c:pt idx="14">
                  <c:v>13000</c:v>
                </c:pt>
                <c:pt idx="15">
                  <c:v>14000</c:v>
                </c:pt>
                <c:pt idx="16">
                  <c:v>15000</c:v>
                </c:pt>
                <c:pt idx="17">
                  <c:v>16000</c:v>
                </c:pt>
                <c:pt idx="18">
                  <c:v>17000</c:v>
                </c:pt>
                <c:pt idx="19">
                  <c:v>18000</c:v>
                </c:pt>
                <c:pt idx="20">
                  <c:v>19000</c:v>
                </c:pt>
                <c:pt idx="21">
                  <c:v>20000</c:v>
                </c:pt>
                <c:pt idx="22">
                  <c:v>21000</c:v>
                </c:pt>
                <c:pt idx="23">
                  <c:v>22000</c:v>
                </c:pt>
                <c:pt idx="24">
                  <c:v>23000</c:v>
                </c:pt>
                <c:pt idx="25">
                  <c:v>24000</c:v>
                </c:pt>
                <c:pt idx="26">
                  <c:v>25000</c:v>
                </c:pt>
                <c:pt idx="27">
                  <c:v>26000</c:v>
                </c:pt>
                <c:pt idx="28">
                  <c:v>27000</c:v>
                </c:pt>
                <c:pt idx="29">
                  <c:v>28000</c:v>
                </c:pt>
                <c:pt idx="30">
                  <c:v>29000</c:v>
                </c:pt>
                <c:pt idx="31">
                  <c:v>30000</c:v>
                </c:pt>
                <c:pt idx="32">
                  <c:v>31000</c:v>
                </c:pt>
                <c:pt idx="33">
                  <c:v>32000</c:v>
                </c:pt>
                <c:pt idx="34">
                  <c:v>33000</c:v>
                </c:pt>
                <c:pt idx="35">
                  <c:v>34000</c:v>
                </c:pt>
                <c:pt idx="36">
                  <c:v>34500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8B-B541-8B7F-6627A22B4E46}"/>
            </c:ext>
          </c:extLst>
        </c:ser>
        <c:ser>
          <c:idx val="4"/>
          <c:order val="4"/>
          <c:tx>
            <c:v>CG1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Summary!$S$13:$S$63</c:f>
              <c:numCache>
                <c:formatCode>0.000000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1.6682582472663235E-5</c:v>
                </c:pt>
                <c:pt idx="3">
                  <c:v>2.1183933636161841E-3</c:v>
                </c:pt>
                <c:pt idx="4">
                  <c:v>6.8574760889202283E-3</c:v>
                </c:pt>
                <c:pt idx="5">
                  <c:v>1.3957141910110223E-2</c:v>
                </c:pt>
                <c:pt idx="6">
                  <c:v>2.3363507561565865E-2</c:v>
                </c:pt>
                <c:pt idx="7">
                  <c:v>5.7167578471928548E-2</c:v>
                </c:pt>
                <c:pt idx="8">
                  <c:v>0.17364550134536599</c:v>
                </c:pt>
                <c:pt idx="9">
                  <c:v>0.3701795760405952</c:v>
                </c:pt>
                <c:pt idx="10">
                  <c:v>0.67272467213402021</c:v>
                </c:pt>
                <c:pt idx="11">
                  <c:v>1.1186180824839711</c:v>
                </c:pt>
                <c:pt idx="12">
                  <c:v>1.7611923773816061</c:v>
                </c:pt>
                <c:pt idx="13">
                  <c:v>2.6772505187343736</c:v>
                </c:pt>
                <c:pt idx="14">
                  <c:v>3.9789696624951216</c:v>
                </c:pt>
                <c:pt idx="15">
                  <c:v>5.8331698691989722</c:v>
                </c:pt>
                <c:pt idx="16">
                  <c:v>8.4933152093781779</c:v>
                </c:pt>
                <c:pt idx="17">
                  <c:v>12.354341478400633</c:v>
                </c:pt>
                <c:pt idx="18">
                  <c:v>18.050073981665509</c:v>
                </c:pt>
                <c:pt idx="19">
                  <c:v>26.633830544019457</c:v>
                </c:pt>
                <c:pt idx="20">
                  <c:v>39.930423741946711</c:v>
                </c:pt>
                <c:pt idx="21">
                  <c:v>61.264486987494372</c:v>
                </c:pt>
                <c:pt idx="22">
                  <c:v>97.081063906449813</c:v>
                </c:pt>
                <c:pt idx="23">
                  <c:v>160.89279872116967</c:v>
                </c:pt>
                <c:pt idx="24">
                  <c:v>284.07499064064922</c:v>
                </c:pt>
                <c:pt idx="25">
                  <c:v>550.32558634757811</c:v>
                </c:pt>
                <c:pt idx="26">
                  <c:v>1232.585484470357</c:v>
                </c:pt>
                <c:pt idx="27">
                  <c:v>3558.0442996222441</c:v>
                </c:pt>
                <c:pt idx="28">
                  <c:v>17813.999178524657</c:v>
                </c:pt>
                <c:pt idx="29">
                  <c:v>842174.85409831663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xVal>
          <c:yVal>
            <c:numRef>
              <c:f>Summary!$N$13:$N$63</c:f>
              <c:numCache>
                <c:formatCode>General</c:formatCode>
                <c:ptCount val="51"/>
                <c:pt idx="0">
                  <c:v>1300</c:v>
                </c:pt>
                <c:pt idx="1">
                  <c:v>1500</c:v>
                </c:pt>
                <c:pt idx="2">
                  <c:v>1700</c:v>
                </c:pt>
                <c:pt idx="3">
                  <c:v>1900</c:v>
                </c:pt>
                <c:pt idx="4">
                  <c:v>2100</c:v>
                </c:pt>
                <c:pt idx="5">
                  <c:v>2300</c:v>
                </c:pt>
                <c:pt idx="6">
                  <c:v>2500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  <c:pt idx="17">
                  <c:v>13000</c:v>
                </c:pt>
                <c:pt idx="18">
                  <c:v>14000</c:v>
                </c:pt>
                <c:pt idx="19">
                  <c:v>15000</c:v>
                </c:pt>
                <c:pt idx="20">
                  <c:v>16000</c:v>
                </c:pt>
                <c:pt idx="21">
                  <c:v>17000</c:v>
                </c:pt>
                <c:pt idx="22">
                  <c:v>18000</c:v>
                </c:pt>
                <c:pt idx="23">
                  <c:v>19000</c:v>
                </c:pt>
                <c:pt idx="24">
                  <c:v>20000</c:v>
                </c:pt>
                <c:pt idx="25">
                  <c:v>21000</c:v>
                </c:pt>
                <c:pt idx="26">
                  <c:v>22000</c:v>
                </c:pt>
                <c:pt idx="27">
                  <c:v>23000</c:v>
                </c:pt>
                <c:pt idx="28">
                  <c:v>24000</c:v>
                </c:pt>
                <c:pt idx="29">
                  <c:v>25000</c:v>
                </c:pt>
                <c:pt idx="30">
                  <c:v>26000</c:v>
                </c:pt>
                <c:pt idx="31">
                  <c:v>27000</c:v>
                </c:pt>
                <c:pt idx="32">
                  <c:v>28000</c:v>
                </c:pt>
                <c:pt idx="33">
                  <c:v>29000</c:v>
                </c:pt>
                <c:pt idx="34">
                  <c:v>30000</c:v>
                </c:pt>
                <c:pt idx="35">
                  <c:v>31000</c:v>
                </c:pt>
                <c:pt idx="36">
                  <c:v>32000</c:v>
                </c:pt>
                <c:pt idx="37">
                  <c:v>33000</c:v>
                </c:pt>
                <c:pt idx="38">
                  <c:v>34000</c:v>
                </c:pt>
                <c:pt idx="39">
                  <c:v>34500</c:v>
                </c:pt>
                <c:pt idx="40">
                  <c:v>35000</c:v>
                </c:pt>
                <c:pt idx="41">
                  <c:v>35500</c:v>
                </c:pt>
                <c:pt idx="42">
                  <c:v>36000</c:v>
                </c:pt>
                <c:pt idx="43">
                  <c:v>36500</c:v>
                </c:pt>
                <c:pt idx="44">
                  <c:v>37000</c:v>
                </c:pt>
                <c:pt idx="45">
                  <c:v>37500</c:v>
                </c:pt>
                <c:pt idx="46">
                  <c:v>38000</c:v>
                </c:pt>
                <c:pt idx="47">
                  <c:v>38500</c:v>
                </c:pt>
                <c:pt idx="48">
                  <c:v>39000</c:v>
                </c:pt>
                <c:pt idx="49">
                  <c:v>39500</c:v>
                </c:pt>
                <c:pt idx="5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8B-B541-8B7F-6627A22B4E46}"/>
            </c:ext>
          </c:extLst>
        </c:ser>
        <c:ser>
          <c:idx val="5"/>
          <c:order val="5"/>
          <c:tx>
            <c:v>CG2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Summary!$T$13:$T$63</c:f>
              <c:numCache>
                <c:formatCode>0.000000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7.9473012353579778E-5</c:v>
                </c:pt>
                <c:pt idx="3">
                  <c:v>1.475825168989418E-3</c:v>
                </c:pt>
                <c:pt idx="4">
                  <c:v>4.7040843608004883E-3</c:v>
                </c:pt>
                <c:pt idx="5">
                  <c:v>9.8857447324303127E-3</c:v>
                </c:pt>
                <c:pt idx="6">
                  <c:v>1.7148386883545683E-2</c:v>
                </c:pt>
                <c:pt idx="7">
                  <c:v>4.5311887071644276E-2</c:v>
                </c:pt>
                <c:pt idx="8">
                  <c:v>0.15290217518120999</c:v>
                </c:pt>
                <c:pt idx="9">
                  <c:v>0.34887761554649832</c:v>
                </c:pt>
                <c:pt idx="10">
                  <c:v>0.66440870755037473</c:v>
                </c:pt>
                <c:pt idx="11">
                  <c:v>1.14156962586323</c:v>
                </c:pt>
                <c:pt idx="12">
                  <c:v>1.8375848857857868</c:v>
                </c:pt>
                <c:pt idx="13">
                  <c:v>2.8309594588468787</c:v>
                </c:pt>
                <c:pt idx="14">
                  <c:v>4.2304564131365705</c:v>
                </c:pt>
                <c:pt idx="15">
                  <c:v>6.1884514571593883</c:v>
                </c:pt>
                <c:pt idx="16">
                  <c:v>8.9211420362109681</c:v>
                </c:pt>
                <c:pt idx="17">
                  <c:v>12.739716030173241</c:v>
                </c:pt>
                <c:pt idx="18">
                  <c:v>18.099451864204308</c:v>
                </c:pt>
                <c:pt idx="19">
                  <c:v>25.678921017718192</c:v>
                </c:pt>
                <c:pt idx="20">
                  <c:v>36.511205186081696</c:v>
                </c:pt>
                <c:pt idx="21">
                  <c:v>52.207972613173176</c:v>
                </c:pt>
                <c:pt idx="22">
                  <c:v>75.355612939252026</c:v>
                </c:pt>
                <c:pt idx="23">
                  <c:v>110.24411141647256</c:v>
                </c:pt>
                <c:pt idx="24">
                  <c:v>164.27220834231613</c:v>
                </c:pt>
                <c:pt idx="25">
                  <c:v>250.81000177111818</c:v>
                </c:pt>
                <c:pt idx="26">
                  <c:v>395.43040060884135</c:v>
                </c:pt>
                <c:pt idx="27">
                  <c:v>650.6222808223057</c:v>
                </c:pt>
                <c:pt idx="28">
                  <c:v>1134.2652366970719</c:v>
                </c:pt>
                <c:pt idx="29">
                  <c:v>2144.5199237578308</c:v>
                </c:pt>
                <c:pt idx="30">
                  <c:v>4570.8403664074713</c:v>
                </c:pt>
                <c:pt idx="31">
                  <c:v>11808.176131951186</c:v>
                </c:pt>
                <c:pt idx="32">
                  <c:v>43519.724103028384</c:v>
                </c:pt>
                <c:pt idx="33">
                  <c:v>386780.38494440535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xVal>
          <c:yVal>
            <c:numRef>
              <c:f>Summary!$N$13:$N$63</c:f>
              <c:numCache>
                <c:formatCode>General</c:formatCode>
                <c:ptCount val="51"/>
                <c:pt idx="0">
                  <c:v>1300</c:v>
                </c:pt>
                <c:pt idx="1">
                  <c:v>1500</c:v>
                </c:pt>
                <c:pt idx="2">
                  <c:v>1700</c:v>
                </c:pt>
                <c:pt idx="3">
                  <c:v>1900</c:v>
                </c:pt>
                <c:pt idx="4">
                  <c:v>2100</c:v>
                </c:pt>
                <c:pt idx="5">
                  <c:v>2300</c:v>
                </c:pt>
                <c:pt idx="6">
                  <c:v>2500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  <c:pt idx="17">
                  <c:v>13000</c:v>
                </c:pt>
                <c:pt idx="18">
                  <c:v>14000</c:v>
                </c:pt>
                <c:pt idx="19">
                  <c:v>15000</c:v>
                </c:pt>
                <c:pt idx="20">
                  <c:v>16000</c:v>
                </c:pt>
                <c:pt idx="21">
                  <c:v>17000</c:v>
                </c:pt>
                <c:pt idx="22">
                  <c:v>18000</c:v>
                </c:pt>
                <c:pt idx="23">
                  <c:v>19000</c:v>
                </c:pt>
                <c:pt idx="24">
                  <c:v>20000</c:v>
                </c:pt>
                <c:pt idx="25">
                  <c:v>21000</c:v>
                </c:pt>
                <c:pt idx="26">
                  <c:v>22000</c:v>
                </c:pt>
                <c:pt idx="27">
                  <c:v>23000</c:v>
                </c:pt>
                <c:pt idx="28">
                  <c:v>24000</c:v>
                </c:pt>
                <c:pt idx="29">
                  <c:v>25000</c:v>
                </c:pt>
                <c:pt idx="30">
                  <c:v>26000</c:v>
                </c:pt>
                <c:pt idx="31">
                  <c:v>27000</c:v>
                </c:pt>
                <c:pt idx="32">
                  <c:v>28000</c:v>
                </c:pt>
                <c:pt idx="33">
                  <c:v>29000</c:v>
                </c:pt>
                <c:pt idx="34">
                  <c:v>30000</c:v>
                </c:pt>
                <c:pt idx="35">
                  <c:v>31000</c:v>
                </c:pt>
                <c:pt idx="36">
                  <c:v>32000</c:v>
                </c:pt>
                <c:pt idx="37">
                  <c:v>33000</c:v>
                </c:pt>
                <c:pt idx="38">
                  <c:v>34000</c:v>
                </c:pt>
                <c:pt idx="39">
                  <c:v>34500</c:v>
                </c:pt>
                <c:pt idx="40">
                  <c:v>35000</c:v>
                </c:pt>
                <c:pt idx="41">
                  <c:v>35500</c:v>
                </c:pt>
                <c:pt idx="42">
                  <c:v>36000</c:v>
                </c:pt>
                <c:pt idx="43">
                  <c:v>36500</c:v>
                </c:pt>
                <c:pt idx="44">
                  <c:v>37000</c:v>
                </c:pt>
                <c:pt idx="45">
                  <c:v>37500</c:v>
                </c:pt>
                <c:pt idx="46">
                  <c:v>38000</c:v>
                </c:pt>
                <c:pt idx="47">
                  <c:v>38500</c:v>
                </c:pt>
                <c:pt idx="48">
                  <c:v>39000</c:v>
                </c:pt>
                <c:pt idx="49">
                  <c:v>39500</c:v>
                </c:pt>
                <c:pt idx="5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8B-B541-8B7F-6627A22B4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243503"/>
        <c:axId val="1868245279"/>
      </c:scatterChart>
      <c:valAx>
        <c:axId val="1868243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68245279"/>
        <c:crosses val="autoZero"/>
        <c:crossBetween val="midCat"/>
      </c:valAx>
      <c:valAx>
        <c:axId val="1868245279"/>
        <c:scaling>
          <c:orientation val="minMax"/>
          <c:max val="4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6824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641350</xdr:colOff>
      <xdr:row>27</xdr:row>
      <xdr:rowOff>12700</xdr:rowOff>
    </xdr:from>
    <xdr:to>
      <xdr:col>19</xdr:col>
      <xdr:colOff>387350</xdr:colOff>
      <xdr:row>41</xdr:row>
      <xdr:rowOff>88900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69816062-93B6-1D4F-8C7F-9FFC947E8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488950</xdr:colOff>
      <xdr:row>21</xdr:row>
      <xdr:rowOff>177800</xdr:rowOff>
    </xdr:from>
    <xdr:to>
      <xdr:col>27</xdr:col>
      <xdr:colOff>590550</xdr:colOff>
      <xdr:row>36</xdr:row>
      <xdr:rowOff>25400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E1BA5915-44C4-FA40-9E8D-0186ACE45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942975</xdr:colOff>
      <xdr:row>21</xdr:row>
      <xdr:rowOff>23812</xdr:rowOff>
    </xdr:from>
    <xdr:to>
      <xdr:col>11</xdr:col>
      <xdr:colOff>285750</xdr:colOff>
      <xdr:row>35</xdr:row>
      <xdr:rowOff>71437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3BBB9EC-18F4-48A2-987E-4B406FDD2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</xdr:colOff>
      <xdr:row>13</xdr:row>
      <xdr:rowOff>195262</xdr:rowOff>
    </xdr:from>
    <xdr:to>
      <xdr:col>17</xdr:col>
      <xdr:colOff>542925</xdr:colOff>
      <xdr:row>27</xdr:row>
      <xdr:rowOff>166687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D903F012-89C2-4F28-9B62-B136049CF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919162</xdr:colOff>
      <xdr:row>17</xdr:row>
      <xdr:rowOff>138112</xdr:rowOff>
    </xdr:from>
    <xdr:to>
      <xdr:col>8</xdr:col>
      <xdr:colOff>414337</xdr:colOff>
      <xdr:row>31</xdr:row>
      <xdr:rowOff>147637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A8EB24B-BCDC-4653-9274-D2684DDBF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14</xdr:row>
      <xdr:rowOff>33337</xdr:rowOff>
    </xdr:from>
    <xdr:to>
      <xdr:col>12</xdr:col>
      <xdr:colOff>561975</xdr:colOff>
      <xdr:row>28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12D7B78-555C-ACF8-0BE7-03066EA01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</xdr:colOff>
      <xdr:row>14</xdr:row>
      <xdr:rowOff>33337</xdr:rowOff>
    </xdr:from>
    <xdr:to>
      <xdr:col>16</xdr:col>
      <xdr:colOff>542924</xdr:colOff>
      <xdr:row>34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337BF42-E643-6FD5-2EDB-297AD93A2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488950</xdr:colOff>
      <xdr:row>10</xdr:row>
      <xdr:rowOff>184150</xdr:rowOff>
    </xdr:from>
    <xdr:to>
      <xdr:col>11</xdr:col>
      <xdr:colOff>88900</xdr:colOff>
      <xdr:row>31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ABE9922-7423-C345-BBBC-4BF7A4D06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336550</xdr:colOff>
      <xdr:row>11</xdr:row>
      <xdr:rowOff>101600</xdr:rowOff>
    </xdr:from>
    <xdr:to>
      <xdr:col>29</xdr:col>
      <xdr:colOff>508000</xdr:colOff>
      <xdr:row>31</xdr:row>
      <xdr:rowOff>38100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1E1B37C-2CD6-CF4D-851F-BB69D209B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8265-66B6-412C-9A29-24B7F087ACDA}">
  <dimension ref="A1:AI23"/>
  <sheetViews>
    <sheetView tabSelected="1" workbookViewId="0">
      <selection activeCell="O3" sqref="O3"/>
    </sheetView>
  </sheetViews>
  <sheetFormatPr defaultColWidth="8.85546875" defaultRowHeight="15"/>
  <cols>
    <col min="2" max="5" width="15.7109375" customWidth="1"/>
    <col min="6" max="7" width="8.5703125" customWidth="1"/>
    <col min="8" max="8" width="11.85546875" customWidth="1"/>
    <col min="11" max="11" width="8.85546875" customWidth="1"/>
    <col min="12" max="12" width="11.85546875" customWidth="1"/>
    <col min="14" max="14" width="8.7109375" customWidth="1"/>
    <col min="15" max="15" width="11.85546875" bestFit="1" customWidth="1"/>
    <col min="16" max="16" width="10.7109375" customWidth="1"/>
    <col min="18" max="18" width="8.7109375" customWidth="1"/>
    <col min="20" max="21" width="8.85546875" customWidth="1"/>
    <col min="22" max="22" width="10.85546875" customWidth="1"/>
    <col min="24" max="24" width="8.7109375" customWidth="1"/>
    <col min="26" max="27" width="12.7109375" customWidth="1"/>
    <col min="28" max="29" width="9.28515625" customWidth="1"/>
    <col min="30" max="31" width="10.28515625" customWidth="1"/>
  </cols>
  <sheetData>
    <row r="1" spans="1:35" ht="15.75" thickBot="1">
      <c r="A1">
        <v>20</v>
      </c>
      <c r="F1">
        <v>0.62290000000000001</v>
      </c>
    </row>
    <row r="2" spans="1:35" ht="18.75" thickBot="1">
      <c r="B2" s="2" t="s">
        <v>0</v>
      </c>
      <c r="C2" s="2" t="s">
        <v>1</v>
      </c>
      <c r="D2" s="2" t="s">
        <v>3</v>
      </c>
      <c r="E2" s="2" t="s">
        <v>2</v>
      </c>
      <c r="F2" s="2" t="s">
        <v>55</v>
      </c>
      <c r="G2" s="2" t="s">
        <v>42</v>
      </c>
      <c r="H2" s="2" t="s">
        <v>55</v>
      </c>
      <c r="I2" s="2" t="s">
        <v>42</v>
      </c>
      <c r="K2" s="6" t="s">
        <v>12</v>
      </c>
      <c r="L2" s="6" t="s">
        <v>8</v>
      </c>
      <c r="N2" s="10" t="s">
        <v>17</v>
      </c>
      <c r="O2" s="11" t="s">
        <v>15</v>
      </c>
      <c r="P2" s="11" t="s">
        <v>13</v>
      </c>
      <c r="Q2" s="5" t="s">
        <v>16</v>
      </c>
      <c r="R2" s="21">
        <f>CORREL(C3:C20,O3:O20)</f>
        <v>0.77619196232052912</v>
      </c>
      <c r="T2" s="22" t="s">
        <v>18</v>
      </c>
      <c r="U2" s="10" t="s">
        <v>17</v>
      </c>
      <c r="V2" s="23" t="s">
        <v>13</v>
      </c>
      <c r="W2" s="5" t="s">
        <v>16</v>
      </c>
      <c r="X2" s="21">
        <f>CORREL(D3:D20,T3:T20)</f>
        <v>0.98352902560193556</v>
      </c>
      <c r="Z2" s="2" t="s">
        <v>2</v>
      </c>
      <c r="AA2" s="2" t="s">
        <v>42</v>
      </c>
      <c r="AB2" t="s">
        <v>52</v>
      </c>
      <c r="AC2" s="2" t="s">
        <v>49</v>
      </c>
      <c r="AD2" s="2" t="s">
        <v>48</v>
      </c>
      <c r="AE2" s="37" t="s">
        <v>13</v>
      </c>
      <c r="AG2" t="s">
        <v>43</v>
      </c>
      <c r="AH2">
        <v>20</v>
      </c>
    </row>
    <row r="3" spans="1:35" ht="18.75" thickBot="1">
      <c r="B3" s="33">
        <v>10</v>
      </c>
      <c r="C3" s="36">
        <v>25</v>
      </c>
      <c r="D3" s="34">
        <v>27890.222656000002</v>
      </c>
      <c r="E3" s="3">
        <v>17.331244000000002</v>
      </c>
      <c r="F3" s="43">
        <f t="shared" ref="F3:F20" si="0">10^(-($K$9*(B3-$K$11))/($K$10+(B3-$K$11)))</f>
        <v>35.868076542934787</v>
      </c>
      <c r="G3" s="1">
        <f t="shared" ref="G3:G20" si="1">C3*F3</f>
        <v>896.70191357336967</v>
      </c>
      <c r="H3" s="37">
        <f>(1/C3)*((($K$7*EXP($K$8*$K$11))*N3^$K$5)/(1-N3))^(1/(1-$K$5))</f>
        <v>1.0181388626929258</v>
      </c>
      <c r="I3">
        <f>C3*H3</f>
        <v>25.453471567323145</v>
      </c>
      <c r="J3" s="4" t="s">
        <v>9</v>
      </c>
      <c r="K3" s="8">
        <v>1508.6662143076176</v>
      </c>
      <c r="L3" s="8">
        <v>50</v>
      </c>
      <c r="N3" s="12">
        <f>(D3-$K$3)/($K$4-$K$3)</f>
        <v>0.69375859374897386</v>
      </c>
      <c r="O3" s="13">
        <f>((($K$7*EXP($K$8*B3))*N3^$K$5)/(1-N3))^(1/(1-$K$5))</f>
        <v>0.93324732104603636</v>
      </c>
      <c r="P3" s="14">
        <f>((C3-O3)^2)/(C3^2)</f>
        <v>0.92673373521590052</v>
      </c>
      <c r="R3" s="3"/>
      <c r="T3" s="24">
        <v>35712.351844912002</v>
      </c>
      <c r="U3" s="25">
        <f>(T3-$K$3)/($K$4-$K$3)</f>
        <v>0.89945795641607929</v>
      </c>
      <c r="V3" s="26">
        <f t="shared" ref="V3:V20" si="2">((C3-((($K$6*EXP($K$7*B3))*U3^$K$5)/(1-U3))^(1/(1-$K$5)))^2)/C3^2</f>
        <v>837373.16744564567</v>
      </c>
      <c r="Z3" s="3">
        <v>17.331244000000002</v>
      </c>
      <c r="AA3" s="37">
        <f>((($K$6*EXP($K$7*$AH$2))*U3^$K$5)/(1-U3))^(1/(1-$K$5))</f>
        <v>580783.58472090785</v>
      </c>
      <c r="AB3" s="42">
        <f t="shared" ref="AB3:AB20" si="3">C3*10^(-($AH$3*(B3-$AH$2))/($AH$4+(B3-$AH$2)))</f>
        <v>415.25620041601439</v>
      </c>
      <c r="AC3" s="37">
        <f>LOG10($AH$6/AA3)</f>
        <v>-4.3827222009358122</v>
      </c>
      <c r="AD3" s="37">
        <f t="shared" ref="AD3:AD20" si="4">$AH$5/((1+(AC3/$AH$7)^2)^($AH$8/2))</f>
        <v>12.573629571175566</v>
      </c>
      <c r="AE3">
        <f t="shared" ref="AE3:AE20" si="5">((Z3-AD3)^2)/Z3^2</f>
        <v>7.5356203816175638E-2</v>
      </c>
      <c r="AG3" t="s">
        <v>50</v>
      </c>
      <c r="AH3">
        <v>-2.1640251620991329</v>
      </c>
    </row>
    <row r="4" spans="1:35" ht="18.75" thickBot="1">
      <c r="B4" s="33">
        <v>10</v>
      </c>
      <c r="C4" s="36">
        <v>10</v>
      </c>
      <c r="D4" s="33">
        <v>32464.939452999999</v>
      </c>
      <c r="E4" s="3">
        <v>13.031172</v>
      </c>
      <c r="F4" s="43">
        <f t="shared" si="0"/>
        <v>35.868076542934787</v>
      </c>
      <c r="G4" s="1">
        <f t="shared" si="1"/>
        <v>358.68076542934784</v>
      </c>
      <c r="H4" s="37">
        <f t="shared" ref="H4:H20" si="6">(1/C4)*((($K$7*EXP($K$8*$K$11))*N4^$K$5)/(1-N4))^(1/(1-$K$5))</f>
        <v>13.669823164435233</v>
      </c>
      <c r="I4">
        <f t="shared" ref="I4:I20" si="7">C4*H4</f>
        <v>136.69823164435232</v>
      </c>
      <c r="J4" s="4" t="s">
        <v>10</v>
      </c>
      <c r="K4" s="8">
        <v>39535.663903994115</v>
      </c>
      <c r="L4" s="8">
        <f>MAX(D3:D20)+10</f>
        <v>32474.939452999999</v>
      </c>
      <c r="N4" s="12">
        <f t="shared" ref="N4:N20" si="8">(D4-$K$3)/($K$4-$K$3)</f>
        <v>0.81406040759005793</v>
      </c>
      <c r="O4" s="13">
        <f t="shared" ref="O4:O20" si="9">((($K$7*EXP($K$8*B4))*N4^$K$5)/(1-N4))^(1/(1-$K$5))</f>
        <v>5.0120180320549759</v>
      </c>
      <c r="P4" s="14">
        <f t="shared" ref="P4:P20" si="10">((C4-O4)^2)/(C4^2)</f>
        <v>0.24879964112544717</v>
      </c>
      <c r="R4" s="3"/>
      <c r="T4" s="27">
        <v>34088.150187911451</v>
      </c>
      <c r="U4" s="28">
        <f t="shared" ref="U4:U20" si="11">(T4-$K$3)/($K$4-$K$3)</f>
        <v>0.85674615281131927</v>
      </c>
      <c r="V4" s="29">
        <f t="shared" si="2"/>
        <v>607625.3365080083</v>
      </c>
      <c r="Z4" s="3">
        <v>13.031172</v>
      </c>
      <c r="AA4" s="37">
        <f t="shared" ref="AA4:AA20" si="12">((($K$6*EXP($K$7*$AH$2))*U4^$K$5)/(1-U4))^(1/(1-$K$5))</f>
        <v>197931.62458994309</v>
      </c>
      <c r="AB4" s="42">
        <f t="shared" si="3"/>
        <v>166.10248016640577</v>
      </c>
      <c r="AC4" s="37">
        <f t="shared" ref="AC4:AC20" si="13">LOG10($AH$6/AA4)</f>
        <v>-3.9152230572714068</v>
      </c>
      <c r="AD4" s="37">
        <f t="shared" si="4"/>
        <v>13.400191371129594</v>
      </c>
      <c r="AE4">
        <f t="shared" si="5"/>
        <v>8.0192060856983604E-4</v>
      </c>
      <c r="AG4" t="s">
        <v>51</v>
      </c>
      <c r="AH4">
        <v>-7.7324443802432983</v>
      </c>
    </row>
    <row r="5" spans="1:35" ht="15.75" thickBot="1">
      <c r="B5" s="33">
        <v>10</v>
      </c>
      <c r="C5" s="36">
        <v>5</v>
      </c>
      <c r="D5" s="33">
        <v>32003.925781000002</v>
      </c>
      <c r="E5" s="3">
        <v>16.182673999999999</v>
      </c>
      <c r="F5" s="43">
        <f t="shared" si="0"/>
        <v>35.868076542934787</v>
      </c>
      <c r="G5" s="1">
        <f t="shared" si="1"/>
        <v>179.34038271467392</v>
      </c>
      <c r="H5" s="37">
        <f t="shared" si="6"/>
        <v>22.30801570734215</v>
      </c>
      <c r="I5">
        <f t="shared" si="7"/>
        <v>111.54007853671075</v>
      </c>
      <c r="J5" s="39" t="s">
        <v>11</v>
      </c>
      <c r="K5" s="9">
        <v>0.64208488892797244</v>
      </c>
      <c r="L5" s="9">
        <v>0.5</v>
      </c>
      <c r="N5" s="12">
        <f t="shared" si="8"/>
        <v>0.80193708205797076</v>
      </c>
      <c r="O5" s="13">
        <f t="shared" si="9"/>
        <v>4.0895985134414827</v>
      </c>
      <c r="P5" s="14">
        <f t="shared" si="10"/>
        <v>3.3153234669118327E-2</v>
      </c>
      <c r="R5" s="3"/>
      <c r="T5" s="27">
        <v>32575.037615134839</v>
      </c>
      <c r="U5" s="28">
        <f t="shared" si="11"/>
        <v>0.81695567066165986</v>
      </c>
      <c r="V5" s="29">
        <f t="shared" si="2"/>
        <v>520798.00805010082</v>
      </c>
      <c r="Z5" s="3">
        <v>16.182673999999999</v>
      </c>
      <c r="AA5" s="37">
        <f t="shared" si="12"/>
        <v>91631.861206554182</v>
      </c>
      <c r="AB5" s="42">
        <f t="shared" si="3"/>
        <v>83.051240083202885</v>
      </c>
      <c r="AC5" s="37">
        <f t="shared" si="13"/>
        <v>-3.5807543759286338</v>
      </c>
      <c r="AD5" s="37">
        <f t="shared" si="4"/>
        <v>14.083598261132069</v>
      </c>
      <c r="AE5">
        <f t="shared" si="5"/>
        <v>1.6825022259073598E-2</v>
      </c>
      <c r="AG5" t="s">
        <v>45</v>
      </c>
      <c r="AH5" s="42">
        <f>MAX(Z3:Z20)</f>
        <v>30.273053999999998</v>
      </c>
      <c r="AI5" s="9"/>
    </row>
    <row r="6" spans="1:35" ht="15.75" thickBot="1">
      <c r="B6" s="33">
        <v>10</v>
      </c>
      <c r="C6" s="36">
        <v>1</v>
      </c>
      <c r="D6" s="33">
        <v>29290.876952999999</v>
      </c>
      <c r="E6" s="3">
        <v>18.755966000000001</v>
      </c>
      <c r="F6" s="43">
        <f t="shared" si="0"/>
        <v>35.868076542934787</v>
      </c>
      <c r="G6" s="1">
        <f t="shared" si="1"/>
        <v>35.868076542934787</v>
      </c>
      <c r="H6" s="37">
        <f t="shared" si="6"/>
        <v>39.952413312749982</v>
      </c>
      <c r="I6">
        <f t="shared" si="7"/>
        <v>39.952413312749982</v>
      </c>
      <c r="J6" s="39" t="s">
        <v>53</v>
      </c>
      <c r="K6" s="9">
        <v>1.2296953926781538</v>
      </c>
      <c r="L6" s="9">
        <v>0.1</v>
      </c>
      <c r="N6" s="12">
        <f t="shared" si="8"/>
        <v>0.73059174866774568</v>
      </c>
      <c r="O6" s="13">
        <f t="shared" si="9"/>
        <v>1.4648486197581991</v>
      </c>
      <c r="P6" s="14">
        <f t="shared" si="10"/>
        <v>0.21608423929110279</v>
      </c>
      <c r="R6" s="3"/>
      <c r="T6" s="27">
        <v>28003.959795386316</v>
      </c>
      <c r="U6" s="28">
        <f t="shared" si="11"/>
        <v>0.69674955139213179</v>
      </c>
      <c r="V6" s="29">
        <f t="shared" si="2"/>
        <v>437898.3881430928</v>
      </c>
      <c r="Z6" s="3">
        <v>18.755966000000001</v>
      </c>
      <c r="AA6" s="37">
        <f t="shared" si="12"/>
        <v>16806.718931059142</v>
      </c>
      <c r="AB6" s="42">
        <f t="shared" si="3"/>
        <v>16.610248016640575</v>
      </c>
      <c r="AC6" s="37">
        <f t="shared" si="13"/>
        <v>-2.8441908051407423</v>
      </c>
      <c r="AD6" s="37">
        <f t="shared" si="4"/>
        <v>15.955985456872792</v>
      </c>
      <c r="AE6">
        <f t="shared" si="5"/>
        <v>2.2285950078527492E-2</v>
      </c>
      <c r="AG6" t="s">
        <v>44</v>
      </c>
      <c r="AH6">
        <f>LOOKUP(AH5,Z3:Z20,AA3:AA20)</f>
        <v>24.059806599672577</v>
      </c>
    </row>
    <row r="7" spans="1:35" ht="15.75" thickBot="1">
      <c r="B7" s="33">
        <v>10</v>
      </c>
      <c r="C7" s="36">
        <v>0.5</v>
      </c>
      <c r="D7" s="33">
        <v>26386.759765999999</v>
      </c>
      <c r="E7" s="3">
        <v>22.237423</v>
      </c>
      <c r="F7" s="43">
        <f t="shared" si="0"/>
        <v>35.868076542934787</v>
      </c>
      <c r="G7" s="1">
        <f t="shared" si="1"/>
        <v>17.934038271467394</v>
      </c>
      <c r="H7" s="37">
        <f t="shared" si="6"/>
        <v>32.638145833888686</v>
      </c>
      <c r="I7">
        <f t="shared" si="7"/>
        <v>16.319072916944343</v>
      </c>
      <c r="J7" s="39" t="s">
        <v>31</v>
      </c>
      <c r="K7" s="9">
        <v>0.11571942816483156</v>
      </c>
      <c r="L7" s="9">
        <v>0.1</v>
      </c>
      <c r="N7" s="12">
        <f t="shared" si="8"/>
        <v>0.65422187033292145</v>
      </c>
      <c r="O7" s="13">
        <f t="shared" si="9"/>
        <v>0.59833610678258009</v>
      </c>
      <c r="P7" s="14">
        <f t="shared" si="10"/>
        <v>3.8679959588619979E-2</v>
      </c>
      <c r="R7" s="3"/>
      <c r="T7" s="27">
        <v>25584.901286965312</v>
      </c>
      <c r="U7" s="28">
        <f t="shared" si="11"/>
        <v>0.63313531268306089</v>
      </c>
      <c r="V7" s="29">
        <f t="shared" si="2"/>
        <v>428634.78394537442</v>
      </c>
      <c r="Z7" s="3">
        <v>22.237423</v>
      </c>
      <c r="AA7" s="37">
        <f t="shared" si="12"/>
        <v>8314.1339487769892</v>
      </c>
      <c r="AB7" s="42">
        <f t="shared" si="3"/>
        <v>8.3051240083202877</v>
      </c>
      <c r="AC7" s="37">
        <f t="shared" si="13"/>
        <v>-2.5385248851110886</v>
      </c>
      <c r="AD7" s="37">
        <f t="shared" si="4"/>
        <v>16.930921233905185</v>
      </c>
      <c r="AE7">
        <f t="shared" si="5"/>
        <v>5.6943966036056295E-2</v>
      </c>
      <c r="AG7" t="s">
        <v>46</v>
      </c>
      <c r="AH7">
        <v>1.0421736655198657</v>
      </c>
    </row>
    <row r="8" spans="1:35" ht="15.75" thickBot="1">
      <c r="B8" s="33">
        <v>10</v>
      </c>
      <c r="C8" s="36">
        <v>0.1</v>
      </c>
      <c r="D8" s="33">
        <v>18527.648437</v>
      </c>
      <c r="E8" s="3">
        <v>23.809588999999999</v>
      </c>
      <c r="F8" s="43">
        <f t="shared" si="0"/>
        <v>35.868076542934787</v>
      </c>
      <c r="G8" s="1">
        <f t="shared" si="1"/>
        <v>3.5868076542934788</v>
      </c>
      <c r="H8" s="37">
        <f t="shared" si="6"/>
        <v>22.301977574611591</v>
      </c>
      <c r="I8">
        <f t="shared" si="7"/>
        <v>2.2301977574611591</v>
      </c>
      <c r="J8" s="39" t="s">
        <v>32</v>
      </c>
      <c r="K8" s="9">
        <v>0.1183244870403441</v>
      </c>
      <c r="L8" s="9">
        <v>0.1</v>
      </c>
      <c r="N8" s="12">
        <f t="shared" si="8"/>
        <v>0.44754998439722182</v>
      </c>
      <c r="O8" s="13">
        <f t="shared" si="9"/>
        <v>8.176983155513784E-2</v>
      </c>
      <c r="P8" s="14">
        <f t="shared" si="10"/>
        <v>3.3233904152804812E-2</v>
      </c>
      <c r="R8" s="3"/>
      <c r="T8" s="27">
        <v>19239.510544742458</v>
      </c>
      <c r="U8" s="28">
        <f t="shared" si="11"/>
        <v>0.46626989790581641</v>
      </c>
      <c r="V8" s="29">
        <f t="shared" si="2"/>
        <v>440104.69928583928</v>
      </c>
      <c r="Z8" s="3">
        <v>23.809588999999999</v>
      </c>
      <c r="AA8" s="37">
        <f t="shared" si="12"/>
        <v>1684.8941489767258</v>
      </c>
      <c r="AB8" s="42">
        <f t="shared" si="3"/>
        <v>1.6610248016640576</v>
      </c>
      <c r="AC8" s="37">
        <f t="shared" si="13"/>
        <v>-1.8452804901238693</v>
      </c>
      <c r="AD8" s="37">
        <f t="shared" si="4"/>
        <v>19.771551809272797</v>
      </c>
      <c r="AE8">
        <f t="shared" si="5"/>
        <v>2.8763175532554967E-2</v>
      </c>
      <c r="AG8" t="s">
        <v>47</v>
      </c>
      <c r="AH8">
        <v>0.60023105949666877</v>
      </c>
    </row>
    <row r="9" spans="1:35" ht="15.75" thickBot="1">
      <c r="B9" s="33">
        <v>20</v>
      </c>
      <c r="C9" s="36">
        <v>25</v>
      </c>
      <c r="D9" s="34">
        <v>28000</v>
      </c>
      <c r="E9" s="3">
        <v>10.603424</v>
      </c>
      <c r="F9" s="43">
        <f t="shared" si="0"/>
        <v>1</v>
      </c>
      <c r="G9" s="1">
        <f t="shared" si="1"/>
        <v>25</v>
      </c>
      <c r="H9" s="37">
        <f t="shared" si="6"/>
        <v>1.0532580831286589</v>
      </c>
      <c r="I9">
        <f t="shared" si="7"/>
        <v>26.331452078216472</v>
      </c>
      <c r="J9" s="39" t="s">
        <v>50</v>
      </c>
      <c r="K9" s="9">
        <v>20.303405350582196</v>
      </c>
      <c r="L9" s="9">
        <v>-1</v>
      </c>
      <c r="N9" s="12">
        <f t="shared" si="8"/>
        <v>0.69664542023198528</v>
      </c>
      <c r="O9" s="13">
        <f t="shared" si="9"/>
        <v>26.331452078216472</v>
      </c>
      <c r="P9" s="14">
        <f t="shared" si="10"/>
        <v>2.8364234185391398E-3</v>
      </c>
      <c r="R9" s="3"/>
      <c r="T9" s="27">
        <v>27589.297679674622</v>
      </c>
      <c r="U9" s="28">
        <f t="shared" si="11"/>
        <v>0.68584513766230015</v>
      </c>
      <c r="V9" s="29">
        <f t="shared" si="2"/>
        <v>349386.74890497141</v>
      </c>
      <c r="Z9" s="3">
        <v>10.603424</v>
      </c>
      <c r="AA9" s="37">
        <f t="shared" si="12"/>
        <v>14802.236482698892</v>
      </c>
      <c r="AB9" s="42">
        <f t="shared" si="3"/>
        <v>25</v>
      </c>
      <c r="AC9" s="37">
        <f t="shared" si="13"/>
        <v>-2.7890352062594896</v>
      </c>
      <c r="AD9" s="37">
        <f t="shared" si="4"/>
        <v>16.121803895437417</v>
      </c>
      <c r="AE9">
        <f t="shared" si="5"/>
        <v>0.27085130583569583</v>
      </c>
    </row>
    <row r="10" spans="1:35" ht="15.75" thickBot="1">
      <c r="B10" s="33">
        <v>20</v>
      </c>
      <c r="C10" s="36">
        <v>10</v>
      </c>
      <c r="D10" s="33">
        <v>22213.759765999999</v>
      </c>
      <c r="E10" s="3">
        <v>16.541653</v>
      </c>
      <c r="F10" s="43">
        <f t="shared" si="0"/>
        <v>1</v>
      </c>
      <c r="G10" s="1">
        <f t="shared" si="1"/>
        <v>10</v>
      </c>
      <c r="H10" s="37">
        <f t="shared" si="6"/>
        <v>0.54349004996451888</v>
      </c>
      <c r="I10">
        <f t="shared" si="7"/>
        <v>5.4349004996451891</v>
      </c>
      <c r="J10" s="39" t="s">
        <v>51</v>
      </c>
      <c r="K10" s="9">
        <v>140.59303871182394</v>
      </c>
      <c r="L10" s="9">
        <v>-1</v>
      </c>
      <c r="N10" s="12">
        <f t="shared" si="8"/>
        <v>0.54448404579959564</v>
      </c>
      <c r="O10" s="13">
        <f t="shared" si="9"/>
        <v>5.4349004996451882</v>
      </c>
      <c r="P10" s="14">
        <f t="shared" si="10"/>
        <v>0.20840133448139753</v>
      </c>
      <c r="R10" s="3"/>
      <c r="T10" s="27">
        <v>24285.372776925364</v>
      </c>
      <c r="U10" s="28">
        <f t="shared" si="11"/>
        <v>0.59896147333227778</v>
      </c>
      <c r="V10" s="29">
        <f t="shared" si="2"/>
        <v>343202.63015232456</v>
      </c>
      <c r="Z10" s="3">
        <v>16.541653</v>
      </c>
      <c r="AA10" s="37">
        <f t="shared" si="12"/>
        <v>5868.3498542876778</v>
      </c>
      <c r="AB10" s="42">
        <f t="shared" si="3"/>
        <v>10</v>
      </c>
      <c r="AC10" s="37">
        <f t="shared" si="13"/>
        <v>-2.3872238653203102</v>
      </c>
      <c r="AD10" s="37">
        <f t="shared" si="4"/>
        <v>17.468841729880175</v>
      </c>
      <c r="AE10">
        <f t="shared" si="5"/>
        <v>3.1417995681419907E-3</v>
      </c>
    </row>
    <row r="11" spans="1:35" ht="17.25" thickBot="1">
      <c r="B11" s="33">
        <v>20</v>
      </c>
      <c r="C11" s="36">
        <v>5</v>
      </c>
      <c r="D11" s="33">
        <v>19019.732422000001</v>
      </c>
      <c r="E11" s="3">
        <v>17.987231999999999</v>
      </c>
      <c r="F11" s="43">
        <f t="shared" si="0"/>
        <v>1</v>
      </c>
      <c r="G11" s="1">
        <f t="shared" si="1"/>
        <v>5</v>
      </c>
      <c r="H11" s="37">
        <f t="shared" si="6"/>
        <v>0.50158115653465907</v>
      </c>
      <c r="I11">
        <f t="shared" si="7"/>
        <v>2.5079057826732951</v>
      </c>
      <c r="J11" s="39" t="s">
        <v>54</v>
      </c>
      <c r="K11" s="9">
        <v>20</v>
      </c>
      <c r="N11" s="12">
        <f t="shared" si="8"/>
        <v>0.46049036925262316</v>
      </c>
      <c r="O11" s="13">
        <f t="shared" si="9"/>
        <v>2.5079057826732951</v>
      </c>
      <c r="P11" s="14">
        <f t="shared" si="10"/>
        <v>0.24842134352132805</v>
      </c>
      <c r="R11" s="3"/>
      <c r="T11" s="27">
        <v>21558.353590262192</v>
      </c>
      <c r="U11" s="28">
        <f t="shared" si="11"/>
        <v>0.52724875993542752</v>
      </c>
      <c r="V11" s="29">
        <f t="shared" si="2"/>
        <v>346472.88650661655</v>
      </c>
      <c r="Z11" s="3">
        <v>17.987231999999999</v>
      </c>
      <c r="AA11" s="37">
        <f t="shared" si="12"/>
        <v>2948.0973756682624</v>
      </c>
      <c r="AB11" s="42">
        <f t="shared" si="3"/>
        <v>5</v>
      </c>
      <c r="AC11" s="37">
        <f t="shared" si="13"/>
        <v>-2.0882496921508285</v>
      </c>
      <c r="AD11" s="37">
        <f t="shared" si="4"/>
        <v>18.659253519942936</v>
      </c>
      <c r="AE11">
        <f t="shared" si="5"/>
        <v>1.3958465858161632E-3</v>
      </c>
    </row>
    <row r="12" spans="1:35" ht="15.75" thickBot="1">
      <c r="B12" s="33">
        <v>20</v>
      </c>
      <c r="C12" s="36">
        <v>1</v>
      </c>
      <c r="D12" s="33">
        <v>14287.422852</v>
      </c>
      <c r="E12" s="3">
        <v>26.221813000000001</v>
      </c>
      <c r="F12" s="43">
        <f t="shared" si="0"/>
        <v>1</v>
      </c>
      <c r="G12" s="1">
        <f t="shared" si="1"/>
        <v>1</v>
      </c>
      <c r="H12" s="37">
        <f t="shared" si="6"/>
        <v>0.79800852103333253</v>
      </c>
      <c r="I12">
        <f t="shared" si="7"/>
        <v>0.79800852103333253</v>
      </c>
      <c r="N12" s="12">
        <f t="shared" si="8"/>
        <v>0.33604432150998281</v>
      </c>
      <c r="O12" s="13">
        <f t="shared" si="9"/>
        <v>0.79800852103333253</v>
      </c>
      <c r="P12" s="14">
        <f t="shared" si="10"/>
        <v>4.0800557575141665E-2</v>
      </c>
      <c r="R12" s="3"/>
      <c r="T12" s="27">
        <v>15028.008848197129</v>
      </c>
      <c r="U12" s="28">
        <f t="shared" si="11"/>
        <v>0.3555195901662298</v>
      </c>
      <c r="V12" s="29">
        <f t="shared" si="2"/>
        <v>372887.4026283063</v>
      </c>
      <c r="Z12" s="3">
        <v>26.221813000000001</v>
      </c>
      <c r="AA12" s="37">
        <f t="shared" si="12"/>
        <v>611.64507091133248</v>
      </c>
      <c r="AB12" s="42">
        <f t="shared" si="3"/>
        <v>1</v>
      </c>
      <c r="AC12" s="37">
        <f t="shared" si="13"/>
        <v>-1.4052073481962619</v>
      </c>
      <c r="AD12" s="37">
        <f t="shared" si="4"/>
        <v>22.183018906631407</v>
      </c>
      <c r="AE12">
        <f t="shared" si="5"/>
        <v>2.3723457985980245E-2</v>
      </c>
    </row>
    <row r="13" spans="1:35" ht="15.75" thickBot="1">
      <c r="B13" s="33">
        <v>20</v>
      </c>
      <c r="C13" s="36">
        <v>0.5</v>
      </c>
      <c r="D13" s="33">
        <v>11951.486328000001</v>
      </c>
      <c r="E13" s="3">
        <v>27.084215</v>
      </c>
      <c r="F13" s="43">
        <f t="shared" si="0"/>
        <v>1</v>
      </c>
      <c r="G13" s="1">
        <f t="shared" si="1"/>
        <v>0.5</v>
      </c>
      <c r="H13" s="37">
        <f t="shared" si="6"/>
        <v>0.86774265434043829</v>
      </c>
      <c r="I13">
        <f t="shared" si="7"/>
        <v>0.43387132717021915</v>
      </c>
      <c r="N13" s="12">
        <f t="shared" si="8"/>
        <v>0.27461595045997111</v>
      </c>
      <c r="O13" s="13">
        <f t="shared" si="9"/>
        <v>0.43387132717021915</v>
      </c>
      <c r="P13" s="14">
        <f t="shared" si="10"/>
        <v>1.7492005480912787E-2</v>
      </c>
      <c r="R13" s="3"/>
      <c r="T13" s="27">
        <v>12407.448388394278</v>
      </c>
      <c r="U13" s="28">
        <f t="shared" si="11"/>
        <v>0.28660643322474488</v>
      </c>
      <c r="V13" s="29">
        <f t="shared" si="2"/>
        <v>390287.91229003953</v>
      </c>
      <c r="Z13" s="3">
        <v>27.084215</v>
      </c>
      <c r="AA13" s="37">
        <f t="shared" si="12"/>
        <v>312.86513581465823</v>
      </c>
      <c r="AB13" s="42">
        <f t="shared" si="3"/>
        <v>0.5</v>
      </c>
      <c r="AC13" s="37">
        <f t="shared" si="13"/>
        <v>-1.1140650381334976</v>
      </c>
      <c r="AD13" s="37">
        <f t="shared" si="4"/>
        <v>24.083976822939125</v>
      </c>
      <c r="AE13">
        <f t="shared" si="5"/>
        <v>1.2270971875051554E-2</v>
      </c>
    </row>
    <row r="14" spans="1:35" ht="15.75" thickBot="1">
      <c r="B14" s="33">
        <v>20</v>
      </c>
      <c r="C14" s="36">
        <v>0.1</v>
      </c>
      <c r="D14" s="33">
        <v>7491.4033200000003</v>
      </c>
      <c r="E14" s="3">
        <v>29.858281999999999</v>
      </c>
      <c r="F14" s="43">
        <f t="shared" si="0"/>
        <v>1</v>
      </c>
      <c r="G14" s="1">
        <f t="shared" si="1"/>
        <v>0.1</v>
      </c>
      <c r="H14" s="37">
        <f t="shared" si="6"/>
        <v>1.0507779002810542</v>
      </c>
      <c r="I14">
        <f t="shared" si="7"/>
        <v>0.10507779002810543</v>
      </c>
      <c r="N14" s="12">
        <f t="shared" si="8"/>
        <v>0.15732867355223767</v>
      </c>
      <c r="O14" s="13">
        <f t="shared" si="9"/>
        <v>0.10507779002810543</v>
      </c>
      <c r="P14" s="14">
        <f t="shared" si="10"/>
        <v>2.5783951569526829E-3</v>
      </c>
      <c r="R14" s="3"/>
      <c r="T14" s="27">
        <v>7460.9976866110883</v>
      </c>
      <c r="U14" s="28">
        <f t="shared" si="11"/>
        <v>0.15652909337930285</v>
      </c>
      <c r="V14" s="29">
        <f t="shared" si="2"/>
        <v>436936.17873350886</v>
      </c>
      <c r="Z14" s="3">
        <v>29.858281999999999</v>
      </c>
      <c r="AA14" s="37">
        <f t="shared" si="12"/>
        <v>66.201148154438954</v>
      </c>
      <c r="AB14" s="42">
        <f t="shared" si="3"/>
        <v>0.1</v>
      </c>
      <c r="AC14" s="37">
        <f t="shared" si="13"/>
        <v>-0.43957338963583042</v>
      </c>
      <c r="AD14" s="37">
        <f t="shared" si="4"/>
        <v>28.821407939534804</v>
      </c>
      <c r="AE14">
        <f t="shared" si="5"/>
        <v>1.2059308038456682E-3</v>
      </c>
    </row>
    <row r="15" spans="1:35" ht="15.75" thickBot="1">
      <c r="B15" s="33">
        <v>30</v>
      </c>
      <c r="C15" s="36">
        <v>25</v>
      </c>
      <c r="D15" s="33">
        <v>15169.161133</v>
      </c>
      <c r="E15" s="3">
        <v>19.588760000000001</v>
      </c>
      <c r="F15" s="43">
        <f t="shared" si="0"/>
        <v>4.4850779339718816E-2</v>
      </c>
      <c r="G15" s="1">
        <f t="shared" si="1"/>
        <v>1.1212694834929704</v>
      </c>
      <c r="H15" s="37">
        <f t="shared" si="6"/>
        <v>3.9736122318749019E-2</v>
      </c>
      <c r="I15">
        <f t="shared" si="7"/>
        <v>0.99340305796872552</v>
      </c>
      <c r="N15" s="12">
        <f t="shared" si="8"/>
        <v>0.35923148680226513</v>
      </c>
      <c r="O15" s="13">
        <f t="shared" si="9"/>
        <v>27.094164559248139</v>
      </c>
      <c r="P15" s="14">
        <f t="shared" si="10"/>
        <v>7.0168403219375208E-3</v>
      </c>
      <c r="R15" s="3"/>
      <c r="T15" s="27">
        <v>14543.036607014792</v>
      </c>
      <c r="U15" s="28">
        <f t="shared" si="11"/>
        <v>0.34276622359388353</v>
      </c>
      <c r="V15" s="29">
        <f t="shared" si="2"/>
        <v>301537.5126248583</v>
      </c>
      <c r="Z15" s="3">
        <v>19.588760000000001</v>
      </c>
      <c r="AA15" s="37">
        <f t="shared" si="12"/>
        <v>542.32594604613018</v>
      </c>
      <c r="AB15" s="42">
        <f t="shared" si="3"/>
        <v>87370948560.791809</v>
      </c>
      <c r="AC15" s="37">
        <f t="shared" si="13"/>
        <v>-1.3529682504981517</v>
      </c>
      <c r="AD15" s="37">
        <f t="shared" si="4"/>
        <v>22.506371220373655</v>
      </c>
      <c r="AE15">
        <f t="shared" si="5"/>
        <v>2.2184055870102772E-2</v>
      </c>
    </row>
    <row r="16" spans="1:35" ht="15.75" thickBot="1">
      <c r="B16" s="33">
        <v>30</v>
      </c>
      <c r="C16" s="36">
        <v>10</v>
      </c>
      <c r="D16" s="33">
        <v>11686.303711</v>
      </c>
      <c r="E16" s="3">
        <v>26.601870999999999</v>
      </c>
      <c r="F16" s="43">
        <f t="shared" si="0"/>
        <v>4.4850779339718816E-2</v>
      </c>
      <c r="G16" s="1">
        <f t="shared" si="1"/>
        <v>0.44850779339718816</v>
      </c>
      <c r="H16" s="37">
        <f t="shared" si="6"/>
        <v>4.0337739496886543E-2</v>
      </c>
      <c r="I16">
        <f t="shared" si="7"/>
        <v>0.40337739496886543</v>
      </c>
      <c r="N16" s="12">
        <f t="shared" si="8"/>
        <v>0.26764241499540509</v>
      </c>
      <c r="O16" s="13">
        <f t="shared" si="9"/>
        <v>11.001751435227954</v>
      </c>
      <c r="P16" s="14">
        <f t="shared" si="10"/>
        <v>1.0035059379812653E-2</v>
      </c>
      <c r="R16" s="3"/>
      <c r="T16" s="27">
        <v>11190.147986944743</v>
      </c>
      <c r="U16" s="28">
        <f t="shared" si="11"/>
        <v>0.25459495518529696</v>
      </c>
      <c r="V16" s="29">
        <f t="shared" si="2"/>
        <v>320916.09592610062</v>
      </c>
      <c r="Z16" s="3">
        <v>26.601870999999999</v>
      </c>
      <c r="AA16" s="37">
        <f t="shared" si="12"/>
        <v>223.77998615943497</v>
      </c>
      <c r="AB16" s="42">
        <f t="shared" si="3"/>
        <v>34948379424.316719</v>
      </c>
      <c r="AC16" s="37">
        <f t="shared" si="13"/>
        <v>-0.96852911063012803</v>
      </c>
      <c r="AD16" s="37">
        <f t="shared" si="4"/>
        <v>25.113929255039579</v>
      </c>
      <c r="AE16">
        <f t="shared" si="5"/>
        <v>3.1285816258533679E-3</v>
      </c>
    </row>
    <row r="17" spans="2:31" ht="15.75" thickBot="1">
      <c r="B17" s="33">
        <v>30</v>
      </c>
      <c r="C17" s="36">
        <v>5</v>
      </c>
      <c r="D17" s="33">
        <v>8971.5976559999999</v>
      </c>
      <c r="E17" s="3">
        <v>28.265042999999999</v>
      </c>
      <c r="F17" s="43">
        <f t="shared" si="0"/>
        <v>4.4850779339718816E-2</v>
      </c>
      <c r="G17" s="1">
        <f t="shared" si="1"/>
        <v>0.22425389669859408</v>
      </c>
      <c r="H17" s="37">
        <f t="shared" si="6"/>
        <v>3.5658536046684876E-2</v>
      </c>
      <c r="I17">
        <f t="shared" si="7"/>
        <v>0.17829268023342437</v>
      </c>
      <c r="N17" s="12">
        <f t="shared" si="8"/>
        <v>0.19625350133062025</v>
      </c>
      <c r="O17" s="13">
        <f t="shared" si="9"/>
        <v>4.862770633937278</v>
      </c>
      <c r="P17" s="14">
        <f t="shared" si="10"/>
        <v>7.5327595639906181E-4</v>
      </c>
      <c r="R17" s="3"/>
      <c r="T17" s="27">
        <v>8998.8458381775672</v>
      </c>
      <c r="U17" s="28">
        <f t="shared" si="11"/>
        <v>0.1969700496734561</v>
      </c>
      <c r="V17" s="29">
        <f t="shared" si="2"/>
        <v>337215.11323221738</v>
      </c>
      <c r="Z17" s="3">
        <v>28.265042999999999</v>
      </c>
      <c r="AA17" s="37">
        <f t="shared" si="12"/>
        <v>114.69125051096339</v>
      </c>
      <c r="AB17" s="42">
        <f t="shared" si="3"/>
        <v>17474189712.15836</v>
      </c>
      <c r="AC17" s="37">
        <f t="shared" si="13"/>
        <v>-0.67823815597780435</v>
      </c>
      <c r="AD17" s="37">
        <f t="shared" si="4"/>
        <v>27.228801367806494</v>
      </c>
      <c r="AE17">
        <f t="shared" si="5"/>
        <v>1.344072737496888E-3</v>
      </c>
    </row>
    <row r="18" spans="2:31" ht="15.75" thickBot="1">
      <c r="B18" s="33">
        <v>30</v>
      </c>
      <c r="C18" s="36">
        <v>1</v>
      </c>
      <c r="D18" s="33">
        <v>5406.4360349999997</v>
      </c>
      <c r="E18" s="3">
        <v>30.273053999999998</v>
      </c>
      <c r="F18" s="43">
        <f t="shared" si="0"/>
        <v>4.4850779339718816E-2</v>
      </c>
      <c r="G18" s="1">
        <f t="shared" si="1"/>
        <v>4.4850779339718816E-2</v>
      </c>
      <c r="H18" s="37">
        <f t="shared" si="6"/>
        <v>4.0850410982721984E-2</v>
      </c>
      <c r="I18">
        <f t="shared" si="7"/>
        <v>4.0850410982721984E-2</v>
      </c>
      <c r="N18" s="12">
        <f t="shared" si="8"/>
        <v>0.10250006725483661</v>
      </c>
      <c r="O18" s="13">
        <f t="shared" si="9"/>
        <v>1.1141577918452832</v>
      </c>
      <c r="P18" s="14">
        <f t="shared" si="10"/>
        <v>1.3032001438991005E-2</v>
      </c>
      <c r="R18" s="3"/>
      <c r="T18" s="27">
        <v>5262.675240052411</v>
      </c>
      <c r="U18" s="28">
        <f t="shared" si="11"/>
        <v>9.8719574350276368E-2</v>
      </c>
      <c r="V18" s="29">
        <f t="shared" si="2"/>
        <v>371056.84676451475</v>
      </c>
      <c r="Z18" s="3">
        <v>30.273053999999998</v>
      </c>
      <c r="AA18" s="37">
        <f t="shared" si="12"/>
        <v>24.059806599672577</v>
      </c>
      <c r="AB18" s="42">
        <f t="shared" si="3"/>
        <v>3494837942.4316721</v>
      </c>
      <c r="AC18" s="37">
        <f t="shared" si="13"/>
        <v>0</v>
      </c>
      <c r="AD18" s="37">
        <f t="shared" si="4"/>
        <v>30.273053999999998</v>
      </c>
      <c r="AE18">
        <f t="shared" si="5"/>
        <v>0</v>
      </c>
    </row>
    <row r="19" spans="2:31" ht="15.75" thickBot="1">
      <c r="B19" s="33">
        <v>30</v>
      </c>
      <c r="C19" s="36">
        <v>0.5</v>
      </c>
      <c r="D19" s="33">
        <v>4250.2915039999998</v>
      </c>
      <c r="E19" s="3">
        <v>28.746621999999999</v>
      </c>
      <c r="F19" s="43">
        <f t="shared" si="0"/>
        <v>4.4850779339718816E-2</v>
      </c>
      <c r="G19" s="1">
        <f t="shared" si="1"/>
        <v>2.2425389669859408E-2</v>
      </c>
      <c r="H19" s="37">
        <f t="shared" si="6"/>
        <v>3.9597828270383266E-2</v>
      </c>
      <c r="I19">
        <f t="shared" si="7"/>
        <v>1.9798914135191633E-2</v>
      </c>
      <c r="N19" s="12">
        <f t="shared" si="8"/>
        <v>7.2096811640640066E-2</v>
      </c>
      <c r="O19" s="13">
        <f t="shared" si="9"/>
        <v>0.53999736901373052</v>
      </c>
      <c r="P19" s="14">
        <f t="shared" si="10"/>
        <v>6.3991581120821216E-3</v>
      </c>
      <c r="R19" s="3"/>
      <c r="T19" s="27">
        <v>4196.7297879905564</v>
      </c>
      <c r="U19" s="28">
        <f t="shared" si="11"/>
        <v>7.0688293501855473E-2</v>
      </c>
      <c r="V19" s="29">
        <f t="shared" si="2"/>
        <v>377343.37369472167</v>
      </c>
      <c r="Z19" s="3">
        <v>28.746621999999999</v>
      </c>
      <c r="AA19" s="37">
        <f t="shared" si="12"/>
        <v>12.131215605126798</v>
      </c>
      <c r="AB19" s="42">
        <f t="shared" si="3"/>
        <v>1747418971.215836</v>
      </c>
      <c r="AC19" s="37">
        <f t="shared" si="13"/>
        <v>0.29738781061525793</v>
      </c>
      <c r="AD19" s="37">
        <f t="shared" si="4"/>
        <v>29.570127510392599</v>
      </c>
      <c r="AE19">
        <f t="shared" si="5"/>
        <v>8.2065266177979931E-4</v>
      </c>
    </row>
    <row r="20" spans="2:31" ht="15.75" thickBot="1">
      <c r="B20" s="33">
        <v>30</v>
      </c>
      <c r="C20" s="36">
        <v>0.1</v>
      </c>
      <c r="D20" s="33">
        <v>2619.2705080000001</v>
      </c>
      <c r="E20" s="3">
        <v>23.550543000000001</v>
      </c>
      <c r="F20" s="43">
        <f t="shared" si="0"/>
        <v>4.4850779339718816E-2</v>
      </c>
      <c r="G20" s="1">
        <f t="shared" si="1"/>
        <v>4.4850779339718821E-3</v>
      </c>
      <c r="H20" s="37">
        <f t="shared" si="6"/>
        <v>3.4496446302812928E-2</v>
      </c>
      <c r="I20">
        <f t="shared" si="7"/>
        <v>3.4496446302812928E-3</v>
      </c>
      <c r="N20" s="12">
        <f t="shared" si="8"/>
        <v>2.9205679153408298E-2</v>
      </c>
      <c r="O20" s="13">
        <f t="shared" si="9"/>
        <v>9.4085918634962032E-2</v>
      </c>
      <c r="P20" s="14">
        <f t="shared" si="10"/>
        <v>3.4976358392289418E-3</v>
      </c>
      <c r="R20" s="3"/>
      <c r="T20" s="30">
        <v>2646.1188661818137</v>
      </c>
      <c r="U20" s="31">
        <f t="shared" si="11"/>
        <v>2.9911713282131939E-2</v>
      </c>
      <c r="V20" s="32">
        <f t="shared" si="2"/>
        <v>339059.56230225455</v>
      </c>
      <c r="Z20" s="3">
        <v>23.550543000000001</v>
      </c>
      <c r="AA20" s="37">
        <f t="shared" si="12"/>
        <v>2.3000788974369391</v>
      </c>
      <c r="AB20" s="42">
        <f t="shared" si="3"/>
        <v>349483794.24316722</v>
      </c>
      <c r="AC20" s="37">
        <f t="shared" si="13"/>
        <v>1.0195493985545123</v>
      </c>
      <c r="AD20" s="37">
        <f t="shared" si="4"/>
        <v>24.748091713840719</v>
      </c>
      <c r="AE20">
        <f t="shared" si="5"/>
        <v>2.585738056053929E-3</v>
      </c>
    </row>
    <row r="21" spans="2:31" ht="15.75" thickBot="1"/>
    <row r="22" spans="2:31" ht="16.5" thickTop="1" thickBot="1">
      <c r="P22" s="7">
        <f>SUM(P3:P20)</f>
        <v>2.0579487447257172</v>
      </c>
      <c r="Q22" t="s">
        <v>14</v>
      </c>
      <c r="AE22">
        <f>SUM(AE3:AE20)</f>
        <v>0.54362865193677601</v>
      </c>
    </row>
    <row r="23" spans="2:31" ht="15.75" thickTop="1"/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23FE-1C7B-4971-A0F4-3E885D6C222B}">
  <dimension ref="B1:V23"/>
  <sheetViews>
    <sheetView workbookViewId="0">
      <selection activeCell="M3" sqref="M3"/>
    </sheetView>
  </sheetViews>
  <sheetFormatPr defaultColWidth="8.85546875" defaultRowHeight="15"/>
  <cols>
    <col min="2" max="5" width="15.7109375" customWidth="1"/>
    <col min="9" max="9" width="8.85546875" customWidth="1"/>
    <col min="10" max="10" width="11.85546875" customWidth="1"/>
    <col min="14" max="14" width="10.7109375" customWidth="1"/>
    <col min="16" max="16" width="8.7109375" customWidth="1"/>
    <col min="20" max="20" width="10.85546875" customWidth="1"/>
  </cols>
  <sheetData>
    <row r="1" spans="2:22" ht="15.75" thickBot="1"/>
    <row r="2" spans="2:22" ht="18.75" thickBot="1">
      <c r="B2" s="2" t="s">
        <v>0</v>
      </c>
      <c r="C2" s="2" t="s">
        <v>1</v>
      </c>
      <c r="D2" s="2" t="s">
        <v>3</v>
      </c>
      <c r="E2" s="2" t="s">
        <v>2</v>
      </c>
      <c r="I2" s="6" t="s">
        <v>12</v>
      </c>
      <c r="J2" s="6" t="s">
        <v>8</v>
      </c>
      <c r="L2" s="10" t="s">
        <v>17</v>
      </c>
      <c r="M2" s="11" t="s">
        <v>15</v>
      </c>
      <c r="N2" s="11" t="s">
        <v>13</v>
      </c>
      <c r="O2" s="5" t="s">
        <v>16</v>
      </c>
      <c r="P2" s="21">
        <f>CORREL(C3:C20,M3:M20)</f>
        <v>0.75623265132224327</v>
      </c>
      <c r="R2" s="22" t="s">
        <v>18</v>
      </c>
      <c r="S2" s="10" t="s">
        <v>17</v>
      </c>
      <c r="T2" s="23" t="s">
        <v>13</v>
      </c>
      <c r="U2" s="5" t="s">
        <v>16</v>
      </c>
      <c r="V2" s="21">
        <f>CORREL(D3:D20,R3:R20)</f>
        <v>0.9877674198952322</v>
      </c>
    </row>
    <row r="3" spans="2:22" ht="18">
      <c r="B3" s="33">
        <v>10</v>
      </c>
      <c r="C3" s="36">
        <v>25</v>
      </c>
      <c r="D3" s="34">
        <v>24123.880859000001</v>
      </c>
      <c r="E3" s="3">
        <v>6.197476</v>
      </c>
      <c r="H3" s="4" t="s">
        <v>9</v>
      </c>
      <c r="I3" s="8">
        <v>1515.014093376725</v>
      </c>
      <c r="J3" s="8">
        <v>50</v>
      </c>
      <c r="L3" s="12">
        <f>(D3-$I$3)/($I$4-$I$3)</f>
        <v>0.72561291343167</v>
      </c>
      <c r="M3" s="13">
        <f>((($I$6*EXP($I$7*B3))*L3^$I$5)/(1-L3))^(1/(1-$I$5))</f>
        <v>1.1084031378763681</v>
      </c>
      <c r="N3" s="14">
        <f>((C3-M3)^2)/(C3^2)</f>
        <v>0.91329344099557708</v>
      </c>
      <c r="P3" s="3"/>
      <c r="R3" s="24">
        <v>29530.545898836117</v>
      </c>
      <c r="S3" s="25">
        <f>(R3-$I$3)/($I$4-$I$3)</f>
        <v>0.89913536425480345</v>
      </c>
      <c r="T3" s="26">
        <f t="shared" ref="T3:T8" si="0">((C3-((($I$6*EXP($I$7*B3))*S3^$I$5)/(1-S3))^(1/(1-$I$5)))^2)/C3^2</f>
        <v>1.1391241680021428E-12</v>
      </c>
    </row>
    <row r="4" spans="2:22" ht="18">
      <c r="B4" s="33">
        <v>10</v>
      </c>
      <c r="C4" s="36">
        <v>10</v>
      </c>
      <c r="D4" s="33">
        <v>27854.140625</v>
      </c>
      <c r="E4" s="3">
        <v>11.127105999999999</v>
      </c>
      <c r="H4" s="4" t="s">
        <v>10</v>
      </c>
      <c r="I4" s="8">
        <v>32673.31674636875</v>
      </c>
      <c r="J4" s="8">
        <f>MAX(D3:D20)+10</f>
        <v>27864.140625</v>
      </c>
      <c r="L4" s="15">
        <f t="shared" ref="L4:L20" si="1">(D4-$I$3)/($I$4-$I$3)</f>
        <v>0.84533252099642275</v>
      </c>
      <c r="M4" s="16">
        <f t="shared" ref="M4:M20" si="2">((($I$6*EXP($I$7*B4))*L4^$I$5)/(1-L4))^(1/(1-$I$5))</f>
        <v>6.9577041795640699</v>
      </c>
      <c r="N4" s="17">
        <f t="shared" ref="N4:N20" si="3">((C4-M4)^2)/(C4^2)</f>
        <v>9.2555638590419292E-2</v>
      </c>
      <c r="P4" s="3"/>
      <c r="R4" s="27">
        <v>28396.556489802526</v>
      </c>
      <c r="S4" s="28">
        <f t="shared" ref="S4:S20" si="4">(R4-$I$3)/($I$4-$I$3)</f>
        <v>0.86274091036998313</v>
      </c>
      <c r="T4" s="29">
        <f t="shared" si="0"/>
        <v>4.1522529437894822E-13</v>
      </c>
    </row>
    <row r="5" spans="2:22">
      <c r="B5" s="33">
        <v>10</v>
      </c>
      <c r="C5" s="36">
        <v>5</v>
      </c>
      <c r="D5" s="33">
        <v>27541.597656000002</v>
      </c>
      <c r="E5" s="3">
        <v>14.595389000000001</v>
      </c>
      <c r="H5" s="39" t="s">
        <v>11</v>
      </c>
      <c r="I5" s="9">
        <v>0.635122558606391</v>
      </c>
      <c r="J5" s="9">
        <v>0.5</v>
      </c>
      <c r="L5" s="15">
        <f t="shared" si="1"/>
        <v>0.83530171243535412</v>
      </c>
      <c r="M5" s="16">
        <f t="shared" si="2"/>
        <v>5.7365349612350656</v>
      </c>
      <c r="N5" s="17">
        <f t="shared" si="3"/>
        <v>2.1699349964861579E-2</v>
      </c>
      <c r="P5" s="3"/>
      <c r="R5" s="27">
        <v>27308.467963289186</v>
      </c>
      <c r="S5" s="28">
        <f t="shared" si="4"/>
        <v>0.82781960741483473</v>
      </c>
      <c r="T5" s="29">
        <f t="shared" si="0"/>
        <v>1.9541388963168211E-11</v>
      </c>
    </row>
    <row r="6" spans="2:22">
      <c r="B6" s="33">
        <v>10</v>
      </c>
      <c r="C6" s="36">
        <v>1</v>
      </c>
      <c r="D6" s="33">
        <v>24213.675781000002</v>
      </c>
      <c r="E6" s="3">
        <v>17.575668</v>
      </c>
      <c r="H6" s="39" t="s">
        <v>31</v>
      </c>
      <c r="I6" s="9">
        <v>0.13037636721362758</v>
      </c>
      <c r="J6" s="9">
        <v>0.1</v>
      </c>
      <c r="L6" s="15">
        <f t="shared" si="1"/>
        <v>0.7284948073204367</v>
      </c>
      <c r="M6" s="16">
        <f t="shared" si="2"/>
        <v>1.1488451786731062</v>
      </c>
      <c r="N6" s="17">
        <f t="shared" si="3"/>
        <v>2.215488721422891E-2</v>
      </c>
      <c r="P6" s="3"/>
      <c r="R6" s="27">
        <v>23862.125930724571</v>
      </c>
      <c r="S6" s="28">
        <f t="shared" si="4"/>
        <v>0.7172121051081044</v>
      </c>
      <c r="T6" s="29">
        <f t="shared" si="0"/>
        <v>4.8054662811307306E-15</v>
      </c>
    </row>
    <row r="7" spans="2:22">
      <c r="B7" s="33">
        <v>10</v>
      </c>
      <c r="C7" s="36">
        <v>0.5</v>
      </c>
      <c r="D7" s="33">
        <v>21762.693359000001</v>
      </c>
      <c r="E7" s="3">
        <v>18.787822999999999</v>
      </c>
      <c r="H7" s="39" t="s">
        <v>32</v>
      </c>
      <c r="I7" s="9">
        <v>9.8537606329494376E-2</v>
      </c>
      <c r="J7" s="9">
        <v>0.1</v>
      </c>
      <c r="L7" s="15">
        <f t="shared" si="1"/>
        <v>0.64983254996654838</v>
      </c>
      <c r="M7" s="16">
        <f t="shared" si="2"/>
        <v>0.46886412989100423</v>
      </c>
      <c r="N7" s="17">
        <f t="shared" si="3"/>
        <v>3.8777696297770245E-3</v>
      </c>
      <c r="P7" s="3"/>
      <c r="R7" s="27">
        <v>21952.372675713137</v>
      </c>
      <c r="S7" s="28">
        <f t="shared" si="4"/>
        <v>0.65592015104115065</v>
      </c>
      <c r="T7" s="29">
        <f t="shared" si="0"/>
        <v>2.9825239715703604E-20</v>
      </c>
    </row>
    <row r="8" spans="2:22">
      <c r="B8" s="33">
        <v>10</v>
      </c>
      <c r="C8" s="36">
        <v>0.1</v>
      </c>
      <c r="D8" s="33">
        <v>16431.154297000001</v>
      </c>
      <c r="E8" s="3">
        <v>20.728508000000001</v>
      </c>
      <c r="L8" s="15">
        <f t="shared" si="1"/>
        <v>0.47872120537961749</v>
      </c>
      <c r="M8" s="16">
        <f t="shared" si="2"/>
        <v>9.256834910499874E-2</v>
      </c>
      <c r="N8" s="17">
        <f t="shared" si="3"/>
        <v>5.5229435025173105E-3</v>
      </c>
      <c r="P8" s="3"/>
      <c r="R8" s="27">
        <v>16701.344300945773</v>
      </c>
      <c r="S8" s="28">
        <f t="shared" si="4"/>
        <v>0.48739273049299936</v>
      </c>
      <c r="T8" s="29">
        <f t="shared" si="0"/>
        <v>5.2489711079241776E-13</v>
      </c>
    </row>
    <row r="9" spans="2:22">
      <c r="B9" s="33">
        <v>20</v>
      </c>
      <c r="C9" s="36">
        <v>25</v>
      </c>
      <c r="D9" s="34">
        <v>24237.414062</v>
      </c>
      <c r="E9" s="3">
        <v>11.550259</v>
      </c>
      <c r="L9" s="15">
        <f t="shared" si="1"/>
        <v>0.72925666785129972</v>
      </c>
      <c r="M9" s="16">
        <f t="shared" si="2"/>
        <v>17.267828295883021</v>
      </c>
      <c r="N9" s="17">
        <f t="shared" si="3"/>
        <v>9.5658366819115631E-2</v>
      </c>
      <c r="P9" s="3"/>
      <c r="R9" s="27">
        <v>25121.901603100399</v>
      </c>
      <c r="S9" s="28">
        <f t="shared" si="4"/>
        <v>0.75764356526836629</v>
      </c>
      <c r="T9" s="29">
        <f t="shared" ref="T9:T20" si="5">((C9-((($I$6*EXP($I$7*B9))*S9^$I$5)/(1-S9))^(1/(1-$I$5)))^2)/C9^2</f>
        <v>1.8471982776171028E-12</v>
      </c>
    </row>
    <row r="10" spans="2:22">
      <c r="B10" s="33">
        <v>20</v>
      </c>
      <c r="C10" s="36">
        <v>10</v>
      </c>
      <c r="D10" s="33">
        <v>23530.599609000001</v>
      </c>
      <c r="E10" s="3">
        <v>16.311768000000001</v>
      </c>
      <c r="L10" s="15">
        <f t="shared" si="1"/>
        <v>0.70657204151360264</v>
      </c>
      <c r="M10" s="16">
        <f t="shared" si="2"/>
        <v>13.109338547366669</v>
      </c>
      <c r="N10" s="17">
        <f t="shared" si="3"/>
        <v>9.6679862021402649E-2</v>
      </c>
      <c r="P10" s="3"/>
      <c r="R10" s="27">
        <v>22796.378856140695</v>
      </c>
      <c r="S10" s="28">
        <f t="shared" si="4"/>
        <v>0.68300783260799325</v>
      </c>
      <c r="T10" s="29">
        <f t="shared" si="5"/>
        <v>3.7361882294878537E-12</v>
      </c>
    </row>
    <row r="11" spans="2:22">
      <c r="B11" s="33">
        <v>20</v>
      </c>
      <c r="C11" s="36">
        <v>5</v>
      </c>
      <c r="D11" s="33">
        <v>19639.169922000001</v>
      </c>
      <c r="E11" s="3">
        <v>18.371904000000001</v>
      </c>
      <c r="L11" s="15">
        <f t="shared" si="1"/>
        <v>0.58167981839289551</v>
      </c>
      <c r="M11" s="16">
        <f t="shared" si="2"/>
        <v>3.5356113305156773</v>
      </c>
      <c r="N11" s="17">
        <f t="shared" si="3"/>
        <v>8.5777367012562597E-2</v>
      </c>
      <c r="P11" s="3"/>
      <c r="R11" s="27">
        <v>20746.504394560692</v>
      </c>
      <c r="S11" s="28">
        <f t="shared" si="4"/>
        <v>0.61721880409738028</v>
      </c>
      <c r="T11" s="29">
        <f t="shared" si="5"/>
        <v>9.7204665050588129E-13</v>
      </c>
    </row>
    <row r="12" spans="2:22">
      <c r="B12" s="33">
        <v>20</v>
      </c>
      <c r="C12" s="36">
        <v>1</v>
      </c>
      <c r="D12" s="33">
        <v>15342.563477</v>
      </c>
      <c r="E12" s="3">
        <v>25.941700000000001</v>
      </c>
      <c r="L12" s="15">
        <f t="shared" si="1"/>
        <v>0.44378378172969773</v>
      </c>
      <c r="M12" s="16">
        <f t="shared" si="2"/>
        <v>1.0111213920287407</v>
      </c>
      <c r="N12" s="17">
        <f t="shared" si="3"/>
        <v>1.2368536065693808E-4</v>
      </c>
      <c r="P12" s="3"/>
      <c r="R12" s="27">
        <v>15303.622600948309</v>
      </c>
      <c r="S12" s="28">
        <f t="shared" si="4"/>
        <v>0.44253400646159752</v>
      </c>
      <c r="T12" s="29">
        <f t="shared" si="5"/>
        <v>8.2050962522242768E-23</v>
      </c>
    </row>
    <row r="13" spans="2:22">
      <c r="B13" s="33">
        <v>20</v>
      </c>
      <c r="C13" s="36">
        <v>0.5</v>
      </c>
      <c r="D13" s="33">
        <v>12567.734375</v>
      </c>
      <c r="E13" s="3">
        <v>24.496079999999999</v>
      </c>
      <c r="L13" s="15">
        <f t="shared" si="1"/>
        <v>0.35472793254230489</v>
      </c>
      <c r="M13" s="16">
        <f t="shared" si="2"/>
        <v>0.45573311093509322</v>
      </c>
      <c r="N13" s="17">
        <f t="shared" si="3"/>
        <v>7.8382298699390535E-3</v>
      </c>
      <c r="P13" s="3"/>
      <c r="R13" s="27">
        <v>12884.476699203846</v>
      </c>
      <c r="S13" s="28">
        <f t="shared" si="4"/>
        <v>0.36489351594174052</v>
      </c>
      <c r="T13" s="29">
        <f t="shared" si="5"/>
        <v>1.6059497851458734E-20</v>
      </c>
    </row>
    <row r="14" spans="2:22">
      <c r="B14" s="33">
        <v>20</v>
      </c>
      <c r="C14" s="36">
        <v>0.1</v>
      </c>
      <c r="D14" s="33">
        <v>8286.2822269999997</v>
      </c>
      <c r="E14" s="3">
        <v>28.602848000000002</v>
      </c>
      <c r="L14" s="15">
        <f t="shared" si="1"/>
        <v>0.21731826053024916</v>
      </c>
      <c r="M14" s="16">
        <f t="shared" si="2"/>
        <v>0.1144248416356686</v>
      </c>
      <c r="N14" s="17">
        <f t="shared" si="3"/>
        <v>2.0807605621411818E-2</v>
      </c>
      <c r="P14" s="3"/>
      <c r="R14" s="27">
        <v>7927.6094854669445</v>
      </c>
      <c r="S14" s="28">
        <f t="shared" si="4"/>
        <v>0.20580695500351462</v>
      </c>
      <c r="T14" s="29">
        <f t="shared" si="5"/>
        <v>2.5652362457100558E-24</v>
      </c>
    </row>
    <row r="15" spans="2:22">
      <c r="B15" s="33">
        <v>30</v>
      </c>
      <c r="C15" s="36">
        <v>25</v>
      </c>
      <c r="D15" s="33">
        <v>17221.455077999999</v>
      </c>
      <c r="E15" s="3">
        <v>20.142344000000001</v>
      </c>
      <c r="L15" s="15">
        <f t="shared" si="1"/>
        <v>0.50408525648989544</v>
      </c>
      <c r="M15" s="16">
        <f t="shared" si="2"/>
        <v>25.736159846397989</v>
      </c>
      <c r="N15" s="17">
        <f t="shared" si="3"/>
        <v>8.6709011111793684E-4</v>
      </c>
      <c r="P15" s="3"/>
      <c r="R15" s="27">
        <v>17120.676551622586</v>
      </c>
      <c r="S15" s="28">
        <f t="shared" si="4"/>
        <v>0.50085085288647146</v>
      </c>
      <c r="T15" s="29">
        <f t="shared" si="5"/>
        <v>3.2671878309846891E-14</v>
      </c>
    </row>
    <row r="16" spans="2:22">
      <c r="B16" s="33">
        <v>30</v>
      </c>
      <c r="C16" s="36">
        <v>10</v>
      </c>
      <c r="D16" s="33">
        <v>13788.416015999999</v>
      </c>
      <c r="E16" s="3">
        <v>23.049610000000001</v>
      </c>
      <c r="L16" s="15">
        <f t="shared" si="1"/>
        <v>0.39390470204078021</v>
      </c>
      <c r="M16" s="16">
        <f t="shared" si="2"/>
        <v>9.6670733157492492</v>
      </c>
      <c r="N16" s="17">
        <f t="shared" si="3"/>
        <v>1.1084017708619912E-3</v>
      </c>
      <c r="P16" s="3"/>
      <c r="R16" s="27">
        <v>13906.50647764024</v>
      </c>
      <c r="S16" s="28">
        <f t="shared" si="4"/>
        <v>0.39769471791409028</v>
      </c>
      <c r="T16" s="29">
        <f t="shared" si="5"/>
        <v>1.2819646329616525E-14</v>
      </c>
    </row>
    <row r="17" spans="2:20">
      <c r="B17" s="33">
        <v>30</v>
      </c>
      <c r="C17" s="36">
        <v>5</v>
      </c>
      <c r="D17" s="33">
        <v>11400.203125</v>
      </c>
      <c r="E17" s="3">
        <v>25.641607</v>
      </c>
      <c r="L17" s="15">
        <f t="shared" si="1"/>
        <v>0.31725698096311528</v>
      </c>
      <c r="M17" s="16">
        <f t="shared" si="2"/>
        <v>4.7860020773009415</v>
      </c>
      <c r="N17" s="17">
        <f t="shared" si="3"/>
        <v>1.8318044367804883E-3</v>
      </c>
      <c r="P17" s="3"/>
      <c r="R17" s="27">
        <v>11544.051854862018</v>
      </c>
      <c r="S17" s="28">
        <f t="shared" si="4"/>
        <v>0.32187368718951187</v>
      </c>
      <c r="T17" s="29">
        <f t="shared" si="5"/>
        <v>2.1730475758993974E-15</v>
      </c>
    </row>
    <row r="18" spans="2:20">
      <c r="B18" s="33">
        <v>30</v>
      </c>
      <c r="C18" s="36">
        <v>1</v>
      </c>
      <c r="D18" s="33">
        <v>7058.8212890000004</v>
      </c>
      <c r="E18" s="3">
        <v>31.100918</v>
      </c>
      <c r="L18" s="15">
        <f t="shared" si="1"/>
        <v>0.17792391509140573</v>
      </c>
      <c r="M18" s="16">
        <f t="shared" si="2"/>
        <v>1.051275847532559</v>
      </c>
      <c r="N18" s="17">
        <f t="shared" si="3"/>
        <v>2.629212540182235E-3</v>
      </c>
      <c r="P18" s="3"/>
      <c r="R18" s="27">
        <v>6940.9187967156677</v>
      </c>
      <c r="S18" s="28">
        <f t="shared" si="4"/>
        <v>0.1741399319393899</v>
      </c>
      <c r="T18" s="29">
        <f t="shared" si="5"/>
        <v>8.2841771854248109E-18</v>
      </c>
    </row>
    <row r="19" spans="2:20">
      <c r="B19" s="33">
        <v>30</v>
      </c>
      <c r="C19" s="36">
        <v>0.5</v>
      </c>
      <c r="D19" s="33">
        <v>5408.138672</v>
      </c>
      <c r="E19" s="3">
        <v>28.864542</v>
      </c>
      <c r="L19" s="15">
        <f t="shared" si="1"/>
        <v>0.12494661926808877</v>
      </c>
      <c r="M19" s="16">
        <f t="shared" si="2"/>
        <v>0.47882534292798906</v>
      </c>
      <c r="N19" s="17">
        <f t="shared" si="3"/>
        <v>1.7934644084690514E-3</v>
      </c>
      <c r="P19" s="3"/>
      <c r="R19" s="27">
        <v>5487.7914062750679</v>
      </c>
      <c r="S19" s="28">
        <f t="shared" si="4"/>
        <v>0.12750300801500336</v>
      </c>
      <c r="T19" s="29">
        <f t="shared" si="5"/>
        <v>8.8132110490174233E-20</v>
      </c>
    </row>
    <row r="20" spans="2:20" ht="15.75" thickBot="1">
      <c r="B20" s="33">
        <v>30</v>
      </c>
      <c r="C20" s="36">
        <v>0.1</v>
      </c>
      <c r="D20" s="33">
        <v>3284.4418949999999</v>
      </c>
      <c r="E20" s="3">
        <v>24.257147</v>
      </c>
      <c r="L20" s="18">
        <f t="shared" si="1"/>
        <v>5.6788324490241862E-2</v>
      </c>
      <c r="M20" s="19">
        <f t="shared" si="2"/>
        <v>9.8807610699871096E-2</v>
      </c>
      <c r="N20" s="20">
        <f t="shared" si="3"/>
        <v>1.4217922430619112E-4</v>
      </c>
      <c r="P20" s="3"/>
      <c r="R20" s="30">
        <v>3295.6112011148421</v>
      </c>
      <c r="S20" s="31">
        <f t="shared" si="4"/>
        <v>5.7146794148850481E-2</v>
      </c>
      <c r="T20" s="32">
        <f t="shared" si="5"/>
        <v>4.5422111116669117E-13</v>
      </c>
    </row>
    <row r="21" spans="2:20" ht="15.75" thickBot="1"/>
    <row r="22" spans="2:20" ht="16.5" thickTop="1" thickBot="1">
      <c r="N22" s="7">
        <f>SUM(N3:N20)</f>
        <v>1.3743612990941878</v>
      </c>
      <c r="O22" t="s">
        <v>14</v>
      </c>
    </row>
    <row r="23" spans="2:20" ht="15.7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243C-A630-4ACD-A213-DE3856858C04}">
  <dimension ref="B1:V23"/>
  <sheetViews>
    <sheetView workbookViewId="0">
      <selection activeCell="E21" sqref="E21"/>
    </sheetView>
  </sheetViews>
  <sheetFormatPr defaultColWidth="8.85546875" defaultRowHeight="15"/>
  <cols>
    <col min="2" max="5" width="15.7109375" customWidth="1"/>
    <col min="9" max="9" width="8.85546875" customWidth="1"/>
    <col min="10" max="10" width="11.85546875" customWidth="1"/>
    <col min="14" max="14" width="10.7109375" customWidth="1"/>
    <col min="20" max="20" width="10.85546875" customWidth="1"/>
  </cols>
  <sheetData>
    <row r="1" spans="2:22" ht="15.75" thickBot="1"/>
    <row r="2" spans="2:22" ht="18.75" thickBot="1">
      <c r="B2" s="2" t="s">
        <v>0</v>
      </c>
      <c r="C2" s="2" t="s">
        <v>1</v>
      </c>
      <c r="D2" s="2" t="s">
        <v>3</v>
      </c>
      <c r="E2" s="2" t="s">
        <v>2</v>
      </c>
      <c r="I2" s="6" t="s">
        <v>12</v>
      </c>
      <c r="J2" s="6" t="s">
        <v>8</v>
      </c>
      <c r="L2" s="10" t="s">
        <v>17</v>
      </c>
      <c r="M2" s="11" t="s">
        <v>15</v>
      </c>
      <c r="N2" s="11" t="s">
        <v>13</v>
      </c>
      <c r="O2" s="5" t="s">
        <v>16</v>
      </c>
      <c r="P2" s="21">
        <f>CORREL(C3:C20,M3:M20)</f>
        <v>0.99433138459510095</v>
      </c>
      <c r="R2" s="22" t="s">
        <v>18</v>
      </c>
      <c r="S2" s="10" t="s">
        <v>17</v>
      </c>
      <c r="T2" s="23" t="s">
        <v>13</v>
      </c>
      <c r="U2" s="5" t="s">
        <v>16</v>
      </c>
      <c r="V2" s="21">
        <f>CORREL(D3:D20,R3:R20)</f>
        <v>0.99737693413642814</v>
      </c>
    </row>
    <row r="3" spans="2:22" ht="18">
      <c r="B3" s="33">
        <v>10</v>
      </c>
      <c r="C3" s="36">
        <v>25</v>
      </c>
      <c r="D3" s="35">
        <v>27292.369140999999</v>
      </c>
      <c r="E3" s="3">
        <v>9.9039610000000007</v>
      </c>
      <c r="H3" s="4" t="s">
        <v>9</v>
      </c>
      <c r="I3" s="8">
        <v>2072.2992443786316</v>
      </c>
      <c r="J3" s="8">
        <v>50</v>
      </c>
      <c r="L3" s="12">
        <f>(D3-$I$3)/($I$4-$I$3)</f>
        <v>0.92003905218011783</v>
      </c>
      <c r="M3" s="13">
        <f>((($I$6*EXP($I$7*B3))*L3^$I$5)/(1-L3))^(1/(1-$I$5))</f>
        <v>24.319218109619836</v>
      </c>
      <c r="N3" s="14">
        <f>((C3-M3)^2)/(C3^2)</f>
        <v>7.4154237163134319E-4</v>
      </c>
      <c r="P3" s="3"/>
      <c r="R3" s="24">
        <v>27313.691304391403</v>
      </c>
      <c r="S3" s="25">
        <f>(R3-$I$3)/($I$4-$I$3)</f>
        <v>0.92081689391796662</v>
      </c>
      <c r="T3" s="26">
        <f t="shared" ref="T3:T20" si="0">((C3-((($I$6*EXP($I$7*B3))*S3^$I$5)/(1-S3))^(1/(1-$I$5)))^2)/C3^2</f>
        <v>1.0856520182395622E-10</v>
      </c>
    </row>
    <row r="4" spans="2:22" ht="18">
      <c r="B4" s="33">
        <v>10</v>
      </c>
      <c r="C4" s="36">
        <v>10</v>
      </c>
      <c r="D4" s="35">
        <v>26545.183593999998</v>
      </c>
      <c r="E4" s="3">
        <v>11.104733</v>
      </c>
      <c r="H4" s="4" t="s">
        <v>10</v>
      </c>
      <c r="I4" s="8">
        <v>29484.25511392577</v>
      </c>
      <c r="J4" s="8">
        <f>MAX(D3:D20)+10</f>
        <v>27302.369140999999</v>
      </c>
      <c r="L4" s="15">
        <f t="shared" ref="L4:L20" si="1">(D4-$I$3)/($I$4-$I$3)</f>
        <v>0.89278140042568488</v>
      </c>
      <c r="M4" s="16">
        <f t="shared" ref="M4:M20" si="2">((($I$6*EXP($I$7*B4))*L4^$I$5)/(1-L4))^(1/(1-$I$5))</f>
        <v>10.540254915059084</v>
      </c>
      <c r="N4" s="17">
        <f t="shared" ref="N4:N20" si="3">((C4-M4)^2)/(C4^2)</f>
        <v>2.9187537324549765E-3</v>
      </c>
      <c r="P4" s="3"/>
      <c r="R4" s="27">
        <v>26491.026122600812</v>
      </c>
      <c r="S4" s="28">
        <f t="shared" ref="S4:S20" si="4">(R4-$I$3)/($I$4-$I$3)</f>
        <v>0.89080571245737927</v>
      </c>
      <c r="T4" s="29">
        <f t="shared" si="0"/>
        <v>4.8158075040738419E-12</v>
      </c>
    </row>
    <row r="5" spans="2:22">
      <c r="B5" s="33">
        <v>10</v>
      </c>
      <c r="C5" s="36">
        <v>5</v>
      </c>
      <c r="D5" s="35">
        <v>23751.521484000001</v>
      </c>
      <c r="E5" s="3">
        <v>11.743077</v>
      </c>
      <c r="H5" s="39" t="s">
        <v>11</v>
      </c>
      <c r="I5" s="9">
        <v>0.62661243515950293</v>
      </c>
      <c r="J5" s="9">
        <v>0.5</v>
      </c>
      <c r="L5" s="15">
        <f>(D5-$I$3)/($I$4-$I$3)</f>
        <v>0.79086739898430758</v>
      </c>
      <c r="M5" s="16">
        <f t="shared" si="2"/>
        <v>1.436912143529141</v>
      </c>
      <c r="N5" s="17">
        <f t="shared" si="3"/>
        <v>0.50782380291720397</v>
      </c>
      <c r="P5" s="3"/>
      <c r="R5" s="27">
        <v>25687.302252121732</v>
      </c>
      <c r="S5" s="28">
        <f t="shared" si="4"/>
        <v>0.86148551822155084</v>
      </c>
      <c r="T5" s="29">
        <f t="shared" si="0"/>
        <v>2.5326776257258898E-10</v>
      </c>
    </row>
    <row r="6" spans="2:22">
      <c r="B6" s="33">
        <v>10</v>
      </c>
      <c r="C6" s="36">
        <v>1</v>
      </c>
      <c r="D6" s="35">
        <v>23327.757812</v>
      </c>
      <c r="E6" s="3">
        <v>16.501194000000002</v>
      </c>
      <c r="H6" s="39" t="s">
        <v>31</v>
      </c>
      <c r="I6" s="9">
        <v>9.0171442499437593E-2</v>
      </c>
      <c r="J6" s="9">
        <v>0.1</v>
      </c>
      <c r="L6" s="15">
        <f t="shared" si="1"/>
        <v>0.77540831704149826</v>
      </c>
      <c r="M6" s="16">
        <f t="shared" si="2"/>
        <v>1.1484029821548494</v>
      </c>
      <c r="N6" s="17">
        <f t="shared" si="3"/>
        <v>2.2023445112452543E-2</v>
      </c>
      <c r="P6" s="3"/>
      <c r="R6" s="27">
        <v>23053.798004040655</v>
      </c>
      <c r="S6" s="28">
        <f t="shared" si="4"/>
        <v>0.76541414481741066</v>
      </c>
      <c r="T6" s="29">
        <f t="shared" si="0"/>
        <v>1.438190521834112E-18</v>
      </c>
    </row>
    <row r="7" spans="2:22">
      <c r="B7" s="33">
        <v>10</v>
      </c>
      <c r="C7" s="36">
        <v>0.5</v>
      </c>
      <c r="D7" s="35">
        <v>21588.128906000002</v>
      </c>
      <c r="E7" s="3">
        <v>14.801534</v>
      </c>
      <c r="H7" s="39" t="s">
        <v>32</v>
      </c>
      <c r="I7" s="9">
        <v>0.11236263223983585</v>
      </c>
      <c r="J7" s="9">
        <v>0.1</v>
      </c>
      <c r="L7" s="15">
        <f t="shared" si="1"/>
        <v>0.71194590252869039</v>
      </c>
      <c r="M7" s="16">
        <f t="shared" si="2"/>
        <v>0.51097836334894575</v>
      </c>
      <c r="N7" s="17">
        <f t="shared" si="3"/>
        <v>4.8209784728590156E-4</v>
      </c>
      <c r="P7" s="3"/>
      <c r="R7" s="27">
        <v>21536.926671872825</v>
      </c>
      <c r="S7" s="28">
        <f t="shared" si="4"/>
        <v>0.71007802289358346</v>
      </c>
      <c r="T7" s="29">
        <f t="shared" si="0"/>
        <v>1.0429940812542138E-14</v>
      </c>
    </row>
    <row r="8" spans="2:22">
      <c r="B8" s="33">
        <v>10</v>
      </c>
      <c r="C8" s="36">
        <v>0.1</v>
      </c>
      <c r="D8" s="35">
        <v>17700.955077999999</v>
      </c>
      <c r="E8" s="3">
        <v>16.656863999999999</v>
      </c>
      <c r="L8" s="15">
        <f t="shared" si="1"/>
        <v>0.5701401209019078</v>
      </c>
      <c r="M8" s="16">
        <f t="shared" si="2"/>
        <v>0.12047760791339976</v>
      </c>
      <c r="N8" s="17">
        <f t="shared" si="3"/>
        <v>4.1933242585493212E-2</v>
      </c>
      <c r="P8" s="3"/>
      <c r="R8" s="27">
        <v>17138.793664248853</v>
      </c>
      <c r="S8" s="28">
        <f t="shared" si="4"/>
        <v>0.54963222951223611</v>
      </c>
      <c r="T8" s="29">
        <f t="shared" si="0"/>
        <v>2.0508217160566632E-15</v>
      </c>
    </row>
    <row r="9" spans="2:22">
      <c r="B9" s="33">
        <v>20</v>
      </c>
      <c r="C9" s="36">
        <v>25</v>
      </c>
      <c r="D9" s="35">
        <v>23488.751952999999</v>
      </c>
      <c r="E9" s="3">
        <v>14.910288</v>
      </c>
      <c r="L9" s="15">
        <f t="shared" si="1"/>
        <v>0.78128145290112705</v>
      </c>
      <c r="M9" s="16">
        <f t="shared" si="2"/>
        <v>25.312005222915971</v>
      </c>
      <c r="N9" s="17">
        <f t="shared" si="3"/>
        <v>1.5575561460295172E-4</v>
      </c>
      <c r="P9" s="3"/>
      <c r="R9" s="27">
        <v>23465.092114997766</v>
      </c>
      <c r="S9" s="28">
        <f t="shared" si="4"/>
        <v>0.78041833178292486</v>
      </c>
      <c r="T9" s="29">
        <f t="shared" si="0"/>
        <v>1.6288623519332166E-15</v>
      </c>
    </row>
    <row r="10" spans="2:22">
      <c r="B10" s="33">
        <v>20</v>
      </c>
      <c r="C10" s="36">
        <v>10</v>
      </c>
      <c r="D10" s="33">
        <v>21325.158202999999</v>
      </c>
      <c r="E10" s="3">
        <v>17.354351000000001</v>
      </c>
      <c r="L10" s="15">
        <f t="shared" si="1"/>
        <v>0.70235261760398549</v>
      </c>
      <c r="M10" s="16">
        <f t="shared" si="2"/>
        <v>9.2751697569396026</v>
      </c>
      <c r="N10" s="17">
        <f t="shared" si="3"/>
        <v>5.2537888125499489E-3</v>
      </c>
      <c r="P10" s="3"/>
      <c r="R10" s="27">
        <v>21504.877952582483</v>
      </c>
      <c r="S10" s="28">
        <f t="shared" si="4"/>
        <v>0.7089088717595724</v>
      </c>
      <c r="T10" s="29">
        <f t="shared" si="0"/>
        <v>1.0896157748762298E-21</v>
      </c>
    </row>
    <row r="11" spans="2:22">
      <c r="B11" s="33">
        <v>20</v>
      </c>
      <c r="C11" s="36">
        <v>5</v>
      </c>
      <c r="D11" s="33">
        <v>19432.953125</v>
      </c>
      <c r="E11" s="3">
        <v>18.708328000000002</v>
      </c>
      <c r="L11" s="15">
        <f t="shared" si="1"/>
        <v>0.63332415837966172</v>
      </c>
      <c r="M11" s="16">
        <f t="shared" si="2"/>
        <v>4.4599725031926321</v>
      </c>
      <c r="N11" s="17">
        <f t="shared" si="3"/>
        <v>1.1665187892321271E-2</v>
      </c>
      <c r="P11" s="3"/>
      <c r="R11" s="27">
        <v>19744.82602428427</v>
      </c>
      <c r="S11" s="28">
        <f t="shared" si="4"/>
        <v>0.64470141656468383</v>
      </c>
      <c r="T11" s="29">
        <f t="shared" si="0"/>
        <v>4.5090057538022797E-21</v>
      </c>
    </row>
    <row r="12" spans="2:22">
      <c r="B12" s="33">
        <v>20</v>
      </c>
      <c r="C12" s="36">
        <v>1</v>
      </c>
      <c r="D12" s="33">
        <v>14238.500977</v>
      </c>
      <c r="E12" s="3">
        <v>22.364032999999999</v>
      </c>
      <c r="L12" s="15">
        <f t="shared" si="1"/>
        <v>0.4438282985176264</v>
      </c>
      <c r="M12" s="16">
        <f t="shared" si="2"/>
        <v>0.80472564812121028</v>
      </c>
      <c r="N12" s="17">
        <f t="shared" si="3"/>
        <v>3.8132072501681387E-2</v>
      </c>
      <c r="P12" s="3"/>
      <c r="R12" s="27">
        <v>14930.531198719771</v>
      </c>
      <c r="S12" s="28">
        <f t="shared" si="4"/>
        <v>0.46907386016281244</v>
      </c>
      <c r="T12" s="29">
        <f t="shared" si="0"/>
        <v>5.579303804323438E-22</v>
      </c>
    </row>
    <row r="13" spans="2:22">
      <c r="B13" s="33">
        <v>20</v>
      </c>
      <c r="C13" s="36">
        <v>0.5</v>
      </c>
      <c r="D13" s="33">
        <v>11915.083008</v>
      </c>
      <c r="E13" s="3">
        <v>23.980091000000002</v>
      </c>
      <c r="L13" s="15">
        <f t="shared" si="1"/>
        <v>0.35906900662116004</v>
      </c>
      <c r="M13" s="16">
        <f t="shared" si="2"/>
        <v>0.3856651809131007</v>
      </c>
      <c r="N13" s="17">
        <f t="shared" si="3"/>
        <v>5.2289803422535967E-2</v>
      </c>
      <c r="P13" s="3"/>
      <c r="R13" s="27">
        <v>12726.699386589557</v>
      </c>
      <c r="S13" s="28">
        <f t="shared" si="4"/>
        <v>0.38867712296470081</v>
      </c>
      <c r="T13" s="29">
        <f t="shared" si="0"/>
        <v>1.9878304606749534E-20</v>
      </c>
    </row>
    <row r="14" spans="2:22">
      <c r="B14" s="33">
        <v>20</v>
      </c>
      <c r="C14" s="36">
        <v>0.1</v>
      </c>
      <c r="D14" s="33">
        <v>7976.7719729999999</v>
      </c>
      <c r="E14" s="3">
        <v>25.771332000000001</v>
      </c>
      <c r="L14" s="15">
        <f t="shared" si="1"/>
        <v>0.21539771757698054</v>
      </c>
      <c r="M14" s="16">
        <f t="shared" si="2"/>
        <v>9.5172831752592654E-2</v>
      </c>
      <c r="N14" s="17">
        <f t="shared" si="3"/>
        <v>2.3301553288777753E-3</v>
      </c>
      <c r="P14" s="3"/>
      <c r="R14" s="27">
        <v>8098.5706749190385</v>
      </c>
      <c r="S14" s="28">
        <f t="shared" si="4"/>
        <v>0.21984098687519024</v>
      </c>
      <c r="T14" s="29">
        <f t="shared" si="0"/>
        <v>1.0446138614634717E-14</v>
      </c>
    </row>
    <row r="15" spans="2:22">
      <c r="B15" s="33">
        <v>30</v>
      </c>
      <c r="C15" s="36">
        <v>25</v>
      </c>
      <c r="D15" s="33">
        <v>15704.747069999999</v>
      </c>
      <c r="E15" s="3">
        <v>24.466809999999999</v>
      </c>
      <c r="L15" s="15">
        <f t="shared" si="1"/>
        <v>0.497317589831892</v>
      </c>
      <c r="M15" s="16">
        <f t="shared" si="2"/>
        <v>25.888484491952269</v>
      </c>
      <c r="N15" s="17">
        <f t="shared" si="3"/>
        <v>1.2630475079034912E-3</v>
      </c>
      <c r="P15" s="3"/>
      <c r="R15" s="27">
        <v>15594.646254855876</v>
      </c>
      <c r="S15" s="28">
        <f t="shared" si="4"/>
        <v>0.49330106450009548</v>
      </c>
      <c r="T15" s="29">
        <f t="shared" si="0"/>
        <v>1.3539978233494621E-13</v>
      </c>
    </row>
    <row r="16" spans="2:22">
      <c r="B16" s="33">
        <v>30</v>
      </c>
      <c r="C16" s="36">
        <v>10</v>
      </c>
      <c r="D16" s="33">
        <v>13083.696289</v>
      </c>
      <c r="E16" s="3">
        <v>24.192518</v>
      </c>
      <c r="L16" s="15">
        <f t="shared" si="1"/>
        <v>0.40170052429036257</v>
      </c>
      <c r="M16" s="16">
        <f t="shared" si="2"/>
        <v>11.348775992212769</v>
      </c>
      <c r="N16" s="17">
        <f t="shared" si="3"/>
        <v>1.8191966771695389E-2</v>
      </c>
      <c r="P16" s="3"/>
      <c r="R16" s="27">
        <v>12684.033636156621</v>
      </c>
      <c r="S16" s="28">
        <f t="shared" si="4"/>
        <v>0.38712065794498529</v>
      </c>
      <c r="T16" s="29">
        <f t="shared" si="0"/>
        <v>2.7710022251920017E-19</v>
      </c>
    </row>
    <row r="17" spans="2:20">
      <c r="B17" s="33">
        <v>30</v>
      </c>
      <c r="C17" s="36">
        <v>5</v>
      </c>
      <c r="D17" s="33">
        <v>10545.233398</v>
      </c>
      <c r="E17" s="3">
        <v>25.652206</v>
      </c>
      <c r="L17" s="15">
        <f t="shared" si="1"/>
        <v>0.30909630067784533</v>
      </c>
      <c r="M17" s="16">
        <f t="shared" si="2"/>
        <v>4.9724910320219591</v>
      </c>
      <c r="N17" s="17">
        <f t="shared" si="3"/>
        <v>3.0269732768675234E-5</v>
      </c>
      <c r="P17" s="3"/>
      <c r="R17" s="27">
        <v>10561.491108757356</v>
      </c>
      <c r="S17" s="28">
        <f t="shared" si="4"/>
        <v>0.30968938899429838</v>
      </c>
      <c r="T17" s="29">
        <f t="shared" si="0"/>
        <v>3.448259271927616E-19</v>
      </c>
    </row>
    <row r="18" spans="2:20">
      <c r="B18" s="33">
        <v>30</v>
      </c>
      <c r="C18" s="36">
        <v>1</v>
      </c>
      <c r="D18" s="33">
        <v>6587.7172849999997</v>
      </c>
      <c r="E18" s="3">
        <v>26.629885000000002</v>
      </c>
      <c r="L18" s="15">
        <f t="shared" si="1"/>
        <v>0.16472440208608746</v>
      </c>
      <c r="M18" s="16">
        <f t="shared" si="2"/>
        <v>1.0402829099001225</v>
      </c>
      <c r="N18" s="17">
        <f t="shared" si="3"/>
        <v>1.6227128300213881E-3</v>
      </c>
      <c r="P18" s="3"/>
      <c r="R18" s="27">
        <v>6507.4091431209526</v>
      </c>
      <c r="S18" s="28">
        <f t="shared" si="4"/>
        <v>0.16179472635403713</v>
      </c>
      <c r="T18" s="29">
        <f t="shared" si="0"/>
        <v>7.9152160721185514E-16</v>
      </c>
    </row>
    <row r="19" spans="2:20">
      <c r="B19" s="33">
        <v>30</v>
      </c>
      <c r="C19" s="36">
        <v>0.5</v>
      </c>
      <c r="D19" s="33">
        <v>5344.5385740000002</v>
      </c>
      <c r="E19" s="3">
        <v>25.881207</v>
      </c>
      <c r="L19" s="15">
        <f t="shared" si="1"/>
        <v>0.11937270529669169</v>
      </c>
      <c r="M19" s="16">
        <f t="shared" si="2"/>
        <v>0.52596328308439622</v>
      </c>
      <c r="N19" s="17">
        <f t="shared" si="3"/>
        <v>2.6963682740819787E-3</v>
      </c>
      <c r="P19" s="3"/>
      <c r="R19" s="27">
        <v>5264.1861263152487</v>
      </c>
      <c r="S19" s="28">
        <f t="shared" si="4"/>
        <v>0.11644141326969636</v>
      </c>
      <c r="T19" s="29">
        <f t="shared" si="0"/>
        <v>1.0560425384110871E-14</v>
      </c>
    </row>
    <row r="20" spans="2:20" ht="15.75" thickBot="1">
      <c r="B20" s="33">
        <v>30</v>
      </c>
      <c r="C20" s="36">
        <v>0.1</v>
      </c>
      <c r="D20" s="33">
        <v>3433.248779</v>
      </c>
      <c r="E20" s="3">
        <v>21.289840999999999</v>
      </c>
      <c r="L20" s="18">
        <f t="shared" si="1"/>
        <v>4.9648027346100208E-2</v>
      </c>
      <c r="M20" s="19">
        <f t="shared" si="2"/>
        <v>9.8386502054918695E-2</v>
      </c>
      <c r="N20" s="20">
        <f t="shared" si="3"/>
        <v>2.6033756187816105E-4</v>
      </c>
      <c r="P20" s="3"/>
      <c r="R20" s="30">
        <v>3445.4754155428386</v>
      </c>
      <c r="S20" s="31">
        <f t="shared" si="4"/>
        <v>5.0094060332619844E-2</v>
      </c>
      <c r="T20" s="32">
        <f t="shared" si="0"/>
        <v>5.6971338565028385E-18</v>
      </c>
    </row>
    <row r="21" spans="2:20" ht="15.75" thickBot="1"/>
    <row r="22" spans="2:20" ht="16.5" thickTop="1" thickBot="1">
      <c r="N22" s="7">
        <f>SUM(N3:N20)</f>
        <v>0.70981435081744038</v>
      </c>
      <c r="O22" t="s">
        <v>14</v>
      </c>
    </row>
    <row r="23" spans="2:20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3FB-7105-4F97-8E7E-49F8AFC9D55A}">
  <dimension ref="B1:V23"/>
  <sheetViews>
    <sheetView workbookViewId="0">
      <selection activeCell="E31" sqref="E31"/>
    </sheetView>
  </sheetViews>
  <sheetFormatPr defaultColWidth="8.85546875" defaultRowHeight="15"/>
  <cols>
    <col min="2" max="5" width="15.7109375" customWidth="1"/>
    <col min="9" max="9" width="8.85546875" customWidth="1"/>
    <col min="10" max="10" width="11.85546875" customWidth="1"/>
    <col min="14" max="14" width="10.7109375" customWidth="1"/>
    <col min="20" max="20" width="10.85546875" customWidth="1"/>
  </cols>
  <sheetData>
    <row r="1" spans="2:22" ht="15.75" thickBot="1"/>
    <row r="2" spans="2:22" ht="18.75" thickBot="1">
      <c r="B2" s="2" t="s">
        <v>0</v>
      </c>
      <c r="C2" s="2" t="s">
        <v>1</v>
      </c>
      <c r="D2" s="2" t="s">
        <v>3</v>
      </c>
      <c r="E2" s="2" t="s">
        <v>2</v>
      </c>
      <c r="I2" s="6" t="s">
        <v>12</v>
      </c>
      <c r="J2" s="6" t="s">
        <v>8</v>
      </c>
      <c r="L2" s="10" t="s">
        <v>17</v>
      </c>
      <c r="M2" s="11" t="s">
        <v>15</v>
      </c>
      <c r="N2" s="11" t="s">
        <v>13</v>
      </c>
      <c r="O2" s="5" t="s">
        <v>16</v>
      </c>
      <c r="P2" s="21">
        <f>CORREL(C3:C20,M3:M20)</f>
        <v>0.80418404157277212</v>
      </c>
      <c r="R2" s="22" t="s">
        <v>18</v>
      </c>
      <c r="S2" s="10" t="s">
        <v>17</v>
      </c>
      <c r="T2" s="23" t="s">
        <v>13</v>
      </c>
      <c r="U2" s="5" t="s">
        <v>16</v>
      </c>
      <c r="V2" s="21">
        <f>CORREL(D3:D20,R3:R20)</f>
        <v>0.99225945991355224</v>
      </c>
    </row>
    <row r="3" spans="2:22" ht="18">
      <c r="B3" s="33">
        <v>10</v>
      </c>
      <c r="C3" s="36">
        <v>25</v>
      </c>
      <c r="D3" s="34">
        <v>28784.488281000002</v>
      </c>
      <c r="E3" s="3">
        <v>15.013464000000001</v>
      </c>
      <c r="H3" s="4" t="s">
        <v>9</v>
      </c>
      <c r="I3" s="8">
        <v>1749.9952095203789</v>
      </c>
      <c r="J3" s="8">
        <v>50</v>
      </c>
      <c r="L3" s="12">
        <f>(D3-$I$3)/($I$4-$I$3)</f>
        <v>0.82128214727477278</v>
      </c>
      <c r="M3" s="13">
        <f>((($I$6*EXP($I$7*B3))*L3^$I$5)/(1-L3))^(1/(1-$I$5))</f>
        <v>8.5099723678518053</v>
      </c>
      <c r="N3" s="14">
        <f>((C3-M3)^2)/(C3^2)</f>
        <v>0.43507361809441764</v>
      </c>
      <c r="P3" s="3"/>
      <c r="R3" s="24">
        <v>30400.530431711417</v>
      </c>
      <c r="S3" s="25">
        <f>(R3-$I$3)/($I$4-$I$3)</f>
        <v>0.87037596842072906</v>
      </c>
      <c r="T3" s="26">
        <f t="shared" ref="T3:T20" si="0">((C3-((($I$6*EXP($I$7*B3))*S3^$I$5)/(1-S3))^(1/(1-$I$5)))^2)/C3^2</f>
        <v>2.4206540272861431E-12</v>
      </c>
    </row>
    <row r="4" spans="2:22" ht="18">
      <c r="B4" s="33">
        <v>10</v>
      </c>
      <c r="C4" s="36">
        <v>10</v>
      </c>
      <c r="D4" s="33">
        <v>29202.814452999999</v>
      </c>
      <c r="E4" s="3">
        <v>8.782413</v>
      </c>
      <c r="H4" s="4" t="s">
        <v>10</v>
      </c>
      <c r="I4" s="8">
        <v>34667.419703876039</v>
      </c>
      <c r="J4" s="8">
        <f>MAX(D3:D20)+10</f>
        <v>29212.814452999999</v>
      </c>
      <c r="L4" s="15">
        <f t="shared" ref="L4:L20" si="1">(D4-$I$3)/($I$4-$I$3)</f>
        <v>0.83399049789533031</v>
      </c>
      <c r="M4" s="16">
        <f t="shared" ref="M4:M20" si="2">((($I$6*EXP($I$7*B4))*L4^$I$5)/(1-L4))^(1/(1-$I$5))</f>
        <v>10.943777894885002</v>
      </c>
      <c r="N4" s="17">
        <f t="shared" ref="N4:N20" si="3">((C4-M4)^2)/(C4^2)</f>
        <v>8.9071671487356667E-3</v>
      </c>
      <c r="P4" s="3"/>
      <c r="R4" s="27">
        <v>29055.846175866558</v>
      </c>
      <c r="S4" s="28">
        <f t="shared" ref="S4:S20" si="4">(R4-$I$3)/($I$4-$I$3)</f>
        <v>0.82952574163353221</v>
      </c>
      <c r="T4" s="29">
        <f t="shared" si="0"/>
        <v>5.1617868768595328E-17</v>
      </c>
    </row>
    <row r="5" spans="2:22">
      <c r="B5" s="33">
        <v>10</v>
      </c>
      <c r="C5" s="36">
        <v>5</v>
      </c>
      <c r="D5" s="33">
        <v>24400</v>
      </c>
      <c r="E5" s="3">
        <v>13.138816</v>
      </c>
      <c r="H5" s="39" t="s">
        <v>11</v>
      </c>
      <c r="I5" s="9">
        <v>0.66608202966586427</v>
      </c>
      <c r="J5" s="9">
        <v>0.5</v>
      </c>
      <c r="L5" s="15">
        <f>(D5-$I$3)/($I$4-$I$3)</f>
        <v>0.68808556982832636</v>
      </c>
      <c r="M5" s="16">
        <f t="shared" si="2"/>
        <v>1.1279757618994317</v>
      </c>
      <c r="N5" s="17">
        <f t="shared" si="3"/>
        <v>0.59970286801753148</v>
      </c>
      <c r="P5" s="3"/>
      <c r="R5" s="27">
        <v>27810.882545640408</v>
      </c>
      <c r="S5" s="28">
        <f t="shared" si="4"/>
        <v>0.7917049324617933</v>
      </c>
      <c r="T5" s="29">
        <f t="shared" si="0"/>
        <v>1.0237161881922731E-14</v>
      </c>
    </row>
    <row r="6" spans="2:22">
      <c r="B6" s="33">
        <v>10</v>
      </c>
      <c r="C6" s="36">
        <v>1</v>
      </c>
      <c r="D6" s="33">
        <v>25135.689452999999</v>
      </c>
      <c r="E6" s="3">
        <v>17.905778999999999</v>
      </c>
      <c r="H6" s="39" t="s">
        <v>31</v>
      </c>
      <c r="I6" s="9">
        <v>0.1537671857291345</v>
      </c>
      <c r="J6" s="9">
        <v>0.1</v>
      </c>
      <c r="L6" s="15">
        <f t="shared" si="1"/>
        <v>0.71043511461504405</v>
      </c>
      <c r="M6" s="16">
        <f t="shared" si="2"/>
        <v>1.5020690729453356</v>
      </c>
      <c r="N6" s="17">
        <f t="shared" si="3"/>
        <v>0.25207335400818875</v>
      </c>
      <c r="P6" s="3"/>
      <c r="R6" s="27">
        <v>24079.64554588477</v>
      </c>
      <c r="S6" s="28">
        <f t="shared" si="4"/>
        <v>0.67835350667222616</v>
      </c>
      <c r="T6" s="29">
        <f t="shared" si="0"/>
        <v>1.1478956096750682E-12</v>
      </c>
    </row>
    <row r="7" spans="2:22">
      <c r="B7" s="33">
        <v>10</v>
      </c>
      <c r="C7" s="36">
        <v>0.5</v>
      </c>
      <c r="D7" s="33">
        <v>22145.853515999999</v>
      </c>
      <c r="E7" s="3">
        <v>17.641767999999999</v>
      </c>
      <c r="H7" s="39" t="s">
        <v>32</v>
      </c>
      <c r="I7" s="9">
        <v>9.9651065759900945E-2</v>
      </c>
      <c r="J7" s="9">
        <v>0.1</v>
      </c>
      <c r="L7" s="15">
        <f t="shared" si="1"/>
        <v>0.6196067468758647</v>
      </c>
      <c r="M7" s="16">
        <f t="shared" si="2"/>
        <v>0.50506469283851763</v>
      </c>
      <c r="N7" s="17">
        <f t="shared" si="3"/>
        <v>1.0260445419412691E-4</v>
      </c>
      <c r="P7" s="3"/>
      <c r="R7" s="27">
        <v>22115.925410121923</v>
      </c>
      <c r="S7" s="28">
        <f t="shared" si="4"/>
        <v>0.61869755952789318</v>
      </c>
      <c r="T7" s="29">
        <f t="shared" si="0"/>
        <v>3.4605092387533363E-16</v>
      </c>
    </row>
    <row r="8" spans="2:22">
      <c r="B8" s="33">
        <v>10</v>
      </c>
      <c r="C8" s="36">
        <v>0.1</v>
      </c>
      <c r="D8" s="33">
        <v>17136.767577999999</v>
      </c>
      <c r="E8" s="3">
        <v>19.214473999999999</v>
      </c>
      <c r="L8" s="15">
        <f t="shared" si="1"/>
        <v>0.46743548758251069</v>
      </c>
      <c r="M8" s="16">
        <f t="shared" si="2"/>
        <v>0.10508732081204084</v>
      </c>
      <c r="N8" s="17">
        <f t="shared" si="3"/>
        <v>2.588083304462376E-3</v>
      </c>
      <c r="P8" s="3"/>
      <c r="R8" s="27">
        <v>16971.563709768456</v>
      </c>
      <c r="S8" s="28">
        <f t="shared" si="4"/>
        <v>0.46241675143382233</v>
      </c>
      <c r="T8" s="29">
        <f t="shared" si="0"/>
        <v>9.1438092075015535E-13</v>
      </c>
    </row>
    <row r="9" spans="2:22">
      <c r="B9" s="33">
        <v>20</v>
      </c>
      <c r="C9" s="36">
        <v>25</v>
      </c>
      <c r="D9" s="34">
        <v>22355.226562</v>
      </c>
      <c r="E9" s="3">
        <v>12.667628000000001</v>
      </c>
      <c r="L9" s="15">
        <f t="shared" si="1"/>
        <v>0.62596730057094196</v>
      </c>
      <c r="M9" s="16">
        <f t="shared" si="2"/>
        <v>10.719882476320491</v>
      </c>
      <c r="N9" s="17">
        <f t="shared" si="3"/>
        <v>0.32627481038415779</v>
      </c>
      <c r="P9" s="3"/>
      <c r="R9" s="27">
        <v>24697.67663693006</v>
      </c>
      <c r="S9" s="28">
        <f t="shared" si="4"/>
        <v>0.69712870250054082</v>
      </c>
      <c r="T9" s="29">
        <f t="shared" si="0"/>
        <v>1.7355222197244259E-16</v>
      </c>
    </row>
    <row r="10" spans="2:22">
      <c r="B10" s="33">
        <v>20</v>
      </c>
      <c r="C10" s="36">
        <v>10</v>
      </c>
      <c r="D10" s="33">
        <v>20539.855468999998</v>
      </c>
      <c r="E10" s="3">
        <v>14.736791</v>
      </c>
      <c r="L10" s="15">
        <f t="shared" si="1"/>
        <v>0.57081805603295321</v>
      </c>
      <c r="M10" s="16">
        <f t="shared" si="2"/>
        <v>5.9075941086279311</v>
      </c>
      <c r="N10" s="17">
        <f t="shared" si="3"/>
        <v>0.16747785979736818</v>
      </c>
      <c r="P10" s="3"/>
      <c r="R10" s="27">
        <v>22149.877477524657</v>
      </c>
      <c r="S10" s="28">
        <f t="shared" si="4"/>
        <v>0.61972899099388046</v>
      </c>
      <c r="T10" s="29">
        <f t="shared" si="0"/>
        <v>1.0184068634579668E-18</v>
      </c>
    </row>
    <row r="11" spans="2:22">
      <c r="B11" s="33">
        <v>20</v>
      </c>
      <c r="C11" s="36">
        <v>5</v>
      </c>
      <c r="D11" s="33">
        <v>19054.482422000001</v>
      </c>
      <c r="E11" s="3">
        <v>19.041717999999999</v>
      </c>
      <c r="L11" s="15">
        <f t="shared" si="1"/>
        <v>0.52569383778633161</v>
      </c>
      <c r="M11" s="16">
        <f t="shared" si="2"/>
        <v>3.7157368461885589</v>
      </c>
      <c r="N11" s="17">
        <f t="shared" si="3"/>
        <v>6.5973273929508358E-2</v>
      </c>
      <c r="P11" s="3"/>
      <c r="R11" s="27">
        <v>20011.659046433226</v>
      </c>
      <c r="S11" s="28">
        <f t="shared" si="4"/>
        <v>0.55477195185924</v>
      </c>
      <c r="T11" s="29">
        <f t="shared" si="0"/>
        <v>2.4349722612898313E-13</v>
      </c>
    </row>
    <row r="12" spans="2:22">
      <c r="B12" s="33">
        <v>20</v>
      </c>
      <c r="C12" s="36">
        <v>1</v>
      </c>
      <c r="D12" s="33">
        <v>14167.073242</v>
      </c>
      <c r="E12" s="3">
        <v>21.416245</v>
      </c>
      <c r="L12" s="15">
        <f t="shared" si="1"/>
        <v>0.37721900249543439</v>
      </c>
      <c r="M12" s="16">
        <f t="shared" si="2"/>
        <v>0.84784192667312885</v>
      </c>
      <c r="N12" s="17">
        <f t="shared" si="3"/>
        <v>2.3152079278545498E-2</v>
      </c>
      <c r="P12" s="3"/>
      <c r="R12" s="27">
        <v>14707.742891949052</v>
      </c>
      <c r="S12" s="28">
        <f t="shared" si="4"/>
        <v>0.39364403143540383</v>
      </c>
      <c r="T12" s="29">
        <f t="shared" si="0"/>
        <v>4.8254140469720954E-19</v>
      </c>
    </row>
    <row r="13" spans="2:22">
      <c r="B13" s="33">
        <v>20</v>
      </c>
      <c r="C13" s="36">
        <v>0.5</v>
      </c>
      <c r="D13" s="33">
        <v>12014.984375</v>
      </c>
      <c r="E13" s="3">
        <v>24.250672999999999</v>
      </c>
      <c r="L13" s="15">
        <f t="shared" si="1"/>
        <v>0.31184059273044751</v>
      </c>
      <c r="M13" s="16">
        <f t="shared" si="2"/>
        <v>0.43012418052813534</v>
      </c>
      <c r="N13" s="17">
        <f t="shared" si="3"/>
        <v>1.9530520587458484E-2</v>
      </c>
      <c r="P13" s="3"/>
      <c r="R13" s="27">
        <v>12480.124750181742</v>
      </c>
      <c r="S13" s="28">
        <f t="shared" si="4"/>
        <v>0.32597111424987862</v>
      </c>
      <c r="T13" s="29">
        <f t="shared" si="0"/>
        <v>3.5618605765174104E-20</v>
      </c>
    </row>
    <row r="14" spans="2:22">
      <c r="B14" s="33">
        <v>20</v>
      </c>
      <c r="C14" s="36">
        <v>0.1</v>
      </c>
      <c r="D14" s="33">
        <v>8058.8056640000004</v>
      </c>
      <c r="E14" s="3">
        <v>25.309944000000002</v>
      </c>
      <c r="L14" s="15">
        <f t="shared" si="1"/>
        <v>0.19165565202591686</v>
      </c>
      <c r="M14" s="16">
        <f t="shared" si="2"/>
        <v>0.10058365021166961</v>
      </c>
      <c r="N14" s="17">
        <f t="shared" si="3"/>
        <v>3.4064756958197293E-5</v>
      </c>
      <c r="P14" s="3"/>
      <c r="R14" s="27">
        <v>8045.2417082086058</v>
      </c>
      <c r="S14" s="28">
        <f t="shared" si="4"/>
        <v>0.19124359196958651</v>
      </c>
      <c r="T14" s="29">
        <f t="shared" si="0"/>
        <v>8.5295955821480749E-20</v>
      </c>
    </row>
    <row r="15" spans="2:22">
      <c r="B15" s="33">
        <v>30</v>
      </c>
      <c r="C15" s="36">
        <v>25</v>
      </c>
      <c r="D15" s="33">
        <v>16205.8125</v>
      </c>
      <c r="E15" s="3">
        <v>20.089701000000002</v>
      </c>
      <c r="L15" s="15">
        <f t="shared" si="1"/>
        <v>0.43915395911239513</v>
      </c>
      <c r="M15" s="16">
        <f t="shared" si="2"/>
        <v>31.068105838124954</v>
      </c>
      <c r="N15" s="17">
        <f t="shared" si="3"/>
        <v>5.8915053540297836E-2</v>
      </c>
      <c r="P15" s="3"/>
      <c r="R15" s="27">
        <v>15483.093608483488</v>
      </c>
      <c r="S15" s="28">
        <f t="shared" si="4"/>
        <v>0.41719844762818303</v>
      </c>
      <c r="T15" s="29">
        <f t="shared" si="0"/>
        <v>3.4033686735846468E-17</v>
      </c>
    </row>
    <row r="16" spans="2:22">
      <c r="B16" s="33">
        <v>30</v>
      </c>
      <c r="C16" s="36">
        <v>10</v>
      </c>
      <c r="D16" s="33">
        <v>12791.662109000001</v>
      </c>
      <c r="E16" s="3">
        <v>22.475200999999998</v>
      </c>
      <c r="L16" s="15">
        <f t="shared" si="1"/>
        <v>0.33543532244975399</v>
      </c>
      <c r="M16" s="16">
        <f t="shared" si="2"/>
        <v>10.919924470511116</v>
      </c>
      <c r="N16" s="17">
        <f t="shared" si="3"/>
        <v>8.4626103144515765E-3</v>
      </c>
      <c r="P16" s="3"/>
      <c r="R16" s="27">
        <v>12515.782029155798</v>
      </c>
      <c r="S16" s="28">
        <f t="shared" si="4"/>
        <v>0.32705434841906977</v>
      </c>
      <c r="T16" s="29">
        <f t="shared" si="0"/>
        <v>5.4556975263963502E-23</v>
      </c>
    </row>
    <row r="17" spans="2:20">
      <c r="B17" s="33">
        <v>30</v>
      </c>
      <c r="C17" s="36">
        <v>5</v>
      </c>
      <c r="D17" s="33">
        <v>10574.318359000001</v>
      </c>
      <c r="E17" s="3">
        <v>24.958385</v>
      </c>
      <c r="L17" s="15">
        <f t="shared" si="1"/>
        <v>0.2680745314990462</v>
      </c>
      <c r="M17" s="16">
        <f t="shared" si="2"/>
        <v>5.2294489746620103</v>
      </c>
      <c r="N17" s="17">
        <f t="shared" si="3"/>
        <v>2.1058732789379139E-3</v>
      </c>
      <c r="P17" s="3"/>
      <c r="R17" s="27">
        <v>10446.733123547738</v>
      </c>
      <c r="S17" s="28">
        <f t="shared" si="4"/>
        <v>0.26419861357982566</v>
      </c>
      <c r="T17" s="29">
        <f t="shared" si="0"/>
        <v>2.9327534416358503E-14</v>
      </c>
    </row>
    <row r="18" spans="2:20">
      <c r="B18" s="33">
        <v>30</v>
      </c>
      <c r="C18" s="36">
        <v>1</v>
      </c>
      <c r="D18" s="33">
        <v>6611.6015619999998</v>
      </c>
      <c r="E18" s="3">
        <v>25.819379999999999</v>
      </c>
      <c r="L18" s="15">
        <f t="shared" si="1"/>
        <v>0.14769096996981762</v>
      </c>
      <c r="M18" s="16">
        <f t="shared" si="2"/>
        <v>1.0091814275978697</v>
      </c>
      <c r="N18" s="17">
        <f t="shared" si="3"/>
        <v>8.4298612734922681E-5</v>
      </c>
      <c r="P18" s="3"/>
      <c r="R18" s="27">
        <v>6593.9495572673477</v>
      </c>
      <c r="S18" s="28">
        <f t="shared" si="4"/>
        <v>0.14715471888080309</v>
      </c>
      <c r="T18" s="29">
        <f t="shared" si="0"/>
        <v>7.6920268897444637E-20</v>
      </c>
    </row>
    <row r="19" spans="2:20">
      <c r="B19" s="33">
        <v>30</v>
      </c>
      <c r="C19" s="36">
        <v>0.5</v>
      </c>
      <c r="D19" s="33">
        <v>5409.9213870000003</v>
      </c>
      <c r="E19" s="3">
        <v>24.849257000000001</v>
      </c>
      <c r="L19" s="15">
        <f t="shared" si="1"/>
        <v>0.11118507093734467</v>
      </c>
      <c r="M19" s="16">
        <f t="shared" si="2"/>
        <v>0.50519019364540152</v>
      </c>
      <c r="N19" s="17">
        <f t="shared" si="3"/>
        <v>1.0775244030706526E-4</v>
      </c>
      <c r="P19" s="3"/>
      <c r="R19" s="27">
        <v>5393.9981968283746</v>
      </c>
      <c r="S19" s="28">
        <f t="shared" si="4"/>
        <v>0.11070133958787788</v>
      </c>
      <c r="T19" s="29">
        <f t="shared" si="0"/>
        <v>4.312464690413426E-21</v>
      </c>
    </row>
    <row r="20" spans="2:20" ht="15.75" thickBot="1">
      <c r="B20" s="33">
        <v>30</v>
      </c>
      <c r="C20" s="36">
        <v>0.1</v>
      </c>
      <c r="D20" s="33">
        <v>3526.2910160000001</v>
      </c>
      <c r="E20" s="3">
        <v>20.227623000000001</v>
      </c>
      <c r="L20" s="18">
        <f t="shared" si="1"/>
        <v>5.3962174555430419E-2</v>
      </c>
      <c r="M20" s="19">
        <f t="shared" si="2"/>
        <v>9.9092492941381727E-2</v>
      </c>
      <c r="N20" s="20">
        <f t="shared" si="3"/>
        <v>8.2356906144199994E-5</v>
      </c>
      <c r="P20" s="3"/>
      <c r="R20" s="30">
        <v>3533.7832177197051</v>
      </c>
      <c r="S20" s="31">
        <f t="shared" si="4"/>
        <v>5.418978050683132E-2</v>
      </c>
      <c r="T20" s="32">
        <f t="shared" si="0"/>
        <v>2.1744376485534618E-19</v>
      </c>
    </row>
    <row r="21" spans="2:20" ht="15.75" thickBot="1"/>
    <row r="22" spans="2:20" ht="16.5" thickTop="1" thickBot="1">
      <c r="N22" s="7">
        <f>SUM(N3:N20)</f>
        <v>1.9706482488544002</v>
      </c>
      <c r="O22" t="s">
        <v>14</v>
      </c>
    </row>
    <row r="23" spans="2:20" ht="15.75" thickTop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9BF-8BE2-4D7E-9415-9C51A7D2631D}">
  <dimension ref="B1:V23"/>
  <sheetViews>
    <sheetView workbookViewId="0">
      <selection activeCell="C30" sqref="C30"/>
    </sheetView>
  </sheetViews>
  <sheetFormatPr defaultColWidth="8.85546875" defaultRowHeight="15"/>
  <cols>
    <col min="2" max="5" width="15.7109375" customWidth="1"/>
    <col min="9" max="9" width="8.85546875" customWidth="1"/>
    <col min="10" max="10" width="11.85546875" customWidth="1"/>
    <col min="14" max="14" width="10.7109375" customWidth="1"/>
    <col min="20" max="20" width="10.85546875" customWidth="1"/>
  </cols>
  <sheetData>
    <row r="1" spans="2:22" ht="15.75" thickBot="1"/>
    <row r="2" spans="2:22" ht="18.75" thickBot="1">
      <c r="B2" s="2" t="s">
        <v>0</v>
      </c>
      <c r="C2" s="2" t="s">
        <v>1</v>
      </c>
      <c r="D2" s="2" t="s">
        <v>3</v>
      </c>
      <c r="E2" s="2" t="s">
        <v>2</v>
      </c>
      <c r="I2" s="6" t="s">
        <v>12</v>
      </c>
      <c r="J2" s="6" t="s">
        <v>8</v>
      </c>
      <c r="L2" s="10" t="s">
        <v>17</v>
      </c>
      <c r="M2" s="11" t="s">
        <v>15</v>
      </c>
      <c r="N2" s="11" t="s">
        <v>13</v>
      </c>
      <c r="O2" s="5" t="s">
        <v>16</v>
      </c>
      <c r="P2" s="21">
        <f>CORREL(C3:C20,M3:M20)</f>
        <v>0.97336244074108724</v>
      </c>
      <c r="R2" s="22" t="s">
        <v>18</v>
      </c>
      <c r="S2" s="10" t="s">
        <v>17</v>
      </c>
      <c r="T2" s="23" t="s">
        <v>13</v>
      </c>
      <c r="U2" s="5" t="s">
        <v>16</v>
      </c>
      <c r="V2" s="21">
        <f>CORREL(D3:D20,R3:R20)</f>
        <v>0.99764900240657028</v>
      </c>
    </row>
    <row r="3" spans="2:22" ht="18">
      <c r="B3" s="33">
        <v>10</v>
      </c>
      <c r="C3" s="36">
        <v>25</v>
      </c>
      <c r="D3" s="33">
        <v>20160.005859000001</v>
      </c>
      <c r="E3" s="3">
        <v>8.5491650000000003</v>
      </c>
      <c r="H3" s="4" t="s">
        <v>9</v>
      </c>
      <c r="I3" s="8">
        <v>1686.6188622284792</v>
      </c>
      <c r="J3" s="8">
        <v>50</v>
      </c>
      <c r="L3" s="12">
        <f>(D3-$I$3)/($I$4-$I$3)</f>
        <v>0.78111696270258002</v>
      </c>
      <c r="M3" s="13">
        <f>((($I$6*EXP($I$7*B3))*L3^$I$5)/(1-L3))^(1/(1-$I$5))</f>
        <v>22.698095641427745</v>
      </c>
      <c r="N3" s="14">
        <f>((C3-M3)^2)/(C3^2)</f>
        <v>8.4780218816223104E-3</v>
      </c>
      <c r="P3" s="3"/>
      <c r="R3" s="24">
        <v>20313.016114551843</v>
      </c>
      <c r="S3" s="25">
        <f>(R3-$I$3)/($I$4-$I$3)</f>
        <v>0.78758675116637866</v>
      </c>
      <c r="T3" s="26">
        <f t="shared" ref="T3:T20" si="0">((C3-((($I$6*EXP($I$7*B3))*S3^$I$5)/(1-S3))^(1/(1-$I$5)))^2)/C3^2</f>
        <v>1.0854055382988519E-19</v>
      </c>
    </row>
    <row r="4" spans="2:22" ht="18">
      <c r="B4" s="33">
        <v>10</v>
      </c>
      <c r="C4" s="36">
        <v>10</v>
      </c>
      <c r="D4" s="33">
        <v>18974.849609000001</v>
      </c>
      <c r="E4" s="3">
        <v>15.137921</v>
      </c>
      <c r="H4" s="4" t="s">
        <v>10</v>
      </c>
      <c r="I4" s="8">
        <v>25336.581516804057</v>
      </c>
      <c r="J4" s="8">
        <f>MAX(D3:D20)+10</f>
        <v>20170.005859000001</v>
      </c>
      <c r="L4" s="15">
        <f t="shared" ref="L4:L20" si="1">(D4-$I$3)/($I$4-$I$3)</f>
        <v>0.73100456856014329</v>
      </c>
      <c r="M4" s="16">
        <f t="shared" ref="M4:M20" si="2">((($I$6*EXP($I$7*B4))*L4^$I$5)/(1-L4))^(1/(1-$I$5))</f>
        <v>11.493880020919496</v>
      </c>
      <c r="N4" s="17">
        <f t="shared" ref="N4:N20" si="3">((C4-M4)^2)/(C4^2)</f>
        <v>2.2316775169024347E-2</v>
      </c>
      <c r="P4" s="3"/>
      <c r="R4" s="27">
        <v>18708.913635363067</v>
      </c>
      <c r="S4" s="28">
        <f t="shared" ref="S4:S20" si="4">(R4-$I$3)/($I$4-$I$3)</f>
        <v>0.71975990075575325</v>
      </c>
      <c r="T4" s="29">
        <f t="shared" si="0"/>
        <v>7.5047386175812466E-18</v>
      </c>
    </row>
    <row r="5" spans="2:22">
      <c r="B5" s="33">
        <v>10</v>
      </c>
      <c r="C5" s="36">
        <v>5</v>
      </c>
      <c r="D5" s="33">
        <v>17146.166015999999</v>
      </c>
      <c r="E5" s="3">
        <v>17.491671</v>
      </c>
      <c r="H5" s="39" t="s">
        <v>11</v>
      </c>
      <c r="I5" s="9">
        <v>0.63514666026388711</v>
      </c>
      <c r="J5" s="9">
        <v>0.5</v>
      </c>
      <c r="L5" s="15">
        <f>(D5-$I$3)/($I$4-$I$3)</f>
        <v>0.65368167297213675</v>
      </c>
      <c r="M5" s="16">
        <f t="shared" si="2"/>
        <v>4.7335869976807912</v>
      </c>
      <c r="N5" s="17">
        <f t="shared" si="3"/>
        <v>2.8390355121893905E-3</v>
      </c>
      <c r="P5" s="3"/>
      <c r="R5" s="27">
        <v>17268.016171732994</v>
      </c>
      <c r="S5" s="28">
        <f t="shared" si="4"/>
        <v>0.65883390756602178</v>
      </c>
      <c r="T5" s="29">
        <f t="shared" si="0"/>
        <v>2.8813471292583659E-11</v>
      </c>
    </row>
    <row r="6" spans="2:22">
      <c r="B6" s="33">
        <v>10</v>
      </c>
      <c r="C6" s="36">
        <v>1</v>
      </c>
      <c r="D6" s="33">
        <v>13313.403319999999</v>
      </c>
      <c r="E6" s="3">
        <v>24.669176</v>
      </c>
      <c r="H6" s="39" t="s">
        <v>31</v>
      </c>
      <c r="I6" s="9">
        <v>0.30694763293051708</v>
      </c>
      <c r="J6" s="9">
        <v>0.1</v>
      </c>
      <c r="L6" s="15">
        <f t="shared" si="1"/>
        <v>0.4916195694508666</v>
      </c>
      <c r="M6" s="16">
        <f t="shared" si="2"/>
        <v>1.0065905643369903</v>
      </c>
      <c r="N6" s="17">
        <f t="shared" si="3"/>
        <v>4.3435538280008992E-5</v>
      </c>
      <c r="P6" s="3"/>
      <c r="R6" s="27">
        <v>13296.00836410042</v>
      </c>
      <c r="S6" s="28">
        <f t="shared" si="4"/>
        <v>0.49088405218372988</v>
      </c>
      <c r="T6" s="29">
        <f t="shared" si="0"/>
        <v>2.3141698559556461E-18</v>
      </c>
    </row>
    <row r="7" spans="2:22">
      <c r="B7" s="33">
        <v>10</v>
      </c>
      <c r="C7" s="36">
        <v>0.5</v>
      </c>
      <c r="D7" s="33">
        <v>11223.430664</v>
      </c>
      <c r="E7" s="3">
        <v>20.945682999999999</v>
      </c>
      <c r="H7" s="39" t="s">
        <v>32</v>
      </c>
      <c r="I7" s="9">
        <v>9.5793553641646087E-2</v>
      </c>
      <c r="J7" s="9">
        <v>0.1</v>
      </c>
      <c r="L7" s="15">
        <f t="shared" si="1"/>
        <v>0.40324849307643307</v>
      </c>
      <c r="M7" s="16">
        <f t="shared" si="2"/>
        <v>0.45948257373787532</v>
      </c>
      <c r="N7" s="17">
        <f t="shared" si="3"/>
        <v>6.5666473236268424E-3</v>
      </c>
      <c r="P7" s="3"/>
      <c r="R7" s="27">
        <v>11448.071845917249</v>
      </c>
      <c r="S7" s="28">
        <f t="shared" si="4"/>
        <v>0.41274707813545802</v>
      </c>
      <c r="T7" s="29">
        <f t="shared" si="0"/>
        <v>6.149442776392025E-23</v>
      </c>
    </row>
    <row r="8" spans="2:22">
      <c r="B8" s="33">
        <v>10</v>
      </c>
      <c r="C8" s="36">
        <v>0.1</v>
      </c>
      <c r="D8" s="33">
        <v>7970.7885740000002</v>
      </c>
      <c r="E8" s="3">
        <v>23.094505000000002</v>
      </c>
      <c r="L8" s="15">
        <f t="shared" si="1"/>
        <v>0.2657158408051743</v>
      </c>
      <c r="M8" s="16">
        <f t="shared" si="2"/>
        <v>0.12590439234982018</v>
      </c>
      <c r="N8" s="17">
        <f t="shared" si="3"/>
        <v>6.7103754301342175E-2</v>
      </c>
      <c r="P8" s="3"/>
      <c r="R8" s="27">
        <v>7452.7069767751791</v>
      </c>
      <c r="S8" s="28">
        <f t="shared" si="4"/>
        <v>0.24380960759915324</v>
      </c>
      <c r="T8" s="29">
        <f t="shared" si="0"/>
        <v>5.4105609542555904E-14</v>
      </c>
    </row>
    <row r="9" spans="2:22">
      <c r="B9" s="33">
        <v>20</v>
      </c>
      <c r="C9" s="36">
        <v>25</v>
      </c>
      <c r="D9" s="33">
        <v>14800.754883</v>
      </c>
      <c r="E9" s="3">
        <v>18.900525999999999</v>
      </c>
      <c r="L9" s="15">
        <f t="shared" si="1"/>
        <v>0.55450979827379632</v>
      </c>
      <c r="M9" s="16">
        <f t="shared" si="2"/>
        <v>24.621099367378612</v>
      </c>
      <c r="N9" s="17">
        <f t="shared" si="3"/>
        <v>2.2970510304142082E-4</v>
      </c>
      <c r="P9" s="3"/>
      <c r="R9" s="27">
        <v>14839.597996670289</v>
      </c>
      <c r="S9" s="28">
        <f t="shared" si="4"/>
        <v>0.55615221582166396</v>
      </c>
      <c r="T9" s="29">
        <f t="shared" si="0"/>
        <v>1.2237916015125011E-16</v>
      </c>
    </row>
    <row r="10" spans="2:22">
      <c r="B10" s="33">
        <v>20</v>
      </c>
      <c r="C10" s="36">
        <v>10</v>
      </c>
      <c r="D10" s="33">
        <v>11571.862305000001</v>
      </c>
      <c r="E10" s="3">
        <v>20.830780000000001</v>
      </c>
      <c r="L10" s="15">
        <f t="shared" si="1"/>
        <v>0.41798135528383235</v>
      </c>
      <c r="M10" s="16">
        <f t="shared" si="2"/>
        <v>7.2345289326966071</v>
      </c>
      <c r="N10" s="17">
        <f t="shared" si="3"/>
        <v>7.647830224092167E-2</v>
      </c>
      <c r="P10" s="3"/>
      <c r="R10" s="27">
        <v>12436.332249443003</v>
      </c>
      <c r="S10" s="28">
        <f t="shared" si="4"/>
        <v>0.45453405336074676</v>
      </c>
      <c r="T10" s="29">
        <f t="shared" si="0"/>
        <v>8.8015375703614472E-23</v>
      </c>
    </row>
    <row r="11" spans="2:22">
      <c r="B11" s="33">
        <v>20</v>
      </c>
      <c r="C11" s="36">
        <v>5</v>
      </c>
      <c r="D11" s="33">
        <v>9762.6699219999991</v>
      </c>
      <c r="E11" s="3">
        <v>25.680147000000002</v>
      </c>
      <c r="L11" s="15">
        <f t="shared" si="1"/>
        <v>0.34148261363994331</v>
      </c>
      <c r="M11" s="16">
        <f t="shared" si="2"/>
        <v>3.6273915773653447</v>
      </c>
      <c r="N11" s="17">
        <f t="shared" si="3"/>
        <v>7.5362155275503856E-2</v>
      </c>
      <c r="P11" s="3"/>
      <c r="R11" s="27">
        <v>10594.022508032414</v>
      </c>
      <c r="S11" s="28">
        <f t="shared" si="4"/>
        <v>0.37663499836777176</v>
      </c>
      <c r="T11" s="29">
        <f t="shared" si="0"/>
        <v>8.3605586792574184E-20</v>
      </c>
    </row>
    <row r="12" spans="2:22">
      <c r="B12" s="33">
        <v>20</v>
      </c>
      <c r="C12" s="36">
        <v>1</v>
      </c>
      <c r="D12" s="33">
        <v>6278.5971680000002</v>
      </c>
      <c r="E12" s="3">
        <v>26.310141000000002</v>
      </c>
      <c r="L12" s="15">
        <f t="shared" si="1"/>
        <v>0.19416429416150083</v>
      </c>
      <c r="M12" s="16">
        <f t="shared" si="2"/>
        <v>0.78060479062072097</v>
      </c>
      <c r="N12" s="17">
        <f t="shared" si="3"/>
        <v>4.8134257898577684E-2</v>
      </c>
      <c r="P12" s="3"/>
      <c r="R12" s="27">
        <v>6768.1697073771238</v>
      </c>
      <c r="S12" s="28">
        <f t="shared" si="4"/>
        <v>0.21486506847255055</v>
      </c>
      <c r="T12" s="29">
        <f t="shared" si="0"/>
        <v>7.2943452892879327E-12</v>
      </c>
    </row>
    <row r="13" spans="2:22">
      <c r="B13" s="33">
        <v>20</v>
      </c>
      <c r="C13" s="36">
        <v>0.5</v>
      </c>
      <c r="D13" s="33">
        <v>5231.1293949999999</v>
      </c>
      <c r="E13" s="3">
        <v>23.452829000000001</v>
      </c>
      <c r="L13" s="15">
        <f t="shared" si="1"/>
        <v>0.14987383212995314</v>
      </c>
      <c r="M13" s="16">
        <f t="shared" si="2"/>
        <v>0.42953457556969887</v>
      </c>
      <c r="N13" s="17">
        <f t="shared" si="3"/>
        <v>1.9861504160569917E-2</v>
      </c>
      <c r="P13" s="3"/>
      <c r="R13" s="27">
        <v>5479.3952391073362</v>
      </c>
      <c r="S13" s="28">
        <f t="shared" si="4"/>
        <v>0.16037134740020681</v>
      </c>
      <c r="T13" s="29">
        <f t="shared" si="0"/>
        <v>3.068928264262708E-23</v>
      </c>
    </row>
    <row r="14" spans="2:22">
      <c r="B14" s="33">
        <v>20</v>
      </c>
      <c r="C14" s="36">
        <v>0.1</v>
      </c>
      <c r="D14" s="33">
        <v>3531.7934570000002</v>
      </c>
      <c r="E14" s="3">
        <v>19.834322</v>
      </c>
      <c r="L14" s="15">
        <f t="shared" si="1"/>
        <v>7.802019063292405E-2</v>
      </c>
      <c r="M14" s="16">
        <f t="shared" si="2"/>
        <v>0.11037215038175946</v>
      </c>
      <c r="N14" s="17">
        <f t="shared" si="3"/>
        <v>1.0758150354183276E-2</v>
      </c>
      <c r="P14" s="3"/>
      <c r="R14" s="27">
        <v>3441.4814469491876</v>
      </c>
      <c r="S14" s="28">
        <f t="shared" si="4"/>
        <v>7.4201494960128137E-2</v>
      </c>
      <c r="T14" s="29">
        <f t="shared" si="0"/>
        <v>2.3200450728345138E-12</v>
      </c>
    </row>
    <row r="15" spans="2:22">
      <c r="B15" s="33">
        <v>30</v>
      </c>
      <c r="C15" s="36">
        <v>25</v>
      </c>
      <c r="D15" s="33">
        <v>8788.3886719999991</v>
      </c>
      <c r="E15" s="3">
        <v>21.335349999999998</v>
      </c>
      <c r="L15" s="15">
        <f t="shared" si="1"/>
        <v>0.30028672406370732</v>
      </c>
      <c r="M15" s="16">
        <f t="shared" si="2"/>
        <v>33.917735307029162</v>
      </c>
      <c r="N15" s="17">
        <f t="shared" si="3"/>
        <v>0.12724160480997518</v>
      </c>
      <c r="P15" s="3"/>
      <c r="R15" s="27">
        <v>8063.1979875364814</v>
      </c>
      <c r="S15" s="28">
        <f t="shared" si="4"/>
        <v>0.26962322175482678</v>
      </c>
      <c r="T15" s="29">
        <f t="shared" si="0"/>
        <v>2.6672102747230521E-18</v>
      </c>
    </row>
    <row r="16" spans="2:22">
      <c r="B16" s="33">
        <v>30</v>
      </c>
      <c r="C16" s="36">
        <v>10</v>
      </c>
      <c r="D16" s="33">
        <v>5885.6474609999996</v>
      </c>
      <c r="E16" s="3">
        <v>24.800341</v>
      </c>
      <c r="L16" s="15">
        <f t="shared" si="1"/>
        <v>0.17754905832627735</v>
      </c>
      <c r="M16" s="16">
        <f t="shared" si="2"/>
        <v>8.7249063722553384</v>
      </c>
      <c r="N16" s="17">
        <f t="shared" si="3"/>
        <v>1.6258637595150414E-2</v>
      </c>
      <c r="P16" s="3"/>
      <c r="R16" s="27">
        <v>6136.1550321279919</v>
      </c>
      <c r="S16" s="28">
        <f t="shared" si="4"/>
        <v>0.1881413613580763</v>
      </c>
      <c r="T16" s="29">
        <f t="shared" si="0"/>
        <v>1.7693090383077101E-22</v>
      </c>
    </row>
    <row r="17" spans="2:20">
      <c r="B17" s="33">
        <v>30</v>
      </c>
      <c r="C17" s="36">
        <v>5</v>
      </c>
      <c r="D17" s="33">
        <v>4819.376953</v>
      </c>
      <c r="E17" s="3">
        <v>22.512625</v>
      </c>
      <c r="L17" s="15">
        <f t="shared" si="1"/>
        <v>0.1324635533902386</v>
      </c>
      <c r="M17" s="16">
        <f t="shared" si="2"/>
        <v>4.5265064460289137</v>
      </c>
      <c r="N17" s="17">
        <f t="shared" si="3"/>
        <v>8.9678458260868E-3</v>
      </c>
      <c r="P17" s="3"/>
      <c r="R17" s="27">
        <v>4966.3024329337504</v>
      </c>
      <c r="S17" s="28">
        <f t="shared" si="4"/>
        <v>0.13867605706644734</v>
      </c>
      <c r="T17" s="29">
        <f t="shared" si="0"/>
        <v>3.8408021014621079E-12</v>
      </c>
    </row>
    <row r="18" spans="2:20">
      <c r="B18" s="33">
        <v>30</v>
      </c>
      <c r="C18" s="36">
        <v>1</v>
      </c>
      <c r="D18" s="33">
        <v>3174.4560550000001</v>
      </c>
      <c r="E18" s="3">
        <v>20.949988999999999</v>
      </c>
      <c r="L18" s="15">
        <f t="shared" si="1"/>
        <v>6.2910762883748902E-2</v>
      </c>
      <c r="M18" s="16">
        <f t="shared" si="2"/>
        <v>1.002374839539184</v>
      </c>
      <c r="N18" s="17">
        <f t="shared" si="3"/>
        <v>5.6398628368719021E-6</v>
      </c>
      <c r="P18" s="3"/>
      <c r="R18" s="27">
        <v>3172.6235647130825</v>
      </c>
      <c r="S18" s="28">
        <f t="shared" si="4"/>
        <v>6.2833279028333036E-2</v>
      </c>
      <c r="T18" s="29">
        <f t="shared" si="0"/>
        <v>1.0540920362909347E-22</v>
      </c>
    </row>
    <row r="19" spans="2:20">
      <c r="B19" s="33">
        <v>30</v>
      </c>
      <c r="C19" s="36">
        <v>0.5</v>
      </c>
      <c r="D19" s="33">
        <v>2725.9104000000002</v>
      </c>
      <c r="E19" s="3">
        <v>15.425492999999999</v>
      </c>
      <c r="L19" s="15">
        <f t="shared" si="1"/>
        <v>4.3944743294148436E-2</v>
      </c>
      <c r="M19" s="16">
        <f t="shared" si="2"/>
        <v>0.50807414164384312</v>
      </c>
      <c r="N19" s="17">
        <f t="shared" si="3"/>
        <v>2.60767053139367E-4</v>
      </c>
      <c r="P19" s="3"/>
      <c r="R19" s="27">
        <v>2717.0276097661817</v>
      </c>
      <c r="S19" s="28">
        <f t="shared" si="4"/>
        <v>4.356914903366025E-2</v>
      </c>
      <c r="T19" s="29">
        <f t="shared" si="0"/>
        <v>7.553869398645724E-19</v>
      </c>
    </row>
    <row r="20" spans="2:20" ht="15.75" thickBot="1">
      <c r="B20" s="33">
        <v>30</v>
      </c>
      <c r="C20" s="36">
        <v>0.1</v>
      </c>
      <c r="D20" s="33">
        <v>2110.3791500000002</v>
      </c>
      <c r="E20" s="3">
        <v>10.713995000000001</v>
      </c>
      <c r="L20" s="18">
        <f t="shared" si="1"/>
        <v>1.791801086373114E-2</v>
      </c>
      <c r="M20" s="19">
        <f t="shared" si="2"/>
        <v>9.9014743245754919E-2</v>
      </c>
      <c r="N20" s="20">
        <f t="shared" si="3"/>
        <v>9.7073087178556336E-5</v>
      </c>
      <c r="P20" s="3"/>
      <c r="R20" s="30">
        <v>2112.7284016759886</v>
      </c>
      <c r="S20" s="31">
        <f t="shared" si="4"/>
        <v>1.8017345129509945E-2</v>
      </c>
      <c r="T20" s="32">
        <f t="shared" si="0"/>
        <v>2.5261076620564374E-18</v>
      </c>
    </row>
    <row r="21" spans="2:20" ht="15.75" thickBot="1"/>
    <row r="22" spans="2:20" ht="16.5" thickTop="1" thickBot="1">
      <c r="N22" s="7">
        <f>SUM(N3:N20)</f>
        <v>0.49100331299325001</v>
      </c>
      <c r="O22" t="s">
        <v>14</v>
      </c>
    </row>
    <row r="23" spans="2:20" ht="15.75" thickTop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F61A-07EE-435C-9672-31A521D79F04}">
  <dimension ref="B1:V25"/>
  <sheetViews>
    <sheetView workbookViewId="0">
      <selection activeCell="B9" sqref="B9:D14"/>
    </sheetView>
  </sheetViews>
  <sheetFormatPr defaultColWidth="8.85546875" defaultRowHeight="15"/>
  <cols>
    <col min="2" max="5" width="15.7109375" customWidth="1"/>
    <col min="9" max="9" width="8.85546875" customWidth="1"/>
    <col min="10" max="10" width="11.85546875" customWidth="1"/>
    <col min="14" max="14" width="10.7109375" customWidth="1"/>
    <col min="20" max="20" width="10.85546875" customWidth="1"/>
  </cols>
  <sheetData>
    <row r="1" spans="2:22" ht="15.75" thickBot="1"/>
    <row r="2" spans="2:22" ht="18.75" thickBot="1">
      <c r="B2" s="2" t="s">
        <v>7</v>
      </c>
      <c r="C2" s="2" t="s">
        <v>6</v>
      </c>
      <c r="D2" s="2" t="s">
        <v>5</v>
      </c>
      <c r="E2" s="2" t="s">
        <v>4</v>
      </c>
      <c r="G2" s="2"/>
      <c r="I2" s="6" t="s">
        <v>12</v>
      </c>
      <c r="J2" s="6" t="s">
        <v>8</v>
      </c>
      <c r="L2" s="10" t="s">
        <v>17</v>
      </c>
      <c r="M2" s="11" t="s">
        <v>15</v>
      </c>
      <c r="N2" s="11" t="s">
        <v>13</v>
      </c>
      <c r="O2" s="5" t="s">
        <v>16</v>
      </c>
      <c r="P2" s="21">
        <f>CORREL(C3:C20,M3:M20)</f>
        <v>0.97479795506127553</v>
      </c>
      <c r="R2" s="22" t="s">
        <v>18</v>
      </c>
      <c r="S2" s="10" t="s">
        <v>17</v>
      </c>
      <c r="T2" s="23" t="s">
        <v>13</v>
      </c>
      <c r="U2" s="5" t="s">
        <v>16</v>
      </c>
      <c r="V2" s="21">
        <f>CORREL(D3:D20,R3:R20)</f>
        <v>0.99689374979945333</v>
      </c>
    </row>
    <row r="3" spans="2:22" ht="18">
      <c r="B3" s="33">
        <v>10</v>
      </c>
      <c r="C3" s="36">
        <v>25</v>
      </c>
      <c r="D3" s="33">
        <v>22041.193359000001</v>
      </c>
      <c r="E3" s="3">
        <v>13.969839</v>
      </c>
      <c r="H3" s="4" t="s">
        <v>9</v>
      </c>
      <c r="I3" s="8">
        <v>1638.6123408493263</v>
      </c>
      <c r="J3" s="8">
        <v>50</v>
      </c>
      <c r="L3" s="12">
        <f>(D3-$I$3)/($I$4-$I$3)</f>
        <v>0.71987598600596681</v>
      </c>
      <c r="M3" s="13">
        <f>((($I$6*EXP($I$7*B3))*L3^$I$5)/(1-L3))^(1/(1-$I$5))</f>
        <v>27.528492794167693</v>
      </c>
      <c r="N3" s="14">
        <f>((C3-M3)^2)/(C3^2)</f>
        <v>1.022924129625272E-2</v>
      </c>
      <c r="P3" s="3"/>
      <c r="R3" s="24">
        <v>21837.086666496583</v>
      </c>
      <c r="S3" s="25">
        <f>(R3-$I$3)/($I$4-$I$3)</f>
        <v>0.71267437232848152</v>
      </c>
      <c r="T3" s="26">
        <f t="shared" ref="T3:T20" si="0">((C3-((($I$6*EXP($I$7*B3))*S3^$I$5)/(1-S3))^(1/(1-$I$5)))^2)/C3^2</f>
        <v>9.3695447474323238E-20</v>
      </c>
    </row>
    <row r="4" spans="2:22" ht="18">
      <c r="B4" s="33">
        <v>10</v>
      </c>
      <c r="C4" s="36">
        <v>10</v>
      </c>
      <c r="D4" s="33">
        <v>19510.029297000001</v>
      </c>
      <c r="E4" s="3">
        <v>17.1173</v>
      </c>
      <c r="H4" s="4" t="s">
        <v>10</v>
      </c>
      <c r="I4" s="8">
        <v>29980.412060199273</v>
      </c>
      <c r="J4" s="8">
        <f>MAX(D3:D20)+10</f>
        <v>22051.193359000001</v>
      </c>
      <c r="L4" s="15">
        <f t="shared" ref="L4:L20" si="1">(D4-$I$3)/($I$4-$I$3)</f>
        <v>0.63056747041893846</v>
      </c>
      <c r="M4" s="16">
        <f t="shared" ref="M4:M20" si="2">((($I$6*EXP($I$7*B4))*L4^$I$5)/(1-L4))^(1/(1-$I$5))</f>
        <v>9.1991033266276094</v>
      </c>
      <c r="N4" s="17">
        <f t="shared" ref="N4:N20" si="3">((C4-M4)^2)/(C4^2)</f>
        <v>6.4143548141896165E-3</v>
      </c>
      <c r="P4" s="3"/>
      <c r="R4" s="27">
        <v>19718.178579208885</v>
      </c>
      <c r="S4" s="28">
        <f t="shared" ref="S4:S20" si="4">(R4-$I$3)/($I$4-$I$3)</f>
        <v>0.63791172111120387</v>
      </c>
      <c r="T4" s="29">
        <f t="shared" si="0"/>
        <v>7.2503624873149777E-12</v>
      </c>
    </row>
    <row r="5" spans="2:22">
      <c r="B5" s="33">
        <v>10</v>
      </c>
      <c r="C5" s="36">
        <v>5</v>
      </c>
      <c r="D5" s="33">
        <v>17197.753906000002</v>
      </c>
      <c r="E5" s="3">
        <v>19.695699999999999</v>
      </c>
      <c r="H5" s="39" t="s">
        <v>11</v>
      </c>
      <c r="I5" s="9">
        <v>0.66693549550450393</v>
      </c>
      <c r="J5" s="9">
        <v>0.5</v>
      </c>
      <c r="L5" s="15">
        <f>(D5-$I$3)/($I$4-$I$3)</f>
        <v>0.54898212954796588</v>
      </c>
      <c r="M5" s="16">
        <f>((($I$6*EXP($I$7*B5))*L5^$I$5)/(1-L5))^(1/(1-$I$5))</f>
        <v>3.8288415722209277</v>
      </c>
      <c r="N5" s="17">
        <f t="shared" si="3"/>
        <v>5.4864482518317936E-2</v>
      </c>
      <c r="P5" s="3"/>
      <c r="R5" s="27">
        <v>17923.745638585326</v>
      </c>
      <c r="S5" s="28">
        <f t="shared" si="4"/>
        <v>0.57459771288333406</v>
      </c>
      <c r="T5" s="29">
        <f t="shared" si="0"/>
        <v>6.7952049158615901E-18</v>
      </c>
    </row>
    <row r="6" spans="2:22">
      <c r="B6" s="33">
        <v>10</v>
      </c>
      <c r="C6" s="36">
        <v>1</v>
      </c>
      <c r="D6" s="33">
        <v>13683.041015999999</v>
      </c>
      <c r="E6" s="3">
        <v>23.855371000000002</v>
      </c>
      <c r="H6" s="39" t="s">
        <v>31</v>
      </c>
      <c r="I6" s="9">
        <v>0.4303332395823557</v>
      </c>
      <c r="J6" s="9">
        <v>0.1</v>
      </c>
      <c r="L6" s="15">
        <f t="shared" si="1"/>
        <v>0.42497049567842077</v>
      </c>
      <c r="M6" s="16">
        <f t="shared" si="2"/>
        <v>1.1057442636490817</v>
      </c>
      <c r="N6" s="17">
        <f t="shared" si="3"/>
        <v>1.118184929468651E-2</v>
      </c>
      <c r="P6" s="3"/>
      <c r="R6" s="27">
        <v>13396.572405277753</v>
      </c>
      <c r="S6" s="28">
        <f t="shared" si="4"/>
        <v>0.41486285912890891</v>
      </c>
      <c r="T6" s="29">
        <f t="shared" si="0"/>
        <v>1.0337647947029445E-22</v>
      </c>
    </row>
    <row r="7" spans="2:22">
      <c r="B7" s="33">
        <v>10</v>
      </c>
      <c r="C7" s="36">
        <v>0.5</v>
      </c>
      <c r="D7" s="33">
        <v>11537.908203000001</v>
      </c>
      <c r="E7" s="3">
        <v>22.901368999999999</v>
      </c>
      <c r="H7" s="39" t="s">
        <v>32</v>
      </c>
      <c r="I7" s="9">
        <v>8.9406106403586455E-2</v>
      </c>
      <c r="J7" s="9">
        <v>0.1</v>
      </c>
      <c r="L7" s="15">
        <f t="shared" si="1"/>
        <v>0.34928254239945378</v>
      </c>
      <c r="M7" s="16">
        <f t="shared" si="2"/>
        <v>0.51504788757795616</v>
      </c>
      <c r="N7" s="17">
        <f t="shared" si="3"/>
        <v>9.0575568223522985E-4</v>
      </c>
      <c r="P7" s="3"/>
      <c r="R7" s="27">
        <v>11456.792907284618</v>
      </c>
      <c r="S7" s="28">
        <f t="shared" si="4"/>
        <v>0.346420504825319</v>
      </c>
      <c r="T7" s="29">
        <f t="shared" si="0"/>
        <v>7.7873679372602331E-14</v>
      </c>
    </row>
    <row r="8" spans="2:22">
      <c r="B8" s="33">
        <v>10</v>
      </c>
      <c r="C8" s="36">
        <v>0.1</v>
      </c>
      <c r="D8" s="33">
        <v>8149.2006840000004</v>
      </c>
      <c r="E8" s="3">
        <v>24.012857</v>
      </c>
      <c r="L8" s="15">
        <f t="shared" si="1"/>
        <v>0.22971682841671007</v>
      </c>
      <c r="M8" s="16">
        <f t="shared" si="2"/>
        <v>0.13411815582964576</v>
      </c>
      <c r="N8" s="17">
        <f t="shared" si="3"/>
        <v>0.11640485572159902</v>
      </c>
      <c r="P8" s="3"/>
      <c r="R8" s="27">
        <v>7510.0485756001117</v>
      </c>
      <c r="S8" s="28">
        <f t="shared" si="4"/>
        <v>0.20716525742513622</v>
      </c>
      <c r="T8" s="29">
        <f t="shared" si="0"/>
        <v>5.188266141395409E-20</v>
      </c>
    </row>
    <row r="9" spans="2:22">
      <c r="B9" s="33">
        <v>20</v>
      </c>
      <c r="C9" s="36">
        <v>25</v>
      </c>
      <c r="D9" s="33">
        <v>14630.920898</v>
      </c>
      <c r="E9" s="3">
        <v>20.350864000000001</v>
      </c>
      <c r="L9" s="15">
        <f t="shared" si="1"/>
        <v>0.45841508604975312</v>
      </c>
      <c r="M9" s="16">
        <f t="shared" si="2"/>
        <v>22.566587370255981</v>
      </c>
      <c r="N9" s="17">
        <f t="shared" si="3"/>
        <v>9.4743952425563258E-3</v>
      </c>
      <c r="P9" s="3"/>
      <c r="R9" s="27">
        <v>14923.5863849742</v>
      </c>
      <c r="S9" s="28">
        <f t="shared" si="4"/>
        <v>0.46874137054376097</v>
      </c>
      <c r="T9" s="29">
        <f t="shared" si="0"/>
        <v>5.4695091806777805E-23</v>
      </c>
    </row>
    <row r="10" spans="2:22">
      <c r="B10" s="33">
        <v>20</v>
      </c>
      <c r="C10" s="36">
        <v>10</v>
      </c>
      <c r="D10" s="33">
        <v>11327.107421999999</v>
      </c>
      <c r="E10" s="3">
        <v>21.775245999999999</v>
      </c>
      <c r="L10" s="15">
        <f t="shared" si="1"/>
        <v>0.34184473735222948</v>
      </c>
      <c r="M10" s="16">
        <f t="shared" si="2"/>
        <v>6.9840432542512163</v>
      </c>
      <c r="N10" s="17">
        <f t="shared" si="3"/>
        <v>9.0959950922275934E-2</v>
      </c>
      <c r="P10" s="3"/>
      <c r="R10" s="27">
        <v>12318.231278146508</v>
      </c>
      <c r="S10" s="28">
        <f t="shared" si="4"/>
        <v>0.37681512970419551</v>
      </c>
      <c r="T10" s="29">
        <f t="shared" si="0"/>
        <v>2.6693051454440411E-18</v>
      </c>
    </row>
    <row r="11" spans="2:22">
      <c r="B11" s="33">
        <v>20</v>
      </c>
      <c r="C11" s="36">
        <v>5</v>
      </c>
      <c r="D11" s="33">
        <v>9427.0498050000006</v>
      </c>
      <c r="E11" s="3">
        <v>25.061032999999998</v>
      </c>
      <c r="L11" s="15">
        <f t="shared" si="1"/>
        <v>0.27480391299333168</v>
      </c>
      <c r="M11" s="16">
        <f t="shared" si="2"/>
        <v>3.3711811951397257</v>
      </c>
      <c r="N11" s="17">
        <f t="shared" si="3"/>
        <v>0.10612202796265809</v>
      </c>
      <c r="P11" s="3"/>
      <c r="R11" s="27">
        <v>10433.700720141127</v>
      </c>
      <c r="S11" s="28">
        <f t="shared" si="4"/>
        <v>0.31032215548708025</v>
      </c>
      <c r="T11" s="29">
        <f t="shared" si="0"/>
        <v>7.1657771542793886E-20</v>
      </c>
    </row>
    <row r="12" spans="2:22">
      <c r="B12" s="33">
        <v>20</v>
      </c>
      <c r="C12" s="36">
        <v>1</v>
      </c>
      <c r="D12" s="33">
        <v>6145.2739259999998</v>
      </c>
      <c r="E12" s="3">
        <v>27.052273</v>
      </c>
      <c r="L12" s="15">
        <f t="shared" si="1"/>
        <v>0.15901112948991086</v>
      </c>
      <c r="M12" s="16">
        <f t="shared" si="2"/>
        <v>0.72252990864150157</v>
      </c>
      <c r="N12" s="17">
        <f t="shared" si="3"/>
        <v>7.6989651598493469E-2</v>
      </c>
      <c r="P12" s="3"/>
      <c r="R12" s="27">
        <v>6741.760924046851</v>
      </c>
      <c r="S12" s="28">
        <f t="shared" si="4"/>
        <v>0.18005732288459525</v>
      </c>
      <c r="T12" s="29">
        <f t="shared" si="0"/>
        <v>2.0247905083652453E-21</v>
      </c>
    </row>
    <row r="13" spans="2:22">
      <c r="B13" s="33">
        <v>20</v>
      </c>
      <c r="C13" s="36">
        <v>0.5</v>
      </c>
      <c r="D13" s="33">
        <v>5142.3427730000003</v>
      </c>
      <c r="E13" s="3">
        <v>23.849886000000001</v>
      </c>
      <c r="L13" s="15">
        <f t="shared" si="1"/>
        <v>0.12362413350054667</v>
      </c>
      <c r="M13" s="16">
        <f t="shared" si="2"/>
        <v>0.38565481621513614</v>
      </c>
      <c r="N13" s="17">
        <f t="shared" si="3"/>
        <v>5.2299284219177171E-2</v>
      </c>
      <c r="P13" s="3"/>
      <c r="R13" s="27">
        <v>5533.618504907181</v>
      </c>
      <c r="S13" s="28">
        <f t="shared" si="4"/>
        <v>0.13742973991163293</v>
      </c>
      <c r="T13" s="29">
        <f t="shared" si="0"/>
        <v>1.3316618838052192E-12</v>
      </c>
    </row>
    <row r="14" spans="2:22">
      <c r="B14" s="33">
        <v>20</v>
      </c>
      <c r="C14" s="36">
        <v>0.1</v>
      </c>
      <c r="D14" s="33">
        <v>3563.6777339999999</v>
      </c>
      <c r="E14" s="3">
        <v>19.903452000000001</v>
      </c>
      <c r="L14" s="15">
        <f t="shared" si="1"/>
        <v>6.7923188090146705E-2</v>
      </c>
      <c r="M14" s="16">
        <f t="shared" si="2"/>
        <v>9.6616189676168987E-2</v>
      </c>
      <c r="N14" s="17">
        <f t="shared" si="3"/>
        <v>1.1450172307665382E-3</v>
      </c>
      <c r="P14" s="3"/>
      <c r="R14" s="27">
        <v>3593.7193591872297</v>
      </c>
      <c r="S14" s="28">
        <f t="shared" si="4"/>
        <v>6.8983164008567979E-2</v>
      </c>
      <c r="T14" s="29">
        <f t="shared" si="0"/>
        <v>5.2327089245938437E-16</v>
      </c>
    </row>
    <row r="15" spans="2:22">
      <c r="B15" s="33">
        <v>30</v>
      </c>
      <c r="C15" s="36">
        <v>25</v>
      </c>
      <c r="D15" s="33">
        <v>8537.0927730000003</v>
      </c>
      <c r="E15" s="3">
        <v>20.98123</v>
      </c>
      <c r="L15" s="15">
        <f t="shared" si="1"/>
        <v>0.24340304781142175</v>
      </c>
      <c r="M15" s="16">
        <f t="shared" si="2"/>
        <v>34.102504224735071</v>
      </c>
      <c r="N15" s="17">
        <f t="shared" si="3"/>
        <v>0.13256893305811171</v>
      </c>
      <c r="P15" s="3"/>
      <c r="R15" s="27">
        <v>7837.537446302209</v>
      </c>
      <c r="S15" s="28">
        <f t="shared" si="4"/>
        <v>0.21872023537096194</v>
      </c>
      <c r="T15" s="29">
        <f t="shared" si="0"/>
        <v>1.5934297843016665E-18</v>
      </c>
    </row>
    <row r="16" spans="2:22">
      <c r="B16" s="33">
        <v>30</v>
      </c>
      <c r="C16" s="36">
        <v>10</v>
      </c>
      <c r="D16" s="33">
        <v>5981.1142579999996</v>
      </c>
      <c r="E16" s="3">
        <v>23.848537</v>
      </c>
      <c r="L16" s="15">
        <f t="shared" si="1"/>
        <v>0.1532189896249212</v>
      </c>
      <c r="M16" s="16">
        <f t="shared" si="2"/>
        <v>9.6257528927786478</v>
      </c>
      <c r="N16" s="17">
        <f t="shared" si="3"/>
        <v>1.4006089726355032E-3</v>
      </c>
      <c r="P16" s="3"/>
      <c r="R16" s="27">
        <v>6046.5442944211063</v>
      </c>
      <c r="S16" s="28">
        <f t="shared" si="4"/>
        <v>0.15552759518522494</v>
      </c>
      <c r="T16" s="29">
        <f t="shared" si="0"/>
        <v>3.4639105841000073E-15</v>
      </c>
    </row>
    <row r="17" spans="2:20">
      <c r="B17" s="33">
        <v>30</v>
      </c>
      <c r="C17" s="36">
        <v>5</v>
      </c>
      <c r="D17" s="33">
        <v>4924.3486329999996</v>
      </c>
      <c r="E17" s="3">
        <v>25.482866000000001</v>
      </c>
      <c r="L17" s="15">
        <f t="shared" si="1"/>
        <v>0.11593252103561318</v>
      </c>
      <c r="M17" s="16">
        <f t="shared" si="2"/>
        <v>4.8388103363171844</v>
      </c>
      <c r="N17" s="17">
        <f t="shared" si="3"/>
        <v>1.0392843071271682E-3</v>
      </c>
      <c r="P17" s="3"/>
      <c r="R17" s="27">
        <v>4969.5340134520402</v>
      </c>
      <c r="S17" s="28">
        <f t="shared" si="4"/>
        <v>0.11752682277013538</v>
      </c>
      <c r="T17" s="29">
        <f t="shared" si="0"/>
        <v>4.1091295086620011E-16</v>
      </c>
    </row>
    <row r="18" spans="2:20">
      <c r="B18" s="33">
        <v>30</v>
      </c>
      <c r="C18" s="36">
        <v>1</v>
      </c>
      <c r="D18" s="33">
        <v>3297.3002929999998</v>
      </c>
      <c r="E18" s="3">
        <v>21.985054000000002</v>
      </c>
      <c r="L18" s="15">
        <f t="shared" si="1"/>
        <v>5.8524439823002088E-2</v>
      </c>
      <c r="M18" s="16">
        <f t="shared" si="2"/>
        <v>1.0191700721800678</v>
      </c>
      <c r="N18" s="17">
        <f t="shared" si="3"/>
        <v>3.6749166738901066E-4</v>
      </c>
      <c r="P18" s="3"/>
      <c r="R18" s="27">
        <v>3282.9688970501911</v>
      </c>
      <c r="S18" s="28">
        <f t="shared" si="4"/>
        <v>5.8018776947259439E-2</v>
      </c>
      <c r="T18" s="29">
        <f t="shared" si="0"/>
        <v>1.7612605855902287E-16</v>
      </c>
    </row>
    <row r="19" spans="2:20">
      <c r="B19" s="33">
        <v>30</v>
      </c>
      <c r="C19" s="36">
        <v>0.5</v>
      </c>
      <c r="D19" s="33">
        <v>2829.6518550000001</v>
      </c>
      <c r="E19" s="3">
        <v>14.103909</v>
      </c>
      <c r="L19" s="15">
        <f t="shared" si="1"/>
        <v>4.2024131351740129E-2</v>
      </c>
      <c r="M19" s="16">
        <f t="shared" si="2"/>
        <v>0.49838676670403165</v>
      </c>
      <c r="N19" s="17">
        <f t="shared" si="3"/>
        <v>1.0410086668883657E-5</v>
      </c>
      <c r="P19" s="3"/>
      <c r="R19" s="27">
        <v>2829.6518550000001</v>
      </c>
      <c r="S19" s="28">
        <f t="shared" si="4"/>
        <v>4.2024131351740129E-2</v>
      </c>
      <c r="T19" s="29">
        <f t="shared" si="0"/>
        <v>1.0410086668883657E-5</v>
      </c>
    </row>
    <row r="20" spans="2:20" ht="15.75" thickBot="1">
      <c r="B20" s="33">
        <v>30</v>
      </c>
      <c r="C20" s="36">
        <v>0.1</v>
      </c>
      <c r="D20" s="33">
        <v>2196.306885</v>
      </c>
      <c r="E20" s="3">
        <v>9.0331329999999994</v>
      </c>
      <c r="L20" s="18">
        <f t="shared" si="1"/>
        <v>1.9677456960149074E-2</v>
      </c>
      <c r="M20" s="19">
        <f t="shared" si="2"/>
        <v>0.10177509512088508</v>
      </c>
      <c r="N20" s="20">
        <f t="shared" si="3"/>
        <v>3.1509626881899816E-4</v>
      </c>
      <c r="P20" s="3"/>
      <c r="R20" s="30">
        <v>2191.5692440640391</v>
      </c>
      <c r="S20" s="31">
        <f t="shared" si="4"/>
        <v>1.9510296053542063E-2</v>
      </c>
      <c r="T20" s="32">
        <f t="shared" si="0"/>
        <v>5.7650766786826644E-18</v>
      </c>
    </row>
    <row r="21" spans="2:20" ht="15.75" thickBot="1"/>
    <row r="22" spans="2:20" ht="16.5" thickTop="1" thickBot="1">
      <c r="N22" s="7">
        <f>SUM(N3:N20)</f>
        <v>0.67269269086395977</v>
      </c>
      <c r="O22" t="s">
        <v>14</v>
      </c>
    </row>
    <row r="23" spans="2:20" ht="15.75" thickTop="1">
      <c r="C23" s="1"/>
    </row>
    <row r="24" spans="2:20">
      <c r="C24" s="1"/>
    </row>
    <row r="25" spans="2:20">
      <c r="C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7BC4-2C6F-4327-9E32-8A994C52383F}">
  <dimension ref="C2:T63"/>
  <sheetViews>
    <sheetView workbookViewId="0">
      <selection activeCell="M5" sqref="M5:M9"/>
    </sheetView>
  </sheetViews>
  <sheetFormatPr defaultColWidth="8.85546875" defaultRowHeight="15"/>
  <cols>
    <col min="11" max="11" width="8.28515625" customWidth="1"/>
    <col min="15" max="16" width="8.85546875" customWidth="1"/>
  </cols>
  <sheetData>
    <row r="2" spans="3:20" ht="17.25">
      <c r="C2" s="2" t="s">
        <v>19</v>
      </c>
      <c r="D2" s="2" t="s">
        <v>26</v>
      </c>
      <c r="E2" s="2" t="s">
        <v>27</v>
      </c>
      <c r="F2" s="2" t="s">
        <v>11</v>
      </c>
      <c r="G2" s="2" t="s">
        <v>31</v>
      </c>
      <c r="H2" s="2" t="s">
        <v>32</v>
      </c>
      <c r="I2" s="2" t="s">
        <v>29</v>
      </c>
      <c r="J2" s="2" t="s">
        <v>30</v>
      </c>
      <c r="K2" s="2" t="s">
        <v>41</v>
      </c>
      <c r="L2" s="2"/>
      <c r="M2" s="2" t="s">
        <v>28</v>
      </c>
      <c r="N2" s="38" t="s">
        <v>20</v>
      </c>
      <c r="O2" s="38" t="s">
        <v>21</v>
      </c>
      <c r="P2" s="38" t="s">
        <v>22</v>
      </c>
      <c r="Q2" s="38" t="s">
        <v>23</v>
      </c>
      <c r="R2" s="38" t="s">
        <v>24</v>
      </c>
      <c r="S2" s="38" t="s">
        <v>25</v>
      </c>
      <c r="T2" s="38"/>
    </row>
    <row r="3" spans="3:20">
      <c r="C3" s="1" t="s">
        <v>20</v>
      </c>
      <c r="D3" s="3">
        <v>1313.5721342220934</v>
      </c>
      <c r="E3" s="3">
        <v>40715.474337252082</v>
      </c>
      <c r="F3" s="37">
        <v>0.65842137008156409</v>
      </c>
      <c r="G3" s="37">
        <v>0.13308710419582584</v>
      </c>
      <c r="H3" s="37">
        <v>0.1141907698684126</v>
      </c>
      <c r="I3" s="37">
        <v>0.64714267807902071</v>
      </c>
      <c r="J3" s="37">
        <v>0.98193641349692062</v>
      </c>
      <c r="K3" s="36">
        <f>ROUND(-LN(G3)/H3,2)</f>
        <v>17.66</v>
      </c>
      <c r="L3" s="1"/>
      <c r="M3" s="1">
        <v>0</v>
      </c>
      <c r="N3" s="37">
        <f>$G$3*EXP($H$3*$M3)</f>
        <v>0.13308710419582584</v>
      </c>
      <c r="O3" s="37">
        <f>$G$4*EXP($H$4*$M3)</f>
        <v>0.13037636721362758</v>
      </c>
      <c r="P3" s="37">
        <f>$G$5*EXP($H$5*$M3)</f>
        <v>9.0171442499437593E-2</v>
      </c>
      <c r="Q3" s="37">
        <f>$G$6*EXP($H$6*$M3)</f>
        <v>0.1537671857291345</v>
      </c>
      <c r="R3" s="37">
        <f>$G$7*EXP($H$7*$M3)</f>
        <v>0.30694763293051708</v>
      </c>
      <c r="S3" s="37">
        <f>$G$8*EXP($H$8*$M3)</f>
        <v>0.43035713918713719</v>
      </c>
    </row>
    <row r="4" spans="3:20">
      <c r="C4" s="1" t="s">
        <v>21</v>
      </c>
      <c r="D4" s="3">
        <v>1515.014093376725</v>
      </c>
      <c r="E4" s="3">
        <v>32673.31674636875</v>
      </c>
      <c r="F4" s="37">
        <v>0.635122558606391</v>
      </c>
      <c r="G4" s="37">
        <v>0.13037636721362758</v>
      </c>
      <c r="H4" s="37">
        <v>9.8537606329494376E-2</v>
      </c>
      <c r="I4" s="37">
        <v>0.75623265132224327</v>
      </c>
      <c r="J4" s="37">
        <v>0.9877674198952322</v>
      </c>
      <c r="K4" s="36">
        <f t="shared" ref="K4:K8" si="0">ROUND(-LN(G4)/H4,2)</f>
        <v>20.68</v>
      </c>
      <c r="L4" s="1"/>
      <c r="M4" s="1">
        <v>5</v>
      </c>
      <c r="N4" s="37">
        <f t="shared" ref="N4:N9" si="1">$G$3*EXP($H$3*$M4)</f>
        <v>0.235558121154397</v>
      </c>
      <c r="O4" s="37">
        <f t="shared" ref="O4:O9" si="2">$G$4*EXP($H$4*$M4)</f>
        <v>0.21338828313017683</v>
      </c>
      <c r="P4" s="37">
        <f t="shared" ref="P4:P9" si="3">$G$5*EXP($H$5*$M4)</f>
        <v>0.15814715117249475</v>
      </c>
      <c r="Q4" s="37">
        <f t="shared" ref="Q4:Q9" si="4">$G$6*EXP($H$6*$M4)</f>
        <v>0.2530773077646965</v>
      </c>
      <c r="R4" s="37">
        <f t="shared" ref="R4:R9" si="5">$G$7*EXP($H$7*$M4)</f>
        <v>0.49553843777362072</v>
      </c>
      <c r="S4" s="37">
        <f t="shared" ref="S4:S9" si="6">$G$8*EXP($H$8*$M4)</f>
        <v>0.67292800186778634</v>
      </c>
    </row>
    <row r="5" spans="3:20">
      <c r="C5" s="1" t="s">
        <v>22</v>
      </c>
      <c r="D5" s="3">
        <v>2072.2992443786316</v>
      </c>
      <c r="E5" s="3">
        <v>29484.25511392577</v>
      </c>
      <c r="F5" s="37">
        <v>0.62661243515950293</v>
      </c>
      <c r="G5" s="37">
        <v>9.0171442499437593E-2</v>
      </c>
      <c r="H5" s="37">
        <v>0.11236263223983585</v>
      </c>
      <c r="I5" s="37">
        <v>0.99433138459510095</v>
      </c>
      <c r="J5" s="37">
        <v>0.99737693413642814</v>
      </c>
      <c r="K5" s="36">
        <f t="shared" si="0"/>
        <v>21.41</v>
      </c>
      <c r="L5" s="1"/>
      <c r="M5" s="1">
        <v>10</v>
      </c>
      <c r="N5" s="37">
        <f t="shared" si="1"/>
        <v>0.41692716042678685</v>
      </c>
      <c r="O5" s="37">
        <f t="shared" si="2"/>
        <v>0.34925470275325332</v>
      </c>
      <c r="P5" s="37">
        <f t="shared" si="3"/>
        <v>0.27736632275935819</v>
      </c>
      <c r="Q5" s="37">
        <f t="shared" si="4"/>
        <v>0.41652660417580634</v>
      </c>
      <c r="R5" s="37">
        <f t="shared" si="5"/>
        <v>0.80000077201021114</v>
      </c>
      <c r="S5" s="37">
        <f t="shared" si="6"/>
        <v>1.0522239657812698</v>
      </c>
    </row>
    <row r="6" spans="3:20">
      <c r="C6" s="1" t="s">
        <v>23</v>
      </c>
      <c r="D6" s="3">
        <v>1749.9952095203789</v>
      </c>
      <c r="E6" s="3">
        <v>34667.419703876039</v>
      </c>
      <c r="F6" s="37">
        <v>0.66608202966586427</v>
      </c>
      <c r="G6" s="37">
        <v>0.1537671857291345</v>
      </c>
      <c r="H6" s="37">
        <v>9.9651065759900945E-2</v>
      </c>
      <c r="I6" s="37">
        <v>0.8052358712700135</v>
      </c>
      <c r="J6" s="37">
        <v>0.99446223193591243</v>
      </c>
      <c r="K6" s="36">
        <f t="shared" si="0"/>
        <v>18.79</v>
      </c>
      <c r="L6" s="1"/>
      <c r="M6" s="1">
        <v>15</v>
      </c>
      <c r="N6" s="37">
        <f t="shared" si="1"/>
        <v>0.73794211063352633</v>
      </c>
      <c r="O6" s="37">
        <f t="shared" si="2"/>
        <v>0.57162860868443532</v>
      </c>
      <c r="P6" s="37">
        <f t="shared" si="3"/>
        <v>0.48645882287905934</v>
      </c>
      <c r="Q6" s="37">
        <f t="shared" si="4"/>
        <v>0.68553918768386224</v>
      </c>
      <c r="R6" s="37">
        <f t="shared" si="5"/>
        <v>1.291526925928012</v>
      </c>
      <c r="S6" s="37">
        <f t="shared" si="6"/>
        <v>1.6453101536737589</v>
      </c>
    </row>
    <row r="7" spans="3:20">
      <c r="C7" s="1" t="s">
        <v>24</v>
      </c>
      <c r="D7" s="3">
        <v>1686.6188622284792</v>
      </c>
      <c r="E7" s="3">
        <v>25336.581516804057</v>
      </c>
      <c r="F7" s="37">
        <v>0.63514666026388711</v>
      </c>
      <c r="G7" s="37">
        <v>0.30694763293051708</v>
      </c>
      <c r="H7" s="37">
        <v>9.5793553641646087E-2</v>
      </c>
      <c r="I7" s="37">
        <v>0.97336244074108724</v>
      </c>
      <c r="J7" s="37">
        <v>0.99764900240657028</v>
      </c>
      <c r="K7" s="36">
        <f t="shared" si="0"/>
        <v>12.33</v>
      </c>
      <c r="L7" s="1"/>
      <c r="M7" s="1">
        <v>20</v>
      </c>
      <c r="N7" s="37">
        <f t="shared" si="1"/>
        <v>1.306123971604122</v>
      </c>
      <c r="O7" s="37">
        <f t="shared" si="2"/>
        <v>0.93559016869518608</v>
      </c>
      <c r="P7" s="37">
        <f t="shared" si="3"/>
        <v>0.85317562710087824</v>
      </c>
      <c r="Q7" s="37">
        <f t="shared" si="4"/>
        <v>1.1282928224481161</v>
      </c>
      <c r="R7" s="37">
        <f t="shared" si="5"/>
        <v>2.0850502383962324</v>
      </c>
      <c r="S7" s="37">
        <f t="shared" si="6"/>
        <v>2.5726894556825677</v>
      </c>
    </row>
    <row r="8" spans="3:20">
      <c r="C8" s="1" t="s">
        <v>25</v>
      </c>
      <c r="D8" s="3">
        <v>1638.5746564409576</v>
      </c>
      <c r="E8" s="3">
        <v>29981.00783048206</v>
      </c>
      <c r="F8" s="37">
        <v>0.66694215483463704</v>
      </c>
      <c r="G8" s="37">
        <v>0.43035713918713719</v>
      </c>
      <c r="H8" s="37">
        <v>8.9404584565224265E-2</v>
      </c>
      <c r="I8" s="37">
        <v>0.97479795506127553</v>
      </c>
      <c r="J8" s="37">
        <v>0.99689374979945333</v>
      </c>
      <c r="K8" s="3">
        <f t="shared" si="0"/>
        <v>9.43</v>
      </c>
      <c r="L8" s="1"/>
      <c r="M8" s="1">
        <v>25</v>
      </c>
      <c r="N8" s="37">
        <f t="shared" si="1"/>
        <v>2.3117800226014356</v>
      </c>
      <c r="O8" s="37">
        <f t="shared" si="2"/>
        <v>1.5312896353693655</v>
      </c>
      <c r="P8" s="37">
        <f t="shared" si="3"/>
        <v>1.4963417589404999</v>
      </c>
      <c r="Q8" s="37">
        <f t="shared" si="4"/>
        <v>1.8569976976648097</v>
      </c>
      <c r="R8" s="37">
        <f t="shared" si="5"/>
        <v>3.3661199076530175</v>
      </c>
      <c r="S8" s="37">
        <f t="shared" si="6"/>
        <v>4.0227862331011082</v>
      </c>
    </row>
    <row r="9" spans="3:20">
      <c r="C9" s="1"/>
      <c r="D9" s="1"/>
      <c r="E9" s="1"/>
      <c r="F9" s="1"/>
      <c r="G9" s="1"/>
      <c r="H9" s="1"/>
      <c r="I9" s="1"/>
      <c r="J9" s="1"/>
      <c r="K9" s="1"/>
      <c r="L9" s="1"/>
      <c r="M9" s="1">
        <v>30</v>
      </c>
      <c r="N9" s="37">
        <f t="shared" si="1"/>
        <v>4.091745492072576</v>
      </c>
      <c r="O9" s="37">
        <f t="shared" si="2"/>
        <v>2.5062768141951173</v>
      </c>
      <c r="P9" s="37">
        <f t="shared" si="3"/>
        <v>2.6243584420683517</v>
      </c>
      <c r="Q9" s="37">
        <f t="shared" si="4"/>
        <v>3.0563346504767623</v>
      </c>
      <c r="R9" s="37">
        <f t="shared" si="5"/>
        <v>5.4342878766380665</v>
      </c>
      <c r="S9" s="37">
        <f t="shared" si="6"/>
        <v>6.2902302652514654</v>
      </c>
    </row>
    <row r="10" spans="3:20">
      <c r="M10" s="1"/>
    </row>
    <row r="11" spans="3:20">
      <c r="M11" s="1"/>
    </row>
    <row r="12" spans="3:20">
      <c r="M12" s="1" t="s">
        <v>34</v>
      </c>
      <c r="N12" s="40" t="s">
        <v>33</v>
      </c>
      <c r="O12" s="40" t="s">
        <v>35</v>
      </c>
      <c r="P12" s="40" t="s">
        <v>36</v>
      </c>
      <c r="Q12" s="40" t="s">
        <v>37</v>
      </c>
      <c r="R12" s="40" t="s">
        <v>38</v>
      </c>
      <c r="S12" s="40" t="s">
        <v>39</v>
      </c>
      <c r="T12" s="40" t="s">
        <v>40</v>
      </c>
    </row>
    <row r="13" spans="3:20">
      <c r="M13" s="40">
        <v>20</v>
      </c>
      <c r="N13" s="1">
        <v>1300</v>
      </c>
      <c r="O13" s="41" t="e">
        <f>(($G$3*EXP($H$3*$M$13)*((N13-$D$3)/($E$3-$D$3))^$F$3)/(1-((N13-$D$3)/($E$3-$D$3))))^(1/(1-$F$3))</f>
        <v>#NUM!</v>
      </c>
      <c r="P13" s="41" t="e">
        <f>(($G$4*EXP($H$4*$M$13)*((N13-$D$4)/($E$4-$D$4))^$F$4)/(1-((N13-$D$4)/($E$4-$D$4))))^(1/(1-$F$4))</f>
        <v>#NUM!</v>
      </c>
      <c r="Q13" s="41" t="e">
        <f>(($G$5*EXP($H$5*$M$13)*((N13-$D$5)/($E$5-$D$5))^$F$5)/(1-((N13-$D$5)/($E$5-$D$5))))^(1/(1-$F$5))</f>
        <v>#NUM!</v>
      </c>
      <c r="R13" s="41" t="e">
        <f>(($G$6*EXP($H$6*$M$13)*((N13-$D$6)/($E$6-$D$6))^$F$6)/(1-((N13-$D$6)/($E$6-$D$6))))^(1/(1-$F$6))</f>
        <v>#NUM!</v>
      </c>
      <c r="S13" s="41" t="e">
        <f>(($G$7*EXP($H$7*$M$13)*((N13-$D$7)/($E$7-$D$7))^$F$7)/(1-((N13-$D$7)/($E$7-$D$7))))^(1/(1-$F$7))</f>
        <v>#NUM!</v>
      </c>
      <c r="T13" s="41" t="e">
        <f>(($G$8*EXP($H$8*$M$13)*((N13-$D$8)/($E$8-$D$8))^$F$8)/(1-((N13-$D$8)/($E$8-$D$8))))^(1/(1-$F$8))</f>
        <v>#NUM!</v>
      </c>
    </row>
    <row r="14" spans="3:20">
      <c r="N14" s="1">
        <v>1500</v>
      </c>
      <c r="O14" s="41">
        <f t="shared" ref="O14:O63" si="7">(($G$3*EXP($H$3*$M$13)*((N14-$D$3)/($E$3-$D$3))^$F$3)/(1-((N14-$D$3)/($E$3-$D$3))))^(1/(1-$F$3))</f>
        <v>7.3103783823008135E-5</v>
      </c>
      <c r="P14" s="41" t="e">
        <f t="shared" ref="P14:P63" si="8">(($G$4*EXP($H$4*$M$13)*((N14-$D$4)/($E$4-$D$4))^$F$4)/(1-((N14-$D$4)/($E$4-$D$4))))^(1/(1-$F$4))</f>
        <v>#NUM!</v>
      </c>
      <c r="Q14" s="41" t="e">
        <f t="shared" ref="Q14:Q58" si="9">(($G$5*EXP($H$5*$M$13)*((N14-$D$5)/($E$5-$D$5))^$F$5)/(1-((N14-$D$5)/($E$5-$D$5))))^(1/(1-$F$5))</f>
        <v>#NUM!</v>
      </c>
      <c r="R14" s="41" t="e">
        <f t="shared" ref="R14:R63" si="10">(($G$6*EXP($H$6*$M$13)*((N14-$D$6)/($E$6-$D$6))^$F$6)/(1-((N14-$D$6)/($E$6-$D$6))))^(1/(1-$F$6))</f>
        <v>#NUM!</v>
      </c>
      <c r="S14" s="41" t="e">
        <f t="shared" ref="S14:S63" si="11">(($G$7*EXP($H$7*$M$13)*((N14-$D$7)/($E$7-$D$7))^$F$7)/(1-((N14-$D$7)/($E$7-$D$7))))^(1/(1-$F$7))</f>
        <v>#NUM!</v>
      </c>
      <c r="T14" s="41" t="e">
        <f t="shared" ref="T14:T63" si="12">(($G$8*EXP($H$8*$M$13)*((N14-$D$8)/($E$8-$D$8))^$F$8)/(1-((N14-$D$8)/($E$8-$D$8))))^(1/(1-$F$8))</f>
        <v>#NUM!</v>
      </c>
    </row>
    <row r="15" spans="3:20">
      <c r="N15" s="1">
        <v>1700</v>
      </c>
      <c r="O15" s="41">
        <f t="shared" si="7"/>
        <v>3.0243500229566267E-4</v>
      </c>
      <c r="P15" s="41">
        <f t="shared" si="8"/>
        <v>1.1282555331232112E-4</v>
      </c>
      <c r="Q15" s="41" t="e">
        <f t="shared" si="9"/>
        <v>#NUM!</v>
      </c>
      <c r="R15" s="41" t="e">
        <f t="shared" si="10"/>
        <v>#NUM!</v>
      </c>
      <c r="S15" s="41">
        <f t="shared" si="11"/>
        <v>1.6682582472663235E-5</v>
      </c>
      <c r="T15" s="41">
        <f t="shared" si="12"/>
        <v>7.9473012353579778E-5</v>
      </c>
    </row>
    <row r="16" spans="3:20">
      <c r="N16" s="1">
        <v>1900</v>
      </c>
      <c r="O16" s="41">
        <f t="shared" si="7"/>
        <v>6.8602631530447465E-4</v>
      </c>
      <c r="P16" s="41">
        <f t="shared" si="8"/>
        <v>4.1131685510922882E-4</v>
      </c>
      <c r="Q16" s="41" t="e">
        <f t="shared" si="9"/>
        <v>#NUM!</v>
      </c>
      <c r="R16" s="41">
        <f t="shared" si="10"/>
        <v>3.1087580270019015E-5</v>
      </c>
      <c r="S16" s="41">
        <f t="shared" si="11"/>
        <v>2.1183933636161841E-3</v>
      </c>
      <c r="T16" s="41">
        <f t="shared" si="12"/>
        <v>1.475825168989418E-3</v>
      </c>
    </row>
    <row r="17" spans="14:20">
      <c r="N17" s="1">
        <v>2100</v>
      </c>
      <c r="O17" s="41">
        <f t="shared" si="7"/>
        <v>1.2262200501842115E-3</v>
      </c>
      <c r="P17" s="41">
        <f t="shared" si="8"/>
        <v>8.6738869700989931E-4</v>
      </c>
      <c r="Q17" s="41">
        <f t="shared" si="9"/>
        <v>6.1599270865423741E-6</v>
      </c>
      <c r="R17" s="41">
        <f t="shared" si="10"/>
        <v>1.7161474048013698E-4</v>
      </c>
      <c r="S17" s="41">
        <f t="shared" si="11"/>
        <v>6.8574760889202283E-3</v>
      </c>
      <c r="T17" s="41">
        <f t="shared" si="12"/>
        <v>4.7040843608004883E-3</v>
      </c>
    </row>
    <row r="18" spans="14:20">
      <c r="N18" s="1">
        <v>2300</v>
      </c>
      <c r="O18" s="41">
        <f t="shared" si="7"/>
        <v>1.9268915038000377E-3</v>
      </c>
      <c r="P18" s="41">
        <f t="shared" si="8"/>
        <v>1.4734476029631253E-3</v>
      </c>
      <c r="Q18" s="41">
        <f t="shared" si="9"/>
        <v>2.154889799084353E-4</v>
      </c>
      <c r="R18" s="41">
        <f t="shared" si="10"/>
        <v>4.3064587163089421E-4</v>
      </c>
      <c r="S18" s="41">
        <f t="shared" si="11"/>
        <v>1.3957141910110223E-2</v>
      </c>
      <c r="T18" s="41">
        <f t="shared" si="12"/>
        <v>9.8857447324303127E-3</v>
      </c>
    </row>
    <row r="19" spans="14:20">
      <c r="N19" s="1">
        <v>2500</v>
      </c>
      <c r="O19" s="41">
        <f t="shared" si="7"/>
        <v>2.7928003506627196E-3</v>
      </c>
      <c r="P19" s="41">
        <f t="shared" si="8"/>
        <v>2.2272571636652058E-3</v>
      </c>
      <c r="Q19" s="41">
        <f t="shared" si="9"/>
        <v>6.3308103489604359E-4</v>
      </c>
      <c r="R19" s="41">
        <f t="shared" si="10"/>
        <v>8.144592106790221E-4</v>
      </c>
      <c r="S19" s="41">
        <f t="shared" si="11"/>
        <v>2.3363507561565865E-2</v>
      </c>
      <c r="T19" s="41">
        <f t="shared" si="12"/>
        <v>1.7148386883545683E-2</v>
      </c>
    </row>
    <row r="20" spans="14:20">
      <c r="N20" s="1">
        <v>3000</v>
      </c>
      <c r="O20" s="41">
        <f t="shared" si="7"/>
        <v>5.7171251510555014E-3</v>
      </c>
      <c r="P20" s="41">
        <f t="shared" si="8"/>
        <v>4.7643425314963499E-3</v>
      </c>
      <c r="Q20" s="41">
        <f t="shared" si="9"/>
        <v>2.4407997748418647E-3</v>
      </c>
      <c r="R20" s="41">
        <f t="shared" si="10"/>
        <v>2.3646902824280402E-3</v>
      </c>
      <c r="S20" s="41">
        <f t="shared" si="11"/>
        <v>5.7167578471928548E-2</v>
      </c>
      <c r="T20" s="41">
        <f t="shared" si="12"/>
        <v>4.5311887071644276E-2</v>
      </c>
    </row>
    <row r="21" spans="14:20">
      <c r="N21" s="1">
        <v>4000</v>
      </c>
      <c r="O21" s="41">
        <f t="shared" si="7"/>
        <v>1.5174540846601185E-2</v>
      </c>
      <c r="P21" s="41">
        <f t="shared" si="8"/>
        <v>1.2823820977569305E-2</v>
      </c>
      <c r="Q21" s="41">
        <f t="shared" si="9"/>
        <v>9.2330269372998715E-3</v>
      </c>
      <c r="R21" s="41">
        <f t="shared" si="10"/>
        <v>8.4083369034024386E-3</v>
      </c>
      <c r="S21" s="41">
        <f t="shared" si="11"/>
        <v>0.17364550134536599</v>
      </c>
      <c r="T21" s="41">
        <f t="shared" si="12"/>
        <v>0.15290217518120999</v>
      </c>
    </row>
    <row r="22" spans="14:20">
      <c r="N22" s="1">
        <v>5000</v>
      </c>
      <c r="O22" s="41">
        <f t="shared" si="7"/>
        <v>3.0278485017262595E-2</v>
      </c>
      <c r="P22" s="41">
        <f t="shared" si="8"/>
        <v>2.5464214738987252E-2</v>
      </c>
      <c r="Q22" s="41">
        <f t="shared" si="9"/>
        <v>2.0723964125892093E-2</v>
      </c>
      <c r="R22" s="41">
        <f t="shared" si="10"/>
        <v>1.9337002420313273E-2</v>
      </c>
      <c r="S22" s="41">
        <f t="shared" si="11"/>
        <v>0.3701795760405952</v>
      </c>
      <c r="T22" s="41">
        <f t="shared" si="12"/>
        <v>0.34887761554649832</v>
      </c>
    </row>
    <row r="23" spans="14:20">
      <c r="N23" s="1">
        <v>6000</v>
      </c>
      <c r="O23" s="41">
        <f t="shared" si="7"/>
        <v>5.2259463573774673E-2</v>
      </c>
      <c r="P23" s="41">
        <f t="shared" si="8"/>
        <v>4.3696093060854417E-2</v>
      </c>
      <c r="Q23" s="41">
        <f t="shared" si="9"/>
        <v>3.794291735414624E-2</v>
      </c>
      <c r="R23" s="41">
        <f t="shared" si="10"/>
        <v>3.6591763284190643E-2</v>
      </c>
      <c r="S23" s="41">
        <f t="shared" si="11"/>
        <v>0.67272467213402021</v>
      </c>
      <c r="T23" s="41">
        <f t="shared" si="12"/>
        <v>0.66440870755037473</v>
      </c>
    </row>
    <row r="24" spans="14:20">
      <c r="N24" s="1">
        <v>7000</v>
      </c>
      <c r="O24" s="41">
        <f t="shared" si="7"/>
        <v>8.2649377691424886E-2</v>
      </c>
      <c r="P24" s="41">
        <f t="shared" si="8"/>
        <v>6.8878131759630049E-2</v>
      </c>
      <c r="Q24" s="41">
        <f t="shared" si="9"/>
        <v>6.2381339873526377E-2</v>
      </c>
      <c r="R24" s="41">
        <f t="shared" si="10"/>
        <v>6.2032704897406699E-2</v>
      </c>
      <c r="S24" s="41">
        <f t="shared" si="11"/>
        <v>1.1186180824839711</v>
      </c>
      <c r="T24" s="41">
        <f t="shared" si="12"/>
        <v>1.14156962586323</v>
      </c>
    </row>
    <row r="25" spans="14:20">
      <c r="N25" s="1">
        <v>8000</v>
      </c>
      <c r="O25" s="41">
        <f t="shared" si="7"/>
        <v>0.12334889295032131</v>
      </c>
      <c r="P25" s="41">
        <f t="shared" si="8"/>
        <v>0.10279524371469911</v>
      </c>
      <c r="Q25" s="41">
        <f t="shared" si="9"/>
        <v>9.6079645020607618E-2</v>
      </c>
      <c r="R25" s="41">
        <f t="shared" si="10"/>
        <v>9.8071610306772306E-2</v>
      </c>
      <c r="S25" s="41">
        <f t="shared" si="11"/>
        <v>1.7611923773816061</v>
      </c>
      <c r="T25" s="41">
        <f t="shared" si="12"/>
        <v>1.8375848857857868</v>
      </c>
    </row>
    <row r="26" spans="14:20">
      <c r="N26" s="1">
        <v>9000</v>
      </c>
      <c r="O26" s="41">
        <f t="shared" si="7"/>
        <v>0.17671864003934595</v>
      </c>
      <c r="P26" s="41">
        <f t="shared" si="8"/>
        <v>0.14778452589505267</v>
      </c>
      <c r="Q26" s="41">
        <f t="shared" si="9"/>
        <v>0.14180378646588757</v>
      </c>
      <c r="R26" s="41">
        <f t="shared" si="10"/>
        <v>0.14785288149819034</v>
      </c>
      <c r="S26" s="41">
        <f t="shared" si="11"/>
        <v>2.6772505187343736</v>
      </c>
      <c r="T26" s="41">
        <f t="shared" si="12"/>
        <v>2.8309594588468787</v>
      </c>
    </row>
    <row r="27" spans="14:20">
      <c r="N27" s="1">
        <v>10000</v>
      </c>
      <c r="O27" s="41">
        <f t="shared" si="7"/>
        <v>0.2456990745928202</v>
      </c>
      <c r="P27" s="41">
        <f t="shared" si="8"/>
        <v>0.20691673679942091</v>
      </c>
      <c r="Q27" s="41">
        <f t="shared" si="9"/>
        <v>0.20331667913954782</v>
      </c>
      <c r="R27" s="41">
        <f t="shared" si="10"/>
        <v>0.21550218280220421</v>
      </c>
      <c r="S27" s="41">
        <f t="shared" si="11"/>
        <v>3.9789696624951216</v>
      </c>
      <c r="T27" s="41">
        <f t="shared" si="12"/>
        <v>4.2304564131365705</v>
      </c>
    </row>
    <row r="28" spans="14:20">
      <c r="N28" s="1">
        <v>11000</v>
      </c>
      <c r="O28" s="41">
        <f t="shared" si="7"/>
        <v>0.33396748652360803</v>
      </c>
      <c r="P28" s="41">
        <f t="shared" si="8"/>
        <v>0.28425371477611039</v>
      </c>
      <c r="Q28" s="41">
        <f t="shared" si="9"/>
        <v>0.28578287541230574</v>
      </c>
      <c r="R28" s="41">
        <f t="shared" si="10"/>
        <v>0.30647159686247538</v>
      </c>
      <c r="S28" s="41">
        <f t="shared" si="11"/>
        <v>5.8331698691989722</v>
      </c>
      <c r="T28" s="41">
        <f t="shared" si="12"/>
        <v>6.1884514571593883</v>
      </c>
    </row>
    <row r="29" spans="14:20">
      <c r="N29" s="1">
        <v>12000</v>
      </c>
      <c r="O29" s="41">
        <f t="shared" si="7"/>
        <v>0.44614446219285636</v>
      </c>
      <c r="P29" s="41">
        <f t="shared" si="8"/>
        <v>0.38521524116098693</v>
      </c>
      <c r="Q29" s="41">
        <f t="shared" si="9"/>
        <v>0.39637532749859616</v>
      </c>
      <c r="R29" s="41">
        <f t="shared" si="10"/>
        <v>0.42802416111362401</v>
      </c>
      <c r="S29" s="41">
        <f t="shared" si="11"/>
        <v>8.4933152093781779</v>
      </c>
      <c r="T29" s="41">
        <f t="shared" si="12"/>
        <v>8.9211420362109681</v>
      </c>
    </row>
    <row r="30" spans="14:20">
      <c r="N30" s="1">
        <v>13000</v>
      </c>
      <c r="O30" s="41">
        <f t="shared" si="7"/>
        <v>0.58806714530924609</v>
      </c>
      <c r="P30" s="41">
        <f t="shared" si="8"/>
        <v>0.5171078742643026</v>
      </c>
      <c r="Q30" s="41">
        <f t="shared" si="9"/>
        <v>0.54519954373794954</v>
      </c>
      <c r="R30" s="41">
        <f t="shared" si="10"/>
        <v>0.58992249692554732</v>
      </c>
      <c r="S30" s="41">
        <f t="shared" si="11"/>
        <v>12.354341478400633</v>
      </c>
      <c r="T30" s="41">
        <f t="shared" si="12"/>
        <v>12.739716030173241</v>
      </c>
    </row>
    <row r="31" spans="14:20">
      <c r="N31" s="1">
        <v>14000</v>
      </c>
      <c r="O31" s="41">
        <f t="shared" si="7"/>
        <v>0.76715376720589179</v>
      </c>
      <c r="P31" s="41">
        <f t="shared" si="8"/>
        <v>0.68989850099185768</v>
      </c>
      <c r="Q31" s="41">
        <f t="shared" si="9"/>
        <v>0.74673008397070495</v>
      </c>
      <c r="R31" s="41">
        <f t="shared" si="10"/>
        <v>0.80542077521171651</v>
      </c>
      <c r="S31" s="41">
        <f t="shared" si="11"/>
        <v>18.050073981665509</v>
      </c>
      <c r="T31" s="41">
        <f t="shared" si="12"/>
        <v>18.099451864204308</v>
      </c>
    </row>
    <row r="32" spans="14:20">
      <c r="N32" s="1">
        <v>15000</v>
      </c>
      <c r="O32" s="41">
        <f t="shared" si="7"/>
        <v>0.99289424610827681</v>
      </c>
      <c r="P32" s="41">
        <f t="shared" si="8"/>
        <v>0.917365167170067</v>
      </c>
      <c r="Q32" s="41">
        <f t="shared" si="9"/>
        <v>1.0220971530870679</v>
      </c>
      <c r="R32" s="41">
        <f t="shared" si="10"/>
        <v>1.0927148944970946</v>
      </c>
      <c r="S32" s="41">
        <f t="shared" si="11"/>
        <v>26.633830544019457</v>
      </c>
      <c r="T32" s="41">
        <f t="shared" si="12"/>
        <v>25.678921017718192</v>
      </c>
    </row>
    <row r="33" spans="14:20">
      <c r="N33" s="1">
        <v>16000</v>
      </c>
      <c r="O33" s="41">
        <f t="shared" si="7"/>
        <v>1.2775168787374458</v>
      </c>
      <c r="P33" s="41">
        <f t="shared" si="8"/>
        <v>1.2188421568498906</v>
      </c>
      <c r="Q33" s="41">
        <f t="shared" si="9"/>
        <v>1.4028267250641051</v>
      </c>
      <c r="R33" s="41">
        <f t="shared" si="10"/>
        <v>1.477097223544678</v>
      </c>
      <c r="S33" s="41">
        <f t="shared" si="11"/>
        <v>39.930423741946711</v>
      </c>
      <c r="T33" s="41">
        <f t="shared" si="12"/>
        <v>36.511205186081696</v>
      </c>
    </row>
    <row r="34" spans="14:20">
      <c r="N34" s="1">
        <v>17000</v>
      </c>
      <c r="O34" s="41">
        <f t="shared" si="7"/>
        <v>1.6369039191543315</v>
      </c>
      <c r="P34" s="41">
        <f t="shared" si="8"/>
        <v>1.6219233048763118</v>
      </c>
      <c r="Q34" s="41">
        <f t="shared" si="9"/>
        <v>1.9371512576453991</v>
      </c>
      <c r="R34" s="41">
        <f t="shared" si="10"/>
        <v>1.9942160711566412</v>
      </c>
      <c r="S34" s="41">
        <f t="shared" si="11"/>
        <v>61.264486987494372</v>
      </c>
      <c r="T34" s="41">
        <f t="shared" si="12"/>
        <v>52.207972613173176</v>
      </c>
    </row>
    <row r="35" spans="14:20">
      <c r="N35" s="1">
        <v>18000</v>
      </c>
      <c r="O35" s="41">
        <f t="shared" si="7"/>
        <v>2.0918634156756126</v>
      </c>
      <c r="P35" s="41">
        <f t="shared" si="8"/>
        <v>2.1667513124975235</v>
      </c>
      <c r="Q35" s="41">
        <f t="shared" si="9"/>
        <v>2.701044854382662</v>
      </c>
      <c r="R35" s="41">
        <f t="shared" si="10"/>
        <v>2.6951050974354476</v>
      </c>
      <c r="S35" s="41">
        <f t="shared" si="11"/>
        <v>97.081063906449813</v>
      </c>
      <c r="T35" s="41">
        <f t="shared" si="12"/>
        <v>75.355612939252026</v>
      </c>
    </row>
    <row r="36" spans="14:20">
      <c r="N36" s="1">
        <v>19000</v>
      </c>
      <c r="O36" s="41">
        <f t="shared" si="7"/>
        <v>2.6699180171354522</v>
      </c>
      <c r="P36" s="41">
        <f t="shared" si="8"/>
        <v>2.9130100548693174</v>
      </c>
      <c r="Q36" s="41">
        <f t="shared" si="9"/>
        <v>3.8183355981578591</v>
      </c>
      <c r="R36" s="41">
        <f t="shared" si="10"/>
        <v>3.654117202475347</v>
      </c>
      <c r="S36" s="41">
        <f t="shared" si="11"/>
        <v>160.89279872116967</v>
      </c>
      <c r="T36" s="41">
        <f t="shared" si="12"/>
        <v>110.24411141647256</v>
      </c>
    </row>
    <row r="37" spans="14:20">
      <c r="N37" s="1">
        <v>20000</v>
      </c>
      <c r="O37" s="41">
        <f t="shared" si="7"/>
        <v>3.4078551684850078</v>
      </c>
      <c r="P37" s="41">
        <f t="shared" si="8"/>
        <v>3.9516785529699807</v>
      </c>
      <c r="Q37" s="41">
        <f t="shared" si="9"/>
        <v>5.4991865186078295</v>
      </c>
      <c r="R37" s="41">
        <f t="shared" si="10"/>
        <v>4.9817539315481705</v>
      </c>
      <c r="S37" s="41">
        <f t="shared" si="11"/>
        <v>284.07499064064922</v>
      </c>
      <c r="T37" s="41">
        <f t="shared" si="12"/>
        <v>164.27220834231613</v>
      </c>
    </row>
    <row r="38" spans="14:20">
      <c r="N38" s="1">
        <v>21000</v>
      </c>
      <c r="O38" s="41">
        <f t="shared" si="7"/>
        <v>4.3554169428259693</v>
      </c>
      <c r="P38" s="41">
        <f t="shared" si="8"/>
        <v>5.4254960505920202</v>
      </c>
      <c r="Q38" s="41">
        <f t="shared" si="9"/>
        <v>8.1181041861857768</v>
      </c>
      <c r="R38" s="41">
        <f t="shared" si="10"/>
        <v>6.8459982789180343</v>
      </c>
      <c r="S38" s="41">
        <f t="shared" si="11"/>
        <v>550.32558634757811</v>
      </c>
      <c r="T38" s="41">
        <f t="shared" si="12"/>
        <v>250.81000177111818</v>
      </c>
    </row>
    <row r="39" spans="14:20">
      <c r="N39" s="1">
        <v>22000</v>
      </c>
      <c r="O39" s="41">
        <f t="shared" si="7"/>
        <v>5.5807260808683878</v>
      </c>
      <c r="P39" s="41">
        <f t="shared" si="8"/>
        <v>7.5660722236514779</v>
      </c>
      <c r="Q39" s="41">
        <f t="shared" si="9"/>
        <v>12.383551818843792</v>
      </c>
      <c r="R39" s="41">
        <f t="shared" si="10"/>
        <v>9.5089294525175134</v>
      </c>
      <c r="S39" s="41">
        <f t="shared" si="11"/>
        <v>1232.585484470357</v>
      </c>
      <c r="T39" s="41">
        <f t="shared" si="12"/>
        <v>395.43040060884135</v>
      </c>
    </row>
    <row r="40" spans="14:20">
      <c r="N40" s="1">
        <v>23000</v>
      </c>
      <c r="O40" s="41">
        <f t="shared" si="7"/>
        <v>7.1784089540328182</v>
      </c>
      <c r="P40" s="41">
        <f t="shared" si="8"/>
        <v>10.764457919882318</v>
      </c>
      <c r="Q40" s="41">
        <f t="shared" si="9"/>
        <v>19.740155754995584</v>
      </c>
      <c r="R40" s="41">
        <f t="shared" si="10"/>
        <v>13.391891023828807</v>
      </c>
      <c r="S40" s="41">
        <f t="shared" si="11"/>
        <v>3558.0442996222441</v>
      </c>
      <c r="T40" s="41">
        <f t="shared" si="12"/>
        <v>650.6222808223057</v>
      </c>
    </row>
    <row r="41" spans="14:20">
      <c r="N41" s="1">
        <v>24000</v>
      </c>
      <c r="O41" s="41">
        <f t="shared" si="7"/>
        <v>9.2819985019248961</v>
      </c>
      <c r="P41" s="41">
        <f t="shared" si="8"/>
        <v>15.713135077781486</v>
      </c>
      <c r="Q41" s="41">
        <f t="shared" si="9"/>
        <v>33.433936655113371</v>
      </c>
      <c r="R41" s="41">
        <f t="shared" si="10"/>
        <v>19.19645661352185</v>
      </c>
      <c r="S41" s="41">
        <f t="shared" si="11"/>
        <v>17813.999178524657</v>
      </c>
      <c r="T41" s="41">
        <f t="shared" si="12"/>
        <v>1134.2652366970719</v>
      </c>
    </row>
    <row r="42" spans="14:20">
      <c r="N42" s="1">
        <v>25000</v>
      </c>
      <c r="O42" s="41">
        <f t="shared" si="7"/>
        <v>12.083292798725237</v>
      </c>
      <c r="P42" s="41">
        <f t="shared" si="8"/>
        <v>23.711832202622123</v>
      </c>
      <c r="Q42" s="41">
        <f t="shared" si="9"/>
        <v>61.778294355091624</v>
      </c>
      <c r="R42" s="41">
        <f t="shared" si="10"/>
        <v>28.14028873272833</v>
      </c>
      <c r="S42" s="41">
        <f t="shared" si="11"/>
        <v>842174.85409831663</v>
      </c>
      <c r="T42" s="41">
        <f t="shared" si="12"/>
        <v>2144.5199237578308</v>
      </c>
    </row>
    <row r="43" spans="14:20">
      <c r="N43" s="1">
        <v>26000</v>
      </c>
      <c r="O43" s="41">
        <f t="shared" si="7"/>
        <v>15.863321388915852</v>
      </c>
      <c r="P43" s="41">
        <f t="shared" si="8"/>
        <v>37.383850594857194</v>
      </c>
      <c r="Q43" s="41">
        <f t="shared" si="9"/>
        <v>130.4446884024668</v>
      </c>
      <c r="R43" s="41">
        <f t="shared" si="10"/>
        <v>42.444674983302015</v>
      </c>
      <c r="S43" s="41" t="e">
        <f t="shared" si="11"/>
        <v>#NUM!</v>
      </c>
      <c r="T43" s="41">
        <f t="shared" si="12"/>
        <v>4570.8403664074713</v>
      </c>
    </row>
    <row r="44" spans="14:20">
      <c r="N44" s="1">
        <v>27000</v>
      </c>
      <c r="O44" s="41">
        <f t="shared" si="7"/>
        <v>21.04326857646581</v>
      </c>
      <c r="P44" s="41">
        <f t="shared" si="8"/>
        <v>62.542153389113253</v>
      </c>
      <c r="Q44" s="41">
        <f t="shared" si="9"/>
        <v>345.7231125135234</v>
      </c>
      <c r="R44" s="41">
        <f t="shared" si="10"/>
        <v>66.415956055858501</v>
      </c>
      <c r="S44" s="41" t="e">
        <f t="shared" si="11"/>
        <v>#NUM!</v>
      </c>
      <c r="T44" s="41">
        <f t="shared" si="12"/>
        <v>11808.176131951186</v>
      </c>
    </row>
    <row r="45" spans="14:20">
      <c r="N45" s="1">
        <v>28000</v>
      </c>
      <c r="O45" s="41">
        <f t="shared" si="7"/>
        <v>28.27088376646897</v>
      </c>
      <c r="P45" s="41">
        <f t="shared" si="8"/>
        <v>113.77926736998174</v>
      </c>
      <c r="Q45" s="41">
        <f t="shared" si="9"/>
        <v>1467.138304051477</v>
      </c>
      <c r="R45" s="41">
        <f t="shared" si="10"/>
        <v>109.06244210336088</v>
      </c>
      <c r="S45" s="41" t="e">
        <f t="shared" si="11"/>
        <v>#NUM!</v>
      </c>
      <c r="T45" s="41">
        <f t="shared" si="12"/>
        <v>43519.724103028384</v>
      </c>
    </row>
    <row r="46" spans="14:20">
      <c r="N46" s="1">
        <v>29000</v>
      </c>
      <c r="O46" s="41">
        <f t="shared" si="7"/>
        <v>38.572466380831685</v>
      </c>
      <c r="P46" s="41">
        <f t="shared" si="8"/>
        <v>234.77989077208878</v>
      </c>
      <c r="Q46" s="41">
        <f t="shared" si="9"/>
        <v>31391.517351868137</v>
      </c>
      <c r="R46" s="41">
        <f t="shared" si="10"/>
        <v>191.16610695841632</v>
      </c>
      <c r="S46" s="41" t="e">
        <f t="shared" si="11"/>
        <v>#NUM!</v>
      </c>
      <c r="T46" s="41">
        <f t="shared" si="12"/>
        <v>386780.38494440535</v>
      </c>
    </row>
    <row r="47" spans="14:20">
      <c r="N47" s="1">
        <v>30000</v>
      </c>
      <c r="O47" s="41">
        <f t="shared" si="7"/>
        <v>53.631507147515833</v>
      </c>
      <c r="P47" s="41">
        <f t="shared" si="8"/>
        <v>596.90824884788128</v>
      </c>
      <c r="Q47" s="41" t="e">
        <f t="shared" si="9"/>
        <v>#NUM!</v>
      </c>
      <c r="R47" s="41">
        <f t="shared" si="10"/>
        <v>367.37982136615716</v>
      </c>
      <c r="S47" s="41" t="e">
        <f t="shared" si="11"/>
        <v>#NUM!</v>
      </c>
      <c r="T47" s="41" t="e">
        <f t="shared" si="12"/>
        <v>#NUM!</v>
      </c>
    </row>
    <row r="48" spans="14:20">
      <c r="N48" s="1">
        <v>31000</v>
      </c>
      <c r="O48" s="41">
        <f t="shared" si="7"/>
        <v>76.324914660942838</v>
      </c>
      <c r="P48" s="41">
        <f t="shared" si="8"/>
        <v>2288.9510922955574</v>
      </c>
      <c r="Q48" s="41" t="e">
        <f t="shared" si="9"/>
        <v>#NUM!</v>
      </c>
      <c r="R48" s="41">
        <f t="shared" si="10"/>
        <v>810.68003546848513</v>
      </c>
      <c r="S48" s="41" t="e">
        <f t="shared" si="11"/>
        <v>#NUM!</v>
      </c>
      <c r="T48" s="41" t="e">
        <f t="shared" si="12"/>
        <v>#NUM!</v>
      </c>
    </row>
    <row r="49" spans="14:20">
      <c r="N49" s="1">
        <v>32000</v>
      </c>
      <c r="O49" s="41">
        <f t="shared" si="7"/>
        <v>111.81601332669518</v>
      </c>
      <c r="P49" s="41">
        <f t="shared" si="8"/>
        <v>29402.777971815267</v>
      </c>
      <c r="Q49" s="41" t="e">
        <f t="shared" si="9"/>
        <v>#NUM!</v>
      </c>
      <c r="R49" s="41">
        <f t="shared" si="10"/>
        <v>2249.3307535810854</v>
      </c>
      <c r="S49" s="41" t="e">
        <f t="shared" si="11"/>
        <v>#NUM!</v>
      </c>
      <c r="T49" s="41" t="e">
        <f t="shared" si="12"/>
        <v>#NUM!</v>
      </c>
    </row>
    <row r="50" spans="14:20">
      <c r="N50" s="1">
        <v>33000</v>
      </c>
      <c r="O50" s="41">
        <f t="shared" si="7"/>
        <v>169.94236813532939</v>
      </c>
      <c r="P50" s="41" t="e">
        <f t="shared" si="8"/>
        <v>#NUM!</v>
      </c>
      <c r="Q50" s="41" t="e">
        <f t="shared" si="9"/>
        <v>#NUM!</v>
      </c>
      <c r="R50" s="41">
        <f t="shared" si="10"/>
        <v>9801.5764378217846</v>
      </c>
      <c r="S50" s="41" t="e">
        <f t="shared" si="11"/>
        <v>#NUM!</v>
      </c>
      <c r="T50" s="41" t="e">
        <f t="shared" si="12"/>
        <v>#NUM!</v>
      </c>
    </row>
    <row r="51" spans="14:20">
      <c r="N51" s="1">
        <v>34000</v>
      </c>
      <c r="O51" s="41">
        <f t="shared" si="7"/>
        <v>270.89746837294251</v>
      </c>
      <c r="P51" s="41" t="e">
        <f t="shared" si="8"/>
        <v>#NUM!</v>
      </c>
      <c r="Q51" s="41" t="e">
        <f t="shared" si="9"/>
        <v>#NUM!</v>
      </c>
      <c r="R51" s="41">
        <f t="shared" si="10"/>
        <v>161969.23884285567</v>
      </c>
      <c r="S51" s="41" t="e">
        <f t="shared" si="11"/>
        <v>#NUM!</v>
      </c>
      <c r="T51" s="41" t="e">
        <f t="shared" si="12"/>
        <v>#NUM!</v>
      </c>
    </row>
    <row r="52" spans="14:20">
      <c r="N52" s="1">
        <v>34500</v>
      </c>
      <c r="O52" s="41">
        <f t="shared" si="7"/>
        <v>349.85451129083884</v>
      </c>
      <c r="P52" s="41" t="e">
        <f t="shared" si="8"/>
        <v>#NUM!</v>
      </c>
      <c r="Q52" s="41" t="e">
        <f t="shared" si="9"/>
        <v>#NUM!</v>
      </c>
      <c r="R52" s="41">
        <f t="shared" si="10"/>
        <v>10504692.747125726</v>
      </c>
      <c r="S52" s="41" t="e">
        <f t="shared" si="11"/>
        <v>#NUM!</v>
      </c>
      <c r="T52" s="41" t="e">
        <f t="shared" si="12"/>
        <v>#NUM!</v>
      </c>
    </row>
    <row r="53" spans="14:20">
      <c r="N53" s="1">
        <v>35000</v>
      </c>
      <c r="O53" s="41">
        <f t="shared" si="7"/>
        <v>460.29316347311834</v>
      </c>
      <c r="P53" s="41" t="e">
        <f t="shared" si="8"/>
        <v>#NUM!</v>
      </c>
      <c r="Q53" s="41" t="e">
        <f t="shared" si="9"/>
        <v>#NUM!</v>
      </c>
      <c r="R53" s="41" t="e">
        <f t="shared" si="10"/>
        <v>#NUM!</v>
      </c>
      <c r="S53" s="41" t="e">
        <f t="shared" si="11"/>
        <v>#NUM!</v>
      </c>
      <c r="T53" s="41" t="e">
        <f t="shared" si="12"/>
        <v>#NUM!</v>
      </c>
    </row>
    <row r="54" spans="14:20">
      <c r="N54" s="1">
        <v>35500</v>
      </c>
      <c r="O54" s="41">
        <f t="shared" si="7"/>
        <v>619.10585366729765</v>
      </c>
      <c r="P54" s="41" t="e">
        <f t="shared" si="8"/>
        <v>#NUM!</v>
      </c>
      <c r="Q54" s="41" t="e">
        <f t="shared" si="9"/>
        <v>#NUM!</v>
      </c>
      <c r="R54" s="41" t="e">
        <f t="shared" si="10"/>
        <v>#NUM!</v>
      </c>
      <c r="S54" s="41" t="e">
        <f t="shared" si="11"/>
        <v>#NUM!</v>
      </c>
      <c r="T54" s="41" t="e">
        <f t="shared" si="12"/>
        <v>#NUM!</v>
      </c>
    </row>
    <row r="55" spans="14:20">
      <c r="N55" s="1">
        <v>36000</v>
      </c>
      <c r="O55" s="41">
        <f t="shared" si="7"/>
        <v>855.17638476373725</v>
      </c>
      <c r="P55" s="41" t="e">
        <f t="shared" si="8"/>
        <v>#NUM!</v>
      </c>
      <c r="Q55" s="41" t="e">
        <f t="shared" si="9"/>
        <v>#NUM!</v>
      </c>
      <c r="R55" s="41" t="e">
        <f t="shared" si="10"/>
        <v>#NUM!</v>
      </c>
      <c r="S55" s="41" t="e">
        <f t="shared" si="11"/>
        <v>#NUM!</v>
      </c>
      <c r="T55" s="41" t="e">
        <f t="shared" si="12"/>
        <v>#NUM!</v>
      </c>
    </row>
    <row r="56" spans="14:20">
      <c r="N56" s="1">
        <v>36500</v>
      </c>
      <c r="O56" s="41">
        <f t="shared" si="7"/>
        <v>1220.5299705071495</v>
      </c>
      <c r="P56" s="41" t="e">
        <f t="shared" si="8"/>
        <v>#NUM!</v>
      </c>
      <c r="Q56" s="41" t="e">
        <f t="shared" si="9"/>
        <v>#NUM!</v>
      </c>
      <c r="R56" s="41" t="e">
        <f t="shared" si="10"/>
        <v>#NUM!</v>
      </c>
      <c r="S56" s="41" t="e">
        <f t="shared" si="11"/>
        <v>#NUM!</v>
      </c>
      <c r="T56" s="41" t="e">
        <f t="shared" si="12"/>
        <v>#NUM!</v>
      </c>
    </row>
    <row r="57" spans="14:20">
      <c r="N57" s="1">
        <v>37000</v>
      </c>
      <c r="O57" s="41">
        <f t="shared" si="7"/>
        <v>1815.0403666788625</v>
      </c>
      <c r="P57" s="41" t="e">
        <f t="shared" si="8"/>
        <v>#NUM!</v>
      </c>
      <c r="Q57" s="41" t="e">
        <f t="shared" si="9"/>
        <v>#NUM!</v>
      </c>
      <c r="R57" s="41" t="e">
        <f t="shared" si="10"/>
        <v>#NUM!</v>
      </c>
      <c r="S57" s="41" t="e">
        <f t="shared" si="11"/>
        <v>#NUM!</v>
      </c>
      <c r="T57" s="41" t="e">
        <f t="shared" si="12"/>
        <v>#NUM!</v>
      </c>
    </row>
    <row r="58" spans="14:20">
      <c r="N58" s="1">
        <v>37500</v>
      </c>
      <c r="O58" s="41">
        <f t="shared" si="7"/>
        <v>2846.4011650074558</v>
      </c>
      <c r="P58" s="41" t="e">
        <f t="shared" si="8"/>
        <v>#NUM!</v>
      </c>
      <c r="Q58" s="41" t="e">
        <f t="shared" si="9"/>
        <v>#NUM!</v>
      </c>
      <c r="R58" s="41" t="e">
        <f t="shared" si="10"/>
        <v>#NUM!</v>
      </c>
      <c r="S58" s="41" t="e">
        <f t="shared" si="11"/>
        <v>#NUM!</v>
      </c>
      <c r="T58" s="41" t="e">
        <f t="shared" si="12"/>
        <v>#NUM!</v>
      </c>
    </row>
    <row r="59" spans="14:20">
      <c r="N59" s="1">
        <v>38000</v>
      </c>
      <c r="O59" s="41">
        <f t="shared" si="7"/>
        <v>4793.6538800706694</v>
      </c>
      <c r="P59" s="41" t="e">
        <f t="shared" si="8"/>
        <v>#NUM!</v>
      </c>
      <c r="Q59" s="41" t="e">
        <f t="shared" ref="Q59:Q63" si="13">(($G$5*EXP($H$5*$M$13)*((N59-$D$5)/($E$5-$D$5))^$F$5)/(1-((N59-$D$5)/($E$5-$D$5))))^(1/(1-$F$5))</f>
        <v>#NUM!</v>
      </c>
      <c r="R59" s="41" t="e">
        <f t="shared" si="10"/>
        <v>#NUM!</v>
      </c>
      <c r="S59" s="41" t="e">
        <f t="shared" si="11"/>
        <v>#NUM!</v>
      </c>
      <c r="T59" s="41" t="e">
        <f t="shared" si="12"/>
        <v>#NUM!</v>
      </c>
    </row>
    <row r="60" spans="14:20">
      <c r="N60" s="1">
        <v>38500</v>
      </c>
      <c r="O60" s="41">
        <f t="shared" si="7"/>
        <v>8927.6232758591723</v>
      </c>
      <c r="P60" s="41" t="e">
        <f t="shared" si="8"/>
        <v>#NUM!</v>
      </c>
      <c r="Q60" s="41" t="e">
        <f t="shared" si="13"/>
        <v>#NUM!</v>
      </c>
      <c r="R60" s="41" t="e">
        <f t="shared" si="10"/>
        <v>#NUM!</v>
      </c>
      <c r="S60" s="41" t="e">
        <f t="shared" si="11"/>
        <v>#NUM!</v>
      </c>
      <c r="T60" s="41" t="e">
        <f t="shared" si="12"/>
        <v>#NUM!</v>
      </c>
    </row>
    <row r="61" spans="14:20">
      <c r="N61" s="1">
        <v>39000</v>
      </c>
      <c r="O61" s="41">
        <f t="shared" si="7"/>
        <v>19369.576721733065</v>
      </c>
      <c r="P61" s="41" t="e">
        <f t="shared" si="8"/>
        <v>#NUM!</v>
      </c>
      <c r="Q61" s="41" t="e">
        <f t="shared" si="13"/>
        <v>#NUM!</v>
      </c>
      <c r="R61" s="41" t="e">
        <f t="shared" si="10"/>
        <v>#NUM!</v>
      </c>
      <c r="S61" s="41" t="e">
        <f t="shared" si="11"/>
        <v>#NUM!</v>
      </c>
      <c r="T61" s="41" t="e">
        <f t="shared" si="12"/>
        <v>#NUM!</v>
      </c>
    </row>
    <row r="62" spans="14:20">
      <c r="N62" s="1">
        <v>39500</v>
      </c>
      <c r="O62" s="41">
        <f t="shared" si="7"/>
        <v>54479.455098391431</v>
      </c>
      <c r="P62" s="41" t="e">
        <f t="shared" si="8"/>
        <v>#NUM!</v>
      </c>
      <c r="Q62" s="41" t="e">
        <f t="shared" si="13"/>
        <v>#NUM!</v>
      </c>
      <c r="R62" s="41" t="e">
        <f t="shared" si="10"/>
        <v>#NUM!</v>
      </c>
      <c r="S62" s="41" t="e">
        <f t="shared" si="11"/>
        <v>#NUM!</v>
      </c>
      <c r="T62" s="41" t="e">
        <f t="shared" si="12"/>
        <v>#NUM!</v>
      </c>
    </row>
    <row r="63" spans="14:20">
      <c r="N63" s="1">
        <v>40000</v>
      </c>
      <c r="O63" s="41">
        <f t="shared" si="7"/>
        <v>263579.27943008154</v>
      </c>
      <c r="P63" s="41" t="e">
        <f t="shared" si="8"/>
        <v>#NUM!</v>
      </c>
      <c r="Q63" s="41" t="e">
        <f t="shared" si="13"/>
        <v>#NUM!</v>
      </c>
      <c r="R63" s="41" t="e">
        <f t="shared" si="10"/>
        <v>#NUM!</v>
      </c>
      <c r="S63" s="41" t="e">
        <f t="shared" si="11"/>
        <v>#NUM!</v>
      </c>
      <c r="T63" s="41" t="e">
        <f t="shared" si="12"/>
        <v>#NUM!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79E2-2148-46F8-87E8-3873C24B0B9E}">
  <dimension ref="C4:E8"/>
  <sheetViews>
    <sheetView workbookViewId="0">
      <selection activeCell="E5" sqref="E5"/>
    </sheetView>
  </sheetViews>
  <sheetFormatPr defaultRowHeight="15"/>
  <sheetData>
    <row r="4" spans="3:5">
      <c r="C4" s="33">
        <v>10</v>
      </c>
      <c r="D4" s="36">
        <v>5</v>
      </c>
      <c r="E4" s="33">
        <v>25719.267577999999</v>
      </c>
    </row>
    <row r="5" spans="3:5">
      <c r="C5" s="40">
        <v>15</v>
      </c>
      <c r="D5" s="36">
        <v>5</v>
      </c>
      <c r="E5" s="40">
        <v>24400</v>
      </c>
    </row>
    <row r="6" spans="3:5">
      <c r="C6" s="33">
        <v>20</v>
      </c>
      <c r="D6" s="36">
        <v>5</v>
      </c>
      <c r="E6" s="33">
        <v>19054.482422000001</v>
      </c>
    </row>
    <row r="7" spans="3:5">
      <c r="C7" s="40">
        <v>25</v>
      </c>
      <c r="D7" s="36">
        <v>5</v>
      </c>
      <c r="E7" s="40"/>
    </row>
    <row r="8" spans="3:5">
      <c r="C8" s="33">
        <v>30</v>
      </c>
      <c r="D8" s="36">
        <v>5</v>
      </c>
      <c r="E8" s="33">
        <v>10574.318359000001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AG1</vt:lpstr>
      <vt:lpstr>AG2</vt:lpstr>
      <vt:lpstr>BG1</vt:lpstr>
      <vt:lpstr>BG2</vt:lpstr>
      <vt:lpstr>CG1</vt:lpstr>
      <vt:lpstr>CG2</vt:lpstr>
      <vt:lpstr>Summary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Péter Primusz</cp:lastModifiedBy>
  <dcterms:created xsi:type="dcterms:W3CDTF">2019-04-17T15:23:58Z</dcterms:created>
  <dcterms:modified xsi:type="dcterms:W3CDTF">2023-05-19T11:01:17Z</dcterms:modified>
</cp:coreProperties>
</file>