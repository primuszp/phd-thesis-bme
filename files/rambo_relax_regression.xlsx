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9a9013d9089981/Kutatás/doktori/files/"/>
    </mc:Choice>
  </mc:AlternateContent>
  <xr:revisionPtr revIDLastSave="311" documentId="13_ncr:1_{017EE1A1-4466-4B0D-A587-75AA2801E82C}" xr6:coauthVersionLast="47" xr6:coauthVersionMax="47" xr10:uidLastSave="{348ABA72-2983-4CCB-B356-81E1EC3A6F8E}"/>
  <bookViews>
    <workbookView xWindow="-120" yWindow="-120" windowWidth="29040" windowHeight="17640" xr2:uid="{84A52950-E9C8-4942-B469-D455988DAC92}"/>
  </bookViews>
  <sheets>
    <sheet name="TEST" sheetId="15" r:id="rId1"/>
    <sheet name="S-curve" sheetId="16" r:id="rId2"/>
    <sheet name="DATA" sheetId="22" r:id="rId3"/>
    <sheet name="Munka6" sheetId="39" r:id="rId4"/>
    <sheet name="E-Stat1" sheetId="38" r:id="rId5"/>
    <sheet name="E-Stat2" sheetId="37" r:id="rId6"/>
    <sheet name="D-Stat1" sheetId="34" r:id="rId7"/>
    <sheet name="D-Stat2" sheetId="35" r:id="rId8"/>
  </sheets>
  <definedNames>
    <definedName name="solver_adj" localSheetId="2" hidden="1">DATA!$P$2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2" hidden="1">1</definedName>
    <definedName name="solver_eng" localSheetId="2" hidden="1">1</definedName>
    <definedName name="solver_itr" localSheetId="2" hidden="1">2147483647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opt" localSheetId="2" hidden="1">DATA!$P$5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5" l="1"/>
  <c r="F2" i="15"/>
  <c r="F3" i="15" s="1"/>
  <c r="L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74" i="22"/>
  <c r="K75" i="22"/>
  <c r="K76" i="22"/>
  <c r="K77" i="22"/>
  <c r="K78" i="22"/>
  <c r="K79" i="22"/>
  <c r="K80" i="22"/>
  <c r="K81" i="22"/>
  <c r="K82" i="22"/>
  <c r="K83" i="22"/>
  <c r="K84" i="22"/>
  <c r="K85" i="22"/>
  <c r="K86" i="22"/>
  <c r="K87" i="22"/>
  <c r="K88" i="22"/>
  <c r="K89" i="22"/>
  <c r="K90" i="22"/>
  <c r="K91" i="22"/>
  <c r="K92" i="22"/>
  <c r="K93" i="22"/>
  <c r="K94" i="22"/>
  <c r="K95" i="22"/>
  <c r="K96" i="22"/>
  <c r="K97" i="22"/>
  <c r="K98" i="22"/>
  <c r="K99" i="22"/>
  <c r="K100" i="22"/>
  <c r="K101" i="22"/>
  <c r="K102" i="22"/>
  <c r="K103" i="22"/>
  <c r="K104" i="22"/>
  <c r="K105" i="22"/>
  <c r="K106" i="22"/>
  <c r="K107" i="22"/>
  <c r="K108" i="22"/>
  <c r="K109" i="22"/>
  <c r="K110" i="22"/>
  <c r="K111" i="22"/>
  <c r="K112" i="22"/>
  <c r="K113" i="22"/>
  <c r="K114" i="22"/>
  <c r="K115" i="22"/>
  <c r="K116" i="22"/>
  <c r="K117" i="22"/>
  <c r="K118" i="22"/>
  <c r="K119" i="22"/>
  <c r="K120" i="22"/>
  <c r="K121" i="22"/>
  <c r="K122" i="22"/>
  <c r="K123" i="22"/>
  <c r="K124" i="22"/>
  <c r="K125" i="22"/>
  <c r="K126" i="22"/>
  <c r="K127" i="22"/>
  <c r="K128" i="22"/>
  <c r="K129" i="22"/>
  <c r="K130" i="22"/>
  <c r="K131" i="22"/>
  <c r="K132" i="22"/>
  <c r="K133" i="22"/>
  <c r="K134" i="22"/>
  <c r="K135" i="22"/>
  <c r="K136" i="22"/>
  <c r="K137" i="22"/>
  <c r="K138" i="22"/>
  <c r="K139" i="22"/>
  <c r="K140" i="22"/>
  <c r="K141" i="22"/>
  <c r="K142" i="22"/>
  <c r="K143" i="22"/>
  <c r="K144" i="22"/>
  <c r="K145" i="22"/>
  <c r="K146" i="22"/>
  <c r="K147" i="22"/>
  <c r="K148" i="22"/>
  <c r="K149" i="22"/>
  <c r="K150" i="22"/>
  <c r="K151" i="22"/>
  <c r="K152" i="22"/>
  <c r="K153" i="22"/>
  <c r="K154" i="22"/>
  <c r="K155" i="22"/>
  <c r="K156" i="22"/>
  <c r="K157" i="22"/>
  <c r="K158" i="22"/>
  <c r="K159" i="22"/>
  <c r="K160" i="22"/>
  <c r="K161" i="22"/>
  <c r="K162" i="22"/>
  <c r="K163" i="22"/>
  <c r="K164" i="22"/>
  <c r="K165" i="22"/>
  <c r="K166" i="22"/>
  <c r="K167" i="22"/>
  <c r="K168" i="22"/>
  <c r="K169" i="22"/>
  <c r="K170" i="22"/>
  <c r="K171" i="22"/>
  <c r="K172" i="22"/>
  <c r="K173" i="22"/>
  <c r="K174" i="22"/>
  <c r="K175" i="22"/>
  <c r="K176" i="22"/>
  <c r="K177" i="22"/>
  <c r="K178" i="22"/>
  <c r="K179" i="22"/>
  <c r="K180" i="22"/>
  <c r="K181" i="22"/>
  <c r="K182" i="22"/>
  <c r="K183" i="22"/>
  <c r="K184" i="22"/>
  <c r="K185" i="22"/>
  <c r="K186" i="22"/>
  <c r="K187" i="22"/>
  <c r="K188" i="22"/>
  <c r="K189" i="22"/>
  <c r="K190" i="22"/>
  <c r="K191" i="22"/>
  <c r="K192" i="22"/>
  <c r="K193" i="22"/>
  <c r="K194" i="22"/>
  <c r="K195" i="22"/>
  <c r="K196" i="22"/>
  <c r="K197" i="22"/>
  <c r="K198" i="22"/>
  <c r="K199" i="22"/>
  <c r="K200" i="22"/>
  <c r="K201" i="22"/>
  <c r="K202" i="22"/>
  <c r="K203" i="22"/>
  <c r="K204" i="22"/>
  <c r="K205" i="22"/>
  <c r="K206" i="22"/>
  <c r="K207" i="22"/>
  <c r="K208" i="22"/>
  <c r="K209" i="22"/>
  <c r="K210" i="22"/>
  <c r="K211" i="22"/>
  <c r="K212" i="22"/>
  <c r="K213" i="22"/>
  <c r="K214" i="22"/>
  <c r="K215" i="22"/>
  <c r="K216" i="22"/>
  <c r="K217" i="22"/>
  <c r="K218" i="22"/>
  <c r="K219" i="22"/>
  <c r="K220" i="22"/>
  <c r="K221" i="22"/>
  <c r="K222" i="22"/>
  <c r="K223" i="22"/>
  <c r="K224" i="22"/>
  <c r="K225" i="22"/>
  <c r="K226" i="22"/>
  <c r="K227" i="22"/>
  <c r="K228" i="22"/>
  <c r="K229" i="22"/>
  <c r="K230" i="22"/>
  <c r="K231" i="22"/>
  <c r="K232" i="22"/>
  <c r="K233" i="22"/>
  <c r="K234" i="22"/>
  <c r="K235" i="22"/>
  <c r="K236" i="22"/>
  <c r="K237" i="22"/>
  <c r="K238" i="22"/>
  <c r="K239" i="22"/>
  <c r="K240" i="22"/>
  <c r="K241" i="22"/>
  <c r="K242" i="22"/>
  <c r="K243" i="22"/>
  <c r="K244" i="22"/>
  <c r="K245" i="22"/>
  <c r="K246" i="22"/>
  <c r="K247" i="22"/>
  <c r="K248" i="22"/>
  <c r="K249" i="22"/>
  <c r="K250" i="22"/>
  <c r="K251" i="22"/>
  <c r="K252" i="22"/>
  <c r="K253" i="22"/>
  <c r="K254" i="22"/>
  <c r="K255" i="22"/>
  <c r="K256" i="22"/>
  <c r="K257" i="22"/>
  <c r="K258" i="22"/>
  <c r="K259" i="22"/>
  <c r="K260" i="22"/>
  <c r="K261" i="22"/>
  <c r="K262" i="22"/>
  <c r="K263" i="22"/>
  <c r="K264" i="22"/>
  <c r="K265" i="22"/>
  <c r="K266" i="22"/>
  <c r="K267" i="22"/>
  <c r="K268" i="22"/>
  <c r="K269" i="22"/>
  <c r="K270" i="22"/>
  <c r="K271" i="22"/>
  <c r="K272" i="22"/>
  <c r="K273" i="22"/>
  <c r="K274" i="22"/>
  <c r="K275" i="22"/>
  <c r="K276" i="22"/>
  <c r="K277" i="22"/>
  <c r="K278" i="22"/>
  <c r="K279" i="22"/>
  <c r="K280" i="22"/>
  <c r="K281" i="22"/>
  <c r="K282" i="22"/>
  <c r="K283" i="22"/>
  <c r="K284" i="22"/>
  <c r="K285" i="22"/>
  <c r="K286" i="22"/>
  <c r="K287" i="22"/>
  <c r="K288" i="22"/>
  <c r="K289" i="22"/>
  <c r="K290" i="22"/>
  <c r="K291" i="22"/>
  <c r="K292" i="22"/>
  <c r="K293" i="22"/>
  <c r="K294" i="22"/>
  <c r="K295" i="22"/>
  <c r="K296" i="22"/>
  <c r="K297" i="22"/>
  <c r="K298" i="22"/>
  <c r="K299" i="22"/>
  <c r="K300" i="22"/>
  <c r="K301" i="22"/>
  <c r="K302" i="22"/>
  <c r="K303" i="22"/>
  <c r="K304" i="22"/>
  <c r="K305" i="22"/>
  <c r="K306" i="22"/>
  <c r="K307" i="22"/>
  <c r="K308" i="22"/>
  <c r="K309" i="22"/>
  <c r="K310" i="22"/>
  <c r="K311" i="22"/>
  <c r="K312" i="22"/>
  <c r="K313" i="22"/>
  <c r="K314" i="22"/>
  <c r="K315" i="22"/>
  <c r="K316" i="22"/>
  <c r="K317" i="22"/>
  <c r="K318" i="22"/>
  <c r="K319" i="22"/>
  <c r="K320" i="22"/>
  <c r="K321" i="22"/>
  <c r="K322" i="22"/>
  <c r="K323" i="22"/>
  <c r="K324" i="22"/>
  <c r="K325" i="22"/>
  <c r="K326" i="22"/>
  <c r="K327" i="22"/>
  <c r="K328" i="22"/>
  <c r="K329" i="22"/>
  <c r="K330" i="22"/>
  <c r="K331" i="22"/>
  <c r="K332" i="22"/>
  <c r="K333" i="22"/>
  <c r="K334" i="22"/>
  <c r="K335" i="22"/>
  <c r="K336" i="22"/>
  <c r="K337" i="22"/>
  <c r="K338" i="22"/>
  <c r="K339" i="22"/>
  <c r="K340" i="22"/>
  <c r="K341" i="22"/>
  <c r="K342" i="22"/>
  <c r="K343" i="22"/>
  <c r="K344" i="22"/>
  <c r="K345" i="22"/>
  <c r="K346" i="22"/>
  <c r="K347" i="22"/>
  <c r="K348" i="22"/>
  <c r="K349" i="22"/>
  <c r="K350" i="22"/>
  <c r="K351" i="22"/>
  <c r="K352" i="22"/>
  <c r="K353" i="22"/>
  <c r="K354" i="22"/>
  <c r="K355" i="22"/>
  <c r="K356" i="22"/>
  <c r="K357" i="22"/>
  <c r="K358" i="22"/>
  <c r="K359" i="22"/>
  <c r="K360" i="22"/>
  <c r="K361" i="22"/>
  <c r="K362" i="22"/>
  <c r="K363" i="22"/>
  <c r="K364" i="22"/>
  <c r="K365" i="22"/>
  <c r="K366" i="22"/>
  <c r="K367" i="22"/>
  <c r="K368" i="22"/>
  <c r="K369" i="22"/>
  <c r="K370" i="22"/>
  <c r="K371" i="22"/>
  <c r="K372" i="22"/>
  <c r="K373" i="22"/>
  <c r="K374" i="22"/>
  <c r="K375" i="22"/>
  <c r="K376" i="22"/>
  <c r="K377" i="22"/>
  <c r="K378" i="22"/>
  <c r="K379" i="22"/>
  <c r="K380" i="22"/>
  <c r="K381" i="22"/>
  <c r="K382" i="22"/>
  <c r="K383" i="22"/>
  <c r="K384" i="22"/>
  <c r="K385" i="22"/>
  <c r="K386" i="22"/>
  <c r="K387" i="22"/>
  <c r="K388" i="22"/>
  <c r="K389" i="22"/>
  <c r="K390" i="22"/>
  <c r="K391" i="22"/>
  <c r="K392" i="22"/>
  <c r="K393" i="22"/>
  <c r="K394" i="22"/>
  <c r="K395" i="22"/>
  <c r="K396" i="22"/>
  <c r="K397" i="22"/>
  <c r="K398" i="22"/>
  <c r="K399" i="22"/>
  <c r="K400" i="22"/>
  <c r="K401" i="22"/>
  <c r="K2" i="22"/>
  <c r="O6" i="22"/>
  <c r="P6" i="22"/>
  <c r="Q6" i="22"/>
  <c r="R6" i="22"/>
  <c r="N6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5" i="22"/>
  <c r="J126" i="22"/>
  <c r="J127" i="22"/>
  <c r="J128" i="22"/>
  <c r="J129" i="22"/>
  <c r="J130" i="22"/>
  <c r="J131" i="22"/>
  <c r="J132" i="22"/>
  <c r="J133" i="22"/>
  <c r="J134" i="22"/>
  <c r="J135" i="22"/>
  <c r="J136" i="22"/>
  <c r="J137" i="22"/>
  <c r="J138" i="22"/>
  <c r="J139" i="22"/>
  <c r="J140" i="22"/>
  <c r="J141" i="22"/>
  <c r="J142" i="22"/>
  <c r="J143" i="22"/>
  <c r="J144" i="22"/>
  <c r="J145" i="22"/>
  <c r="J146" i="22"/>
  <c r="J147" i="22"/>
  <c r="J148" i="22"/>
  <c r="J149" i="22"/>
  <c r="J150" i="22"/>
  <c r="J151" i="22"/>
  <c r="J152" i="22"/>
  <c r="J153" i="22"/>
  <c r="J154" i="22"/>
  <c r="J155" i="22"/>
  <c r="J156" i="22"/>
  <c r="J157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192" i="22"/>
  <c r="J193" i="22"/>
  <c r="J194" i="22"/>
  <c r="J195" i="22"/>
  <c r="J196" i="22"/>
  <c r="J197" i="22"/>
  <c r="J198" i="22"/>
  <c r="J199" i="22"/>
  <c r="J200" i="22"/>
  <c r="J201" i="22"/>
  <c r="J202" i="22"/>
  <c r="J203" i="22"/>
  <c r="J204" i="22"/>
  <c r="J205" i="22"/>
  <c r="J206" i="22"/>
  <c r="J207" i="22"/>
  <c r="J208" i="22"/>
  <c r="J209" i="22"/>
  <c r="J210" i="22"/>
  <c r="J211" i="22"/>
  <c r="J212" i="22"/>
  <c r="J213" i="22"/>
  <c r="J214" i="22"/>
  <c r="J215" i="22"/>
  <c r="J216" i="22"/>
  <c r="J217" i="22"/>
  <c r="J218" i="22"/>
  <c r="J219" i="22"/>
  <c r="J220" i="22"/>
  <c r="J221" i="22"/>
  <c r="J222" i="22"/>
  <c r="J223" i="22"/>
  <c r="J224" i="22"/>
  <c r="J225" i="22"/>
  <c r="J226" i="22"/>
  <c r="J227" i="22"/>
  <c r="J228" i="22"/>
  <c r="J229" i="22"/>
  <c r="J230" i="22"/>
  <c r="J231" i="22"/>
  <c r="J232" i="22"/>
  <c r="J233" i="22"/>
  <c r="J234" i="22"/>
  <c r="J235" i="22"/>
  <c r="J236" i="22"/>
  <c r="J237" i="22"/>
  <c r="J238" i="22"/>
  <c r="J239" i="22"/>
  <c r="J240" i="22"/>
  <c r="J241" i="22"/>
  <c r="J242" i="22"/>
  <c r="J243" i="22"/>
  <c r="J244" i="22"/>
  <c r="J245" i="22"/>
  <c r="J246" i="22"/>
  <c r="J247" i="22"/>
  <c r="J248" i="22"/>
  <c r="J249" i="22"/>
  <c r="J250" i="22"/>
  <c r="J251" i="22"/>
  <c r="J252" i="22"/>
  <c r="J253" i="22"/>
  <c r="J254" i="22"/>
  <c r="J255" i="22"/>
  <c r="J256" i="22"/>
  <c r="J257" i="22"/>
  <c r="J258" i="22"/>
  <c r="J259" i="22"/>
  <c r="J260" i="22"/>
  <c r="J261" i="22"/>
  <c r="J262" i="22"/>
  <c r="J263" i="22"/>
  <c r="J264" i="22"/>
  <c r="J265" i="22"/>
  <c r="J266" i="22"/>
  <c r="J267" i="22"/>
  <c r="J268" i="22"/>
  <c r="J269" i="22"/>
  <c r="J270" i="22"/>
  <c r="J271" i="22"/>
  <c r="J272" i="22"/>
  <c r="J273" i="22"/>
  <c r="J274" i="22"/>
  <c r="J275" i="22"/>
  <c r="J276" i="22"/>
  <c r="J277" i="22"/>
  <c r="J278" i="22"/>
  <c r="J279" i="22"/>
  <c r="J280" i="22"/>
  <c r="J281" i="22"/>
  <c r="J282" i="22"/>
  <c r="J283" i="22"/>
  <c r="J284" i="22"/>
  <c r="J285" i="22"/>
  <c r="J286" i="22"/>
  <c r="J287" i="22"/>
  <c r="J288" i="22"/>
  <c r="J289" i="22"/>
  <c r="J290" i="22"/>
  <c r="J291" i="22"/>
  <c r="J292" i="22"/>
  <c r="J293" i="22"/>
  <c r="J294" i="22"/>
  <c r="J295" i="22"/>
  <c r="J296" i="22"/>
  <c r="J297" i="22"/>
  <c r="J298" i="22"/>
  <c r="J299" i="22"/>
  <c r="J300" i="22"/>
  <c r="J301" i="22"/>
  <c r="J302" i="22"/>
  <c r="J303" i="22"/>
  <c r="J304" i="22"/>
  <c r="J305" i="22"/>
  <c r="J306" i="22"/>
  <c r="J307" i="22"/>
  <c r="J308" i="22"/>
  <c r="J309" i="22"/>
  <c r="J310" i="22"/>
  <c r="J311" i="22"/>
  <c r="J312" i="22"/>
  <c r="J313" i="22"/>
  <c r="J314" i="22"/>
  <c r="J315" i="22"/>
  <c r="J316" i="22"/>
  <c r="J317" i="22"/>
  <c r="J318" i="22"/>
  <c r="J319" i="22"/>
  <c r="J320" i="22"/>
  <c r="J321" i="22"/>
  <c r="J322" i="22"/>
  <c r="J323" i="22"/>
  <c r="J324" i="22"/>
  <c r="J325" i="22"/>
  <c r="J326" i="22"/>
  <c r="J327" i="22"/>
  <c r="J328" i="22"/>
  <c r="J329" i="22"/>
  <c r="J330" i="22"/>
  <c r="J331" i="22"/>
  <c r="J332" i="22"/>
  <c r="J333" i="22"/>
  <c r="J334" i="22"/>
  <c r="J335" i="22"/>
  <c r="J336" i="22"/>
  <c r="J337" i="22"/>
  <c r="J338" i="22"/>
  <c r="J339" i="22"/>
  <c r="J340" i="22"/>
  <c r="J341" i="22"/>
  <c r="J342" i="22"/>
  <c r="J343" i="22"/>
  <c r="J344" i="22"/>
  <c r="J345" i="22"/>
  <c r="J346" i="22"/>
  <c r="J347" i="22"/>
  <c r="J348" i="22"/>
  <c r="J349" i="22"/>
  <c r="J350" i="22"/>
  <c r="J351" i="22"/>
  <c r="J352" i="22"/>
  <c r="J353" i="22"/>
  <c r="J354" i="22"/>
  <c r="J355" i="22"/>
  <c r="J356" i="22"/>
  <c r="J357" i="22"/>
  <c r="J358" i="22"/>
  <c r="J359" i="22"/>
  <c r="J360" i="22"/>
  <c r="J361" i="22"/>
  <c r="J362" i="22"/>
  <c r="J363" i="22"/>
  <c r="J364" i="22"/>
  <c r="J365" i="22"/>
  <c r="J366" i="22"/>
  <c r="J367" i="22"/>
  <c r="J368" i="22"/>
  <c r="J369" i="22"/>
  <c r="J370" i="22"/>
  <c r="J371" i="22"/>
  <c r="J372" i="22"/>
  <c r="J373" i="22"/>
  <c r="J374" i="22"/>
  <c r="J375" i="22"/>
  <c r="J376" i="22"/>
  <c r="J377" i="22"/>
  <c r="J378" i="22"/>
  <c r="J379" i="22"/>
  <c r="J380" i="22"/>
  <c r="J381" i="22"/>
  <c r="J382" i="22"/>
  <c r="J383" i="22"/>
  <c r="J384" i="22"/>
  <c r="J385" i="22"/>
  <c r="J386" i="22"/>
  <c r="J387" i="22"/>
  <c r="J388" i="22"/>
  <c r="J389" i="22"/>
  <c r="J390" i="22"/>
  <c r="J391" i="22"/>
  <c r="J392" i="22"/>
  <c r="J393" i="22"/>
  <c r="J394" i="22"/>
  <c r="J395" i="22"/>
  <c r="J396" i="22"/>
  <c r="J397" i="22"/>
  <c r="J398" i="22"/>
  <c r="J399" i="22"/>
  <c r="J400" i="22"/>
  <c r="J401" i="22"/>
  <c r="J3" i="22"/>
  <c r="J2" i="22"/>
  <c r="N3" i="22"/>
  <c r="G4" i="15" l="1"/>
  <c r="F4" i="15"/>
  <c r="F5" i="15" s="1"/>
  <c r="R4" i="22"/>
  <c r="R5" i="22" s="1"/>
  <c r="Q4" i="22"/>
  <c r="Q5" i="22" s="1"/>
  <c r="P4" i="22"/>
  <c r="P5" i="22" s="1"/>
  <c r="O4" i="22"/>
  <c r="O5" i="22" s="1"/>
  <c r="N4" i="22"/>
  <c r="N5" i="22" s="1"/>
  <c r="R3" i="22"/>
  <c r="Q3" i="22"/>
  <c r="P3" i="22"/>
  <c r="O3" i="22"/>
  <c r="A3" i="22" l="1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2" i="22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E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2" i="16"/>
  <c r="E16" i="16" l="1"/>
</calcChain>
</file>

<file path=xl/sharedStrings.xml><?xml version="1.0" encoding="utf-8"?>
<sst xmlns="http://schemas.openxmlformats.org/spreadsheetml/2006/main" count="155" uniqueCount="49">
  <si>
    <t>R</t>
  </si>
  <si>
    <t>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</si>
  <si>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</si>
  <si>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</si>
  <si>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</si>
  <si>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</si>
  <si>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</si>
  <si>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</si>
  <si>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</si>
  <si>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</si>
  <si>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</si>
  <si>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</si>
  <si>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</si>
  <si>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</si>
  <si>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</si>
  <si>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</si>
  <si>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</si>
  <si>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</si>
  <si>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</si>
  <si>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</si>
  <si>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</si>
  <si>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</si>
  <si>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</si>
  <si>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</si>
  <si>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X Variable 1</t>
  </si>
  <si>
    <t>X Variable 2</t>
  </si>
  <si>
    <t>RESIDUAL OUTPUT</t>
  </si>
  <si>
    <t>Observation</t>
  </si>
  <si>
    <t>Predicted Y</t>
  </si>
  <si>
    <t>Residuals</t>
  </si>
  <si>
    <t>E_e</t>
  </si>
  <si>
    <t>E_g</t>
  </si>
  <si>
    <t>En</t>
  </si>
  <si>
    <t>E</t>
  </si>
  <si>
    <t>f</t>
  </si>
  <si>
    <t>t</t>
  </si>
  <si>
    <t>E(t)</t>
  </si>
  <si>
    <t>Ee</t>
  </si>
  <si>
    <t>Eg</t>
  </si>
  <si>
    <t>1-R</t>
  </si>
  <si>
    <r>
      <t>R</t>
    </r>
    <r>
      <rPr>
        <b/>
        <vertAlign val="superscript"/>
        <sz val="12"/>
        <color theme="1"/>
        <rFont val="Calibri (Szövegtörzs)"/>
        <charset val="238"/>
      </rPr>
      <t>2</t>
    </r>
  </si>
  <si>
    <r>
      <t>d</t>
    </r>
    <r>
      <rPr>
        <b/>
        <vertAlign val="subscript"/>
        <sz val="12"/>
        <color theme="1"/>
        <rFont val="Calibri (Szövegtörzs)"/>
        <charset val="238"/>
      </rPr>
      <t>3</t>
    </r>
  </si>
  <si>
    <t>Lower 95.0%</t>
  </si>
  <si>
    <t>Upper 95.0%</t>
  </si>
  <si>
    <t>Standard Residuals</t>
  </si>
  <si>
    <r>
      <t>k</t>
    </r>
    <r>
      <rPr>
        <b/>
        <vertAlign val="subscript"/>
        <sz val="12"/>
        <color theme="1"/>
        <rFont val="Calibri (Szövegtörzs)"/>
        <charset val="238"/>
      </rPr>
      <t>c</t>
    </r>
  </si>
  <si>
    <t>⍺</t>
  </si>
  <si>
    <r>
      <t>k</t>
    </r>
    <r>
      <rPr>
        <b/>
        <vertAlign val="subscript"/>
        <sz val="12"/>
        <color theme="1"/>
        <rFont val="Calibri (Szövegtörzs)"/>
        <charset val="238"/>
      </rPr>
      <t>r</t>
    </r>
  </si>
  <si>
    <t>Kweon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</si>
</sst>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"/>
  </numFmts>
  <fonts count="9">
    <font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vertAlign val="superscript"/>
      <sz val="12"/>
      <color theme="1"/>
      <name val="Calibri (Szövegtörzs)"/>
      <charset val="238"/>
    </font>
    <font>
      <b/>
      <vertAlign val="subscript"/>
      <sz val="12"/>
      <color theme="1"/>
      <name val="Calibri (Szövegtörzs)"/>
      <charset val="238"/>
    </font>
    <font>
      <b/>
      <sz val="12"/>
      <color theme="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6" fillId="2" borderId="3" applyNumberFormat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2" fontId="0" fillId="0" borderId="0" xfId="0" applyNumberFormat="1"/>
    <xf numFmtId="166" fontId="0" fillId="0" borderId="0" xfId="0" applyNumberFormat="1" applyAlignment="1">
      <alignment horizontal="center"/>
    </xf>
    <xf numFmtId="2" fontId="6" fillId="2" borderId="3" xfId="1" applyNumberFormat="1" applyAlignment="1">
      <alignment horizontal="center"/>
    </xf>
    <xf numFmtId="166" fontId="7" fillId="0" borderId="0" xfId="0" applyNumberFormat="1" applyFont="1" applyAlignment="1">
      <alignment horizontal="center"/>
    </xf>
    <xf numFmtId="0" fontId="8" fillId="0" borderId="0" xfId="0" applyFont="1"/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'S-curve'!$C$2:$C$16</c:f>
              <c:numCache>
                <c:formatCode>General</c:formatCode>
                <c:ptCount val="15"/>
                <c:pt idx="0">
                  <c:v>9.9999999999999995E-8</c:v>
                </c:pt>
                <c:pt idx="1">
                  <c:v>9.9999999999999995E-7</c:v>
                </c:pt>
                <c:pt idx="2">
                  <c:v>1.0000000000000001E-5</c:v>
                </c:pt>
                <c:pt idx="3">
                  <c:v>1E-4</c:v>
                </c:pt>
                <c:pt idx="4">
                  <c:v>1E-3</c:v>
                </c:pt>
                <c:pt idx="5">
                  <c:v>0.01</c:v>
                </c:pt>
                <c:pt idx="6">
                  <c:v>0.1</c:v>
                </c:pt>
                <c:pt idx="7">
                  <c:v>1</c:v>
                </c:pt>
                <c:pt idx="8">
                  <c:v>10</c:v>
                </c:pt>
                <c:pt idx="9">
                  <c:v>100</c:v>
                </c:pt>
                <c:pt idx="10">
                  <c:v>1000</c:v>
                </c:pt>
                <c:pt idx="11">
                  <c:v>10000</c:v>
                </c:pt>
                <c:pt idx="12">
                  <c:v>100000</c:v>
                </c:pt>
                <c:pt idx="13">
                  <c:v>1000000</c:v>
                </c:pt>
                <c:pt idx="14">
                  <c:v>10000000</c:v>
                </c:pt>
              </c:numCache>
            </c:numRef>
          </c:xVal>
          <c:yVal>
            <c:numRef>
              <c:f>'S-curve'!$D$2:$D$16</c:f>
              <c:numCache>
                <c:formatCode>General</c:formatCode>
                <c:ptCount val="15"/>
                <c:pt idx="0">
                  <c:v>29939.282036225621</c:v>
                </c:pt>
                <c:pt idx="1">
                  <c:v>29879.096091547784</c:v>
                </c:pt>
                <c:pt idx="2">
                  <c:v>29759.73193493954</c:v>
                </c:pt>
                <c:pt idx="3">
                  <c:v>29524.405820334232</c:v>
                </c:pt>
                <c:pt idx="4">
                  <c:v>29065.853149438379</c:v>
                </c:pt>
                <c:pt idx="5">
                  <c:v>28192.340010388201</c:v>
                </c:pt>
                <c:pt idx="6">
                  <c:v>26597.947129564327</c:v>
                </c:pt>
                <c:pt idx="7">
                  <c:v>23902.504535492179</c:v>
                </c:pt>
                <c:pt idx="8">
                  <c:v>19886.556556867046</c:v>
                </c:pt>
                <c:pt idx="9">
                  <c:v>14903.2080114293</c:v>
                </c:pt>
                <c:pt idx="10">
                  <c:v>9952.2710678408912</c:v>
                </c:pt>
                <c:pt idx="11">
                  <c:v>6009.0603869573461</c:v>
                </c:pt>
                <c:pt idx="12">
                  <c:v>3385.4192666559684</c:v>
                </c:pt>
                <c:pt idx="13">
                  <c:v>1842.0937749868187</c:v>
                </c:pt>
                <c:pt idx="14">
                  <c:v>999.24990692266363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87-0B46-A145-197129BB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354367"/>
        <c:axId val="1286343743"/>
      </c:scatterChart>
      <c:valAx>
        <c:axId val="12863543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86343743"/>
        <c:crosses val="autoZero"/>
        <c:crossBetween val="midCat"/>
      </c:valAx>
      <c:valAx>
        <c:axId val="12863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8635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438244749332505"/>
                  <c:y val="-0.104930704121188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DATA!$D$2:$D$401</c:f>
              <c:numCache>
                <c:formatCode>0.00</c:formatCode>
                <c:ptCount val="400"/>
                <c:pt idx="0">
                  <c:v>12.8519664309355</c:v>
                </c:pt>
                <c:pt idx="1">
                  <c:v>12.8519644448038</c:v>
                </c:pt>
                <c:pt idx="2">
                  <c:v>12.8519617164668</c:v>
                </c:pt>
                <c:pt idx="3">
                  <c:v>12.851958226062999</c:v>
                </c:pt>
                <c:pt idx="4">
                  <c:v>12.851953973255499</c:v>
                </c:pt>
                <c:pt idx="5">
                  <c:v>12.116853772320701</c:v>
                </c:pt>
                <c:pt idx="6">
                  <c:v>12.116819696222899</c:v>
                </c:pt>
                <c:pt idx="7">
                  <c:v>12.116773936759801</c:v>
                </c:pt>
                <c:pt idx="8">
                  <c:v>12.116716128764899</c:v>
                </c:pt>
                <c:pt idx="9">
                  <c:v>12.1166463402009</c:v>
                </c:pt>
                <c:pt idx="10">
                  <c:v>11.3967537143453</c:v>
                </c:pt>
                <c:pt idx="11">
                  <c:v>11.3962471492232</c:v>
                </c:pt>
                <c:pt idx="12">
                  <c:v>11.395602182307901</c:v>
                </c:pt>
                <c:pt idx="13">
                  <c:v>11.394813243178</c:v>
                </c:pt>
                <c:pt idx="14">
                  <c:v>11.393886951971</c:v>
                </c:pt>
                <c:pt idx="15">
                  <c:v>10.7047137654511</c:v>
                </c:pt>
                <c:pt idx="16">
                  <c:v>10.699110555975601</c:v>
                </c:pt>
                <c:pt idx="17">
                  <c:v>10.692915009521201</c:v>
                </c:pt>
                <c:pt idx="18">
                  <c:v>10.6860464422865</c:v>
                </c:pt>
                <c:pt idx="19">
                  <c:v>10.678621955143999</c:v>
                </c:pt>
                <c:pt idx="20">
                  <c:v>10.048911853917801</c:v>
                </c:pt>
                <c:pt idx="21">
                  <c:v>10.0213468764537</c:v>
                </c:pt>
                <c:pt idx="22">
                  <c:v>9.9986542805246792</c:v>
                </c:pt>
                <c:pt idx="23">
                  <c:v>9.9786677189138597</c:v>
                </c:pt>
                <c:pt idx="24">
                  <c:v>9.9607122222042896</c:v>
                </c:pt>
                <c:pt idx="25">
                  <c:v>12.851966441688401</c:v>
                </c:pt>
                <c:pt idx="26">
                  <c:v>12.851964440684499</c:v>
                </c:pt>
                <c:pt idx="27">
                  <c:v>12.851961715633299</c:v>
                </c:pt>
                <c:pt idx="28">
                  <c:v>12.8519582246361</c:v>
                </c:pt>
                <c:pt idx="29">
                  <c:v>12.8519539805677</c:v>
                </c:pt>
                <c:pt idx="30">
                  <c:v>12.1168537711624</c:v>
                </c:pt>
                <c:pt idx="31">
                  <c:v>12.1168196876851</c:v>
                </c:pt>
                <c:pt idx="32">
                  <c:v>12.116773934545799</c:v>
                </c:pt>
                <c:pt idx="33">
                  <c:v>12.116716126164601</c:v>
                </c:pt>
                <c:pt idx="34">
                  <c:v>12.1166463411429</c:v>
                </c:pt>
                <c:pt idx="35">
                  <c:v>11.396753699933999</c:v>
                </c:pt>
                <c:pt idx="36">
                  <c:v>11.396247144654</c:v>
                </c:pt>
                <c:pt idx="37">
                  <c:v>11.3956021855017</c:v>
                </c:pt>
                <c:pt idx="38">
                  <c:v>11.3948132369208</c:v>
                </c:pt>
                <c:pt idx="39">
                  <c:v>11.3938869390861</c:v>
                </c:pt>
                <c:pt idx="40">
                  <c:v>10.704713760949399</c:v>
                </c:pt>
                <c:pt idx="41">
                  <c:v>10.6991105555401</c:v>
                </c:pt>
                <c:pt idx="42">
                  <c:v>10.6929150078204</c:v>
                </c:pt>
                <c:pt idx="43">
                  <c:v>10.686046432386799</c:v>
                </c:pt>
                <c:pt idx="44">
                  <c:v>10.678621955871</c:v>
                </c:pt>
                <c:pt idx="45">
                  <c:v>10.048911854038399</c:v>
                </c:pt>
                <c:pt idx="46">
                  <c:v>10.0213468654535</c:v>
                </c:pt>
                <c:pt idx="47">
                  <c:v>9.9986542745026394</c:v>
                </c:pt>
                <c:pt idx="48">
                  <c:v>9.9786677180049992</c:v>
                </c:pt>
                <c:pt idx="49">
                  <c:v>9.9607122196218807</c:v>
                </c:pt>
                <c:pt idx="50">
                  <c:v>12.8519664375946</c:v>
                </c:pt>
                <c:pt idx="51">
                  <c:v>12.851964444349701</c:v>
                </c:pt>
                <c:pt idx="52">
                  <c:v>12.851961718711101</c:v>
                </c:pt>
                <c:pt idx="53">
                  <c:v>12.8519582295676</c:v>
                </c:pt>
                <c:pt idx="54">
                  <c:v>12.851953974998899</c:v>
                </c:pt>
                <c:pt idx="55">
                  <c:v>12.116853773599001</c:v>
                </c:pt>
                <c:pt idx="56">
                  <c:v>12.1168196951264</c:v>
                </c:pt>
                <c:pt idx="57">
                  <c:v>12.1167739436359</c:v>
                </c:pt>
                <c:pt idx="58">
                  <c:v>12.1167161228236</c:v>
                </c:pt>
                <c:pt idx="59">
                  <c:v>12.116646336075</c:v>
                </c:pt>
                <c:pt idx="60">
                  <c:v>11.3967536997305</c:v>
                </c:pt>
                <c:pt idx="61">
                  <c:v>11.396247145189299</c:v>
                </c:pt>
                <c:pt idx="62">
                  <c:v>11.3956021863749</c:v>
                </c:pt>
                <c:pt idx="63">
                  <c:v>11.394813232630799</c:v>
                </c:pt>
                <c:pt idx="64">
                  <c:v>11.3938869454603</c:v>
                </c:pt>
                <c:pt idx="65">
                  <c:v>10.7047137692332</c:v>
                </c:pt>
                <c:pt idx="66">
                  <c:v>10.6991105423284</c:v>
                </c:pt>
                <c:pt idx="67">
                  <c:v>10.6929150197758</c:v>
                </c:pt>
                <c:pt idx="68">
                  <c:v>10.686046436813401</c:v>
                </c:pt>
                <c:pt idx="69">
                  <c:v>10.678621952417201</c:v>
                </c:pt>
                <c:pt idx="70">
                  <c:v>10.048911867783801</c:v>
                </c:pt>
                <c:pt idx="71">
                  <c:v>10.021346872214099</c:v>
                </c:pt>
                <c:pt idx="72">
                  <c:v>9.9986542757576693</c:v>
                </c:pt>
                <c:pt idx="73">
                  <c:v>9.9786677241344908</c:v>
                </c:pt>
                <c:pt idx="74">
                  <c:v>9.96071222145601</c:v>
                </c:pt>
                <c:pt idx="75">
                  <c:v>12.851966444912399</c:v>
                </c:pt>
                <c:pt idx="76">
                  <c:v>12.851964442184199</c:v>
                </c:pt>
                <c:pt idx="77">
                  <c:v>12.8519617139392</c:v>
                </c:pt>
                <c:pt idx="78">
                  <c:v>12.8519582269761</c:v>
                </c:pt>
                <c:pt idx="79">
                  <c:v>12.851953980677701</c:v>
                </c:pt>
                <c:pt idx="80">
                  <c:v>12.1168537742738</c:v>
                </c:pt>
                <c:pt idx="81">
                  <c:v>12.116819693940601</c:v>
                </c:pt>
                <c:pt idx="82">
                  <c:v>12.1167739435766</c:v>
                </c:pt>
                <c:pt idx="83">
                  <c:v>12.116716126200499</c:v>
                </c:pt>
                <c:pt idx="84">
                  <c:v>12.116646336430801</c:v>
                </c:pt>
                <c:pt idx="85">
                  <c:v>11.396753700585601</c:v>
                </c:pt>
                <c:pt idx="86">
                  <c:v>11.396247144537</c:v>
                </c:pt>
                <c:pt idx="87">
                  <c:v>11.395602181857599</c:v>
                </c:pt>
                <c:pt idx="88">
                  <c:v>11.3948132290363</c:v>
                </c:pt>
                <c:pt idx="89">
                  <c:v>11.3938869454563</c:v>
                </c:pt>
                <c:pt idx="90">
                  <c:v>10.704713766421399</c:v>
                </c:pt>
                <c:pt idx="91">
                  <c:v>10.6991105543517</c:v>
                </c:pt>
                <c:pt idx="92">
                  <c:v>10.692915023007499</c:v>
                </c:pt>
                <c:pt idx="93">
                  <c:v>10.686046433047499</c:v>
                </c:pt>
                <c:pt idx="94">
                  <c:v>10.6786219516469</c:v>
                </c:pt>
                <c:pt idx="95">
                  <c:v>10.048911848538999</c:v>
                </c:pt>
                <c:pt idx="96">
                  <c:v>10.0213468631033</c:v>
                </c:pt>
                <c:pt idx="97">
                  <c:v>9.9986542690410705</c:v>
                </c:pt>
                <c:pt idx="98">
                  <c:v>9.9786677287451404</c:v>
                </c:pt>
                <c:pt idx="99">
                  <c:v>9.9607122126150394</c:v>
                </c:pt>
                <c:pt idx="100">
                  <c:v>12.8135232264364</c:v>
                </c:pt>
                <c:pt idx="101">
                  <c:v>12.8135210104415</c:v>
                </c:pt>
                <c:pt idx="102">
                  <c:v>12.813518079134999</c:v>
                </c:pt>
                <c:pt idx="103">
                  <c:v>12.8135143489323</c:v>
                </c:pt>
                <c:pt idx="104">
                  <c:v>12.813509813274701</c:v>
                </c:pt>
                <c:pt idx="105">
                  <c:v>12.083588194671901</c:v>
                </c:pt>
                <c:pt idx="106">
                  <c:v>12.083549626541499</c:v>
                </c:pt>
                <c:pt idx="107">
                  <c:v>12.083500592286599</c:v>
                </c:pt>
                <c:pt idx="108">
                  <c:v>12.083439399107</c:v>
                </c:pt>
                <c:pt idx="109">
                  <c:v>12.0833658637181</c:v>
                </c:pt>
                <c:pt idx="110">
                  <c:v>11.370598883853299</c:v>
                </c:pt>
                <c:pt idx="111">
                  <c:v>11.3700235825464</c:v>
                </c:pt>
                <c:pt idx="112">
                  <c:v>11.3693323015081</c:v>
                </c:pt>
                <c:pt idx="113">
                  <c:v>11.3685006824658</c:v>
                </c:pt>
                <c:pt idx="114">
                  <c:v>11.367530099011899</c:v>
                </c:pt>
                <c:pt idx="115">
                  <c:v>10.687483500413199</c:v>
                </c:pt>
                <c:pt idx="116">
                  <c:v>10.6813711442153</c:v>
                </c:pt>
                <c:pt idx="117">
                  <c:v>10.6747954439751</c:v>
                </c:pt>
                <c:pt idx="118">
                  <c:v>10.667579496282199</c:v>
                </c:pt>
                <c:pt idx="119">
                  <c:v>10.6598115122541</c:v>
                </c:pt>
                <c:pt idx="120">
                  <c:v>10.0418961566967</c:v>
                </c:pt>
                <c:pt idx="121">
                  <c:v>10.012933000459</c:v>
                </c:pt>
                <c:pt idx="122">
                  <c:v>9.9890369732273196</c:v>
                </c:pt>
                <c:pt idx="123">
                  <c:v>9.9679285122310102</c:v>
                </c:pt>
                <c:pt idx="124">
                  <c:v>9.94889118973955</c:v>
                </c:pt>
                <c:pt idx="125">
                  <c:v>12.819823258136299</c:v>
                </c:pt>
                <c:pt idx="126">
                  <c:v>12.819821068537699</c:v>
                </c:pt>
                <c:pt idx="127">
                  <c:v>12.819818151723901</c:v>
                </c:pt>
                <c:pt idx="128">
                  <c:v>12.819814469638899</c:v>
                </c:pt>
                <c:pt idx="129">
                  <c:v>12.8198099818476</c:v>
                </c:pt>
                <c:pt idx="130">
                  <c:v>12.089014784611599</c:v>
                </c:pt>
                <c:pt idx="131">
                  <c:v>12.0889765383869</c:v>
                </c:pt>
                <c:pt idx="132">
                  <c:v>12.088927872880999</c:v>
                </c:pt>
                <c:pt idx="133">
                  <c:v>12.088867180921801</c:v>
                </c:pt>
                <c:pt idx="134">
                  <c:v>12.0887942064464</c:v>
                </c:pt>
                <c:pt idx="135">
                  <c:v>11.374858489564801</c:v>
                </c:pt>
                <c:pt idx="136">
                  <c:v>11.3742906677397</c:v>
                </c:pt>
                <c:pt idx="137">
                  <c:v>11.373605069657399</c:v>
                </c:pt>
                <c:pt idx="138">
                  <c:v>11.372779324882501</c:v>
                </c:pt>
                <c:pt idx="139">
                  <c:v>11.3718152610601</c:v>
                </c:pt>
                <c:pt idx="140">
                  <c:v>10.690305120758399</c:v>
                </c:pt>
                <c:pt idx="141">
                  <c:v>10.6842695223616</c:v>
                </c:pt>
                <c:pt idx="142">
                  <c:v>10.677751393192301</c:v>
                </c:pt>
                <c:pt idx="143">
                  <c:v>10.670588754683701</c:v>
                </c:pt>
                <c:pt idx="144">
                  <c:v>10.662874102820799</c:v>
                </c:pt>
                <c:pt idx="145">
                  <c:v>10.0430558455965</c:v>
                </c:pt>
                <c:pt idx="146">
                  <c:v>10.0143206304448</c:v>
                </c:pt>
                <c:pt idx="147">
                  <c:v>9.9906200609445701</c:v>
                </c:pt>
                <c:pt idx="148">
                  <c:v>9.9696932826878708</c:v>
                </c:pt>
                <c:pt idx="149">
                  <c:v>9.9508307229625697</c:v>
                </c:pt>
                <c:pt idx="150">
                  <c:v>12.8243471967674</c:v>
                </c:pt>
                <c:pt idx="151">
                  <c:v>12.824345016640301</c:v>
                </c:pt>
                <c:pt idx="152">
                  <c:v>12.824342120911499</c:v>
                </c:pt>
                <c:pt idx="153">
                  <c:v>12.824338451545101</c:v>
                </c:pt>
                <c:pt idx="154">
                  <c:v>12.8243340108809</c:v>
                </c:pt>
                <c:pt idx="155">
                  <c:v>12.0929167691933</c:v>
                </c:pt>
                <c:pt idx="156">
                  <c:v>12.092878780585201</c:v>
                </c:pt>
                <c:pt idx="157">
                  <c:v>12.0928304042131</c:v>
                </c:pt>
                <c:pt idx="158">
                  <c:v>12.0927700437115</c:v>
                </c:pt>
                <c:pt idx="159">
                  <c:v>12.0926974794603</c:v>
                </c:pt>
                <c:pt idx="160">
                  <c:v>11.3779235330407</c:v>
                </c:pt>
                <c:pt idx="161">
                  <c:v>11.377361653303099</c:v>
                </c:pt>
                <c:pt idx="162">
                  <c:v>11.3766803661727</c:v>
                </c:pt>
                <c:pt idx="163">
                  <c:v>11.3758589510023</c:v>
                </c:pt>
                <c:pt idx="164">
                  <c:v>11.374899659637901</c:v>
                </c:pt>
                <c:pt idx="165">
                  <c:v>10.692332453278301</c:v>
                </c:pt>
                <c:pt idx="166">
                  <c:v>10.6863534410023</c:v>
                </c:pt>
                <c:pt idx="167">
                  <c:v>10.6798776666749</c:v>
                </c:pt>
                <c:pt idx="168">
                  <c:v>10.6727540515462</c:v>
                </c:pt>
                <c:pt idx="169">
                  <c:v>10.665078283405199</c:v>
                </c:pt>
                <c:pt idx="170">
                  <c:v>10.0438865123994</c:v>
                </c:pt>
                <c:pt idx="171">
                  <c:v>10.015315320115301</c:v>
                </c:pt>
                <c:pt idx="172">
                  <c:v>9.9917555934084792</c:v>
                </c:pt>
                <c:pt idx="173">
                  <c:v>9.9709598771352201</c:v>
                </c:pt>
                <c:pt idx="174">
                  <c:v>9.9522234459026908</c:v>
                </c:pt>
                <c:pt idx="175">
                  <c:v>12.8277537052755</c:v>
                </c:pt>
                <c:pt idx="176">
                  <c:v>12.8277515335605</c:v>
                </c:pt>
                <c:pt idx="177">
                  <c:v>12.827748660580401</c:v>
                </c:pt>
                <c:pt idx="178">
                  <c:v>12.8277450121799</c:v>
                </c:pt>
                <c:pt idx="179">
                  <c:v>12.827740583893</c:v>
                </c:pt>
                <c:pt idx="180">
                  <c:v>12.095858014128501</c:v>
                </c:pt>
                <c:pt idx="181">
                  <c:v>12.0958202519318</c:v>
                </c:pt>
                <c:pt idx="182">
                  <c:v>12.0957720830996</c:v>
                </c:pt>
                <c:pt idx="183">
                  <c:v>12.095711978216601</c:v>
                </c:pt>
                <c:pt idx="184">
                  <c:v>12.0956397263413</c:v>
                </c:pt>
                <c:pt idx="185">
                  <c:v>11.380235088782999</c:v>
                </c:pt>
                <c:pt idx="186">
                  <c:v>11.3796780347595</c:v>
                </c:pt>
                <c:pt idx="187">
                  <c:v>11.379000175533401</c:v>
                </c:pt>
                <c:pt idx="188">
                  <c:v>11.378182120557501</c:v>
                </c:pt>
                <c:pt idx="189">
                  <c:v>11.3772264479302</c:v>
                </c:pt>
                <c:pt idx="190">
                  <c:v>10.6938595454007</c:v>
                </c:pt>
                <c:pt idx="191">
                  <c:v>10.6879240025992</c:v>
                </c:pt>
                <c:pt idx="192">
                  <c:v>10.6814807244841</c:v>
                </c:pt>
                <c:pt idx="193">
                  <c:v>10.6743869376822</c:v>
                </c:pt>
                <c:pt idx="194">
                  <c:v>10.666740822457999</c:v>
                </c:pt>
                <c:pt idx="195">
                  <c:v>10.0445107851562</c:v>
                </c:pt>
                <c:pt idx="196">
                  <c:v>10.016063318418601</c:v>
                </c:pt>
                <c:pt idx="197">
                  <c:v>9.9926098874275695</c:v>
                </c:pt>
                <c:pt idx="198">
                  <c:v>9.9719131332703501</c:v>
                </c:pt>
                <c:pt idx="199">
                  <c:v>9.9532720636974101</c:v>
                </c:pt>
                <c:pt idx="200">
                  <c:v>12.7764673016516</c:v>
                </c:pt>
                <c:pt idx="201">
                  <c:v>12.776464962460199</c:v>
                </c:pt>
                <c:pt idx="202">
                  <c:v>12.7764618577409</c:v>
                </c:pt>
                <c:pt idx="203">
                  <c:v>12.776457924889</c:v>
                </c:pt>
                <c:pt idx="204">
                  <c:v>12.7764531385252</c:v>
                </c:pt>
                <c:pt idx="205">
                  <c:v>12.0518185962625</c:v>
                </c:pt>
                <c:pt idx="206">
                  <c:v>12.0517782950367</c:v>
                </c:pt>
                <c:pt idx="207">
                  <c:v>12.051727077961999</c:v>
                </c:pt>
                <c:pt idx="208">
                  <c:v>12.0516631671462</c:v>
                </c:pt>
                <c:pt idx="209">
                  <c:v>12.051586313463099</c:v>
                </c:pt>
                <c:pt idx="210">
                  <c:v>11.3457332581158</c:v>
                </c:pt>
                <c:pt idx="211">
                  <c:v>11.345124425211701</c:v>
                </c:pt>
                <c:pt idx="212">
                  <c:v>11.344403899102501</c:v>
                </c:pt>
                <c:pt idx="213">
                  <c:v>11.3435399185046</c:v>
                </c:pt>
                <c:pt idx="214">
                  <c:v>11.342532332087099</c:v>
                </c:pt>
                <c:pt idx="215">
                  <c:v>10.670939353129899</c:v>
                </c:pt>
                <c:pt idx="216">
                  <c:v>10.6644182906617</c:v>
                </c:pt>
                <c:pt idx="217">
                  <c:v>10.6575313154953</c:v>
                </c:pt>
                <c:pt idx="218">
                  <c:v>10.650021494084699</c:v>
                </c:pt>
                <c:pt idx="219">
                  <c:v>10.6419550447928</c:v>
                </c:pt>
                <c:pt idx="220">
                  <c:v>10.0350166525447</c:v>
                </c:pt>
                <c:pt idx="221">
                  <c:v>10.004726212732299</c:v>
                </c:pt>
                <c:pt idx="222">
                  <c:v>9.9796975230816098</c:v>
                </c:pt>
                <c:pt idx="223">
                  <c:v>9.9575397757623492</c:v>
                </c:pt>
                <c:pt idx="224">
                  <c:v>9.9374961509858206</c:v>
                </c:pt>
                <c:pt idx="225">
                  <c:v>12.7886851663695</c:v>
                </c:pt>
                <c:pt idx="226">
                  <c:v>12.7886828719187</c:v>
                </c:pt>
                <c:pt idx="227">
                  <c:v>12.7886798188248</c:v>
                </c:pt>
                <c:pt idx="228">
                  <c:v>12.788675948645301</c:v>
                </c:pt>
                <c:pt idx="229">
                  <c:v>12.7886712478143</c:v>
                </c:pt>
                <c:pt idx="230">
                  <c:v>12.0622677101919</c:v>
                </c:pt>
                <c:pt idx="231">
                  <c:v>12.062227952134499</c:v>
                </c:pt>
                <c:pt idx="232">
                  <c:v>12.062177433895499</c:v>
                </c:pt>
                <c:pt idx="233">
                  <c:v>12.062114424868</c:v>
                </c:pt>
                <c:pt idx="234">
                  <c:v>12.062038659692</c:v>
                </c:pt>
                <c:pt idx="235">
                  <c:v>11.353898318324999</c:v>
                </c:pt>
                <c:pt idx="236">
                  <c:v>11.353299156227299</c:v>
                </c:pt>
                <c:pt idx="237">
                  <c:v>11.352587737512801</c:v>
                </c:pt>
                <c:pt idx="238">
                  <c:v>11.351734158250199</c:v>
                </c:pt>
                <c:pt idx="239">
                  <c:v>11.3507385897574</c:v>
                </c:pt>
                <c:pt idx="240">
                  <c:v>10.6763831025113</c:v>
                </c:pt>
                <c:pt idx="241">
                  <c:v>10.6699894674791</c:v>
                </c:pt>
                <c:pt idx="242">
                  <c:v>10.6632005721965</c:v>
                </c:pt>
                <c:pt idx="243">
                  <c:v>10.655784450249801</c:v>
                </c:pt>
                <c:pt idx="244">
                  <c:v>10.647813964012</c:v>
                </c:pt>
                <c:pt idx="245">
                  <c:v>10.0372950209909</c:v>
                </c:pt>
                <c:pt idx="246">
                  <c:v>10.007439483431799</c:v>
                </c:pt>
                <c:pt idx="247">
                  <c:v>9.9827809284263491</c:v>
                </c:pt>
                <c:pt idx="248">
                  <c:v>9.96096541303001</c:v>
                </c:pt>
                <c:pt idx="249">
                  <c:v>9.9412494674132894</c:v>
                </c:pt>
                <c:pt idx="250">
                  <c:v>12.7974921693441</c:v>
                </c:pt>
                <c:pt idx="251">
                  <c:v>12.797489900327699</c:v>
                </c:pt>
                <c:pt idx="252">
                  <c:v>12.7974868909803</c:v>
                </c:pt>
                <c:pt idx="253">
                  <c:v>12.797483068253101</c:v>
                </c:pt>
                <c:pt idx="254">
                  <c:v>12.7974784271609</c:v>
                </c:pt>
                <c:pt idx="255">
                  <c:v>12.0698148413049</c:v>
                </c:pt>
                <c:pt idx="256">
                  <c:v>12.069775477932099</c:v>
                </c:pt>
                <c:pt idx="257">
                  <c:v>12.0697254736888</c:v>
                </c:pt>
                <c:pt idx="258">
                  <c:v>12.069663110871801</c:v>
                </c:pt>
                <c:pt idx="259">
                  <c:v>12.0695881344021</c:v>
                </c:pt>
                <c:pt idx="260">
                  <c:v>11.3598037212553</c:v>
                </c:pt>
                <c:pt idx="261">
                  <c:v>11.359212233159299</c:v>
                </c:pt>
                <c:pt idx="262">
                  <c:v>11.358507663046799</c:v>
                </c:pt>
                <c:pt idx="263">
                  <c:v>11.3576617072237</c:v>
                </c:pt>
                <c:pt idx="264">
                  <c:v>11.356674894868799</c:v>
                </c:pt>
                <c:pt idx="265">
                  <c:v>10.680314186120199</c:v>
                </c:pt>
                <c:pt idx="266">
                  <c:v>10.674016661241</c:v>
                </c:pt>
                <c:pt idx="267">
                  <c:v>10.667301062452299</c:v>
                </c:pt>
                <c:pt idx="268">
                  <c:v>10.659954294925599</c:v>
                </c:pt>
                <c:pt idx="269">
                  <c:v>10.6520543603147</c:v>
                </c:pt>
                <c:pt idx="270">
                  <c:v>10.0389314262213</c:v>
                </c:pt>
                <c:pt idx="271">
                  <c:v>10.0093910805822</c:v>
                </c:pt>
                <c:pt idx="272">
                  <c:v>9.9850013969480091</c:v>
                </c:pt>
                <c:pt idx="273">
                  <c:v>9.9634348684653595</c:v>
                </c:pt>
                <c:pt idx="274">
                  <c:v>9.9439576284869702</c:v>
                </c:pt>
                <c:pt idx="275">
                  <c:v>12.804143119203999</c:v>
                </c:pt>
                <c:pt idx="276">
                  <c:v>12.804140869247099</c:v>
                </c:pt>
                <c:pt idx="277">
                  <c:v>12.804137891706</c:v>
                </c:pt>
                <c:pt idx="278">
                  <c:v>12.804134106951301</c:v>
                </c:pt>
                <c:pt idx="279">
                  <c:v>12.8041295151474</c:v>
                </c:pt>
                <c:pt idx="280">
                  <c:v>12.0755232856629</c:v>
                </c:pt>
                <c:pt idx="281">
                  <c:v>12.0754842492659</c:v>
                </c:pt>
                <c:pt idx="282">
                  <c:v>12.0754346475253</c:v>
                </c:pt>
                <c:pt idx="283">
                  <c:v>12.0753727634883</c:v>
                </c:pt>
                <c:pt idx="284">
                  <c:v>12.0752983822414</c:v>
                </c:pt>
                <c:pt idx="285">
                  <c:v>11.364275020570799</c:v>
                </c:pt>
                <c:pt idx="286">
                  <c:v>11.363689837124801</c:v>
                </c:pt>
                <c:pt idx="287">
                  <c:v>11.362990607305299</c:v>
                </c:pt>
                <c:pt idx="288">
                  <c:v>11.3621505174399</c:v>
                </c:pt>
                <c:pt idx="289">
                  <c:v>11.3611703894945</c:v>
                </c:pt>
                <c:pt idx="290">
                  <c:v>10.683286555194099</c:v>
                </c:pt>
                <c:pt idx="291">
                  <c:v>10.677064176469599</c:v>
                </c:pt>
                <c:pt idx="292">
                  <c:v>10.6704055401693</c:v>
                </c:pt>
                <c:pt idx="293">
                  <c:v>10.663112276835299</c:v>
                </c:pt>
                <c:pt idx="294">
                  <c:v>10.655266484818201</c:v>
                </c:pt>
                <c:pt idx="295">
                  <c:v>10.040163728727499</c:v>
                </c:pt>
                <c:pt idx="296">
                  <c:v>10.010862313862001</c:v>
                </c:pt>
                <c:pt idx="297">
                  <c:v>9.9866767753172496</c:v>
                </c:pt>
                <c:pt idx="298">
                  <c:v>9.96529954180847</c:v>
                </c:pt>
                <c:pt idx="299">
                  <c:v>9.9460039623838608</c:v>
                </c:pt>
                <c:pt idx="300">
                  <c:v>12.740538483724301</c:v>
                </c:pt>
                <c:pt idx="301">
                  <c:v>12.740536026848901</c:v>
                </c:pt>
                <c:pt idx="302">
                  <c:v>12.7405327610297</c:v>
                </c:pt>
                <c:pt idx="303">
                  <c:v>12.740528615464401</c:v>
                </c:pt>
                <c:pt idx="304">
                  <c:v>12.740523590887101</c:v>
                </c:pt>
                <c:pt idx="305">
                  <c:v>12.0212168252186</c:v>
                </c:pt>
                <c:pt idx="306">
                  <c:v>12.021175009816099</c:v>
                </c:pt>
                <c:pt idx="307">
                  <c:v>12.021121733362101</c:v>
                </c:pt>
                <c:pt idx="308">
                  <c:v>12.0210552054105</c:v>
                </c:pt>
                <c:pt idx="309">
                  <c:v>12.0209752004127</c:v>
                </c:pt>
                <c:pt idx="310">
                  <c:v>11.321889895455101</c:v>
                </c:pt>
                <c:pt idx="311">
                  <c:v>11.321256647392</c:v>
                </c:pt>
                <c:pt idx="312">
                  <c:v>11.3205108627097</c:v>
                </c:pt>
                <c:pt idx="313">
                  <c:v>11.3196171434112</c:v>
                </c:pt>
                <c:pt idx="314">
                  <c:v>11.3185748269815</c:v>
                </c:pt>
                <c:pt idx="315">
                  <c:v>10.6550020274791</c:v>
                </c:pt>
                <c:pt idx="316">
                  <c:v>10.648140233473701</c:v>
                </c:pt>
                <c:pt idx="317">
                  <c:v>10.640984689444201</c:v>
                </c:pt>
                <c:pt idx="318">
                  <c:v>10.6332126635095</c:v>
                </c:pt>
                <c:pt idx="319">
                  <c:v>10.624874168694401</c:v>
                </c:pt>
                <c:pt idx="320">
                  <c:v>10.028268082076901</c:v>
                </c:pt>
                <c:pt idx="321">
                  <c:v>9.9967157891344893</c:v>
                </c:pt>
                <c:pt idx="322">
                  <c:v>9.9706183300528597</c:v>
                </c:pt>
                <c:pt idx="323">
                  <c:v>9.9474756182750106</c:v>
                </c:pt>
                <c:pt idx="324">
                  <c:v>9.92649159072133</c:v>
                </c:pt>
                <c:pt idx="325">
                  <c:v>12.758372121777301</c:v>
                </c:pt>
                <c:pt idx="326">
                  <c:v>12.7583697228504</c:v>
                </c:pt>
                <c:pt idx="327">
                  <c:v>12.7583665330468</c:v>
                </c:pt>
                <c:pt idx="328">
                  <c:v>12.7583625019798</c:v>
                </c:pt>
                <c:pt idx="329">
                  <c:v>12.758357583649699</c:v>
                </c:pt>
                <c:pt idx="330">
                  <c:v>12.036384169512401</c:v>
                </c:pt>
                <c:pt idx="331">
                  <c:v>12.0363430975607</c:v>
                </c:pt>
                <c:pt idx="332">
                  <c:v>12.0362908373731</c:v>
                </c:pt>
                <c:pt idx="333">
                  <c:v>12.036225600331599</c:v>
                </c:pt>
                <c:pt idx="334">
                  <c:v>12.036147159981599</c:v>
                </c:pt>
                <c:pt idx="335">
                  <c:v>11.333695115689</c:v>
                </c:pt>
                <c:pt idx="336">
                  <c:v>11.333073397410599</c:v>
                </c:pt>
                <c:pt idx="337">
                  <c:v>11.332339919773201</c:v>
                </c:pt>
                <c:pt idx="338">
                  <c:v>11.3314608443597</c:v>
                </c:pt>
                <c:pt idx="339">
                  <c:v>11.3304356603717</c:v>
                </c:pt>
                <c:pt idx="340">
                  <c:v>10.662899100651799</c:v>
                </c:pt>
                <c:pt idx="341">
                  <c:v>10.656200619063799</c:v>
                </c:pt>
                <c:pt idx="342">
                  <c:v>10.6491750768957</c:v>
                </c:pt>
                <c:pt idx="343">
                  <c:v>10.6415309949091</c:v>
                </c:pt>
                <c:pt idx="344">
                  <c:v>10.633325856750201</c:v>
                </c:pt>
                <c:pt idx="345">
                  <c:v>10.0316263067511</c:v>
                </c:pt>
                <c:pt idx="346">
                  <c:v>10.000697087478899</c:v>
                </c:pt>
                <c:pt idx="347">
                  <c:v>9.9751264203907599</c:v>
                </c:pt>
                <c:pt idx="348">
                  <c:v>9.9524686157943201</c:v>
                </c:pt>
                <c:pt idx="349">
                  <c:v>9.9319470784167105</c:v>
                </c:pt>
                <c:pt idx="350">
                  <c:v>12.771269546131901</c:v>
                </c:pt>
                <c:pt idx="351">
                  <c:v>12.771267190908301</c:v>
                </c:pt>
                <c:pt idx="352">
                  <c:v>12.7712640651414</c:v>
                </c:pt>
                <c:pt idx="353">
                  <c:v>12.771260092060601</c:v>
                </c:pt>
                <c:pt idx="354">
                  <c:v>12.7712552666513</c:v>
                </c:pt>
                <c:pt idx="355">
                  <c:v>12.047380264088901</c:v>
                </c:pt>
                <c:pt idx="356">
                  <c:v>12.0473397414539</c:v>
                </c:pt>
                <c:pt idx="357">
                  <c:v>12.047288228342399</c:v>
                </c:pt>
                <c:pt idx="358">
                  <c:v>12.0472239271138</c:v>
                </c:pt>
                <c:pt idx="359">
                  <c:v>12.047146622943901</c:v>
                </c:pt>
                <c:pt idx="360">
                  <c:v>11.3422688825558</c:v>
                </c:pt>
                <c:pt idx="361">
                  <c:v>11.341656206735999</c:v>
                </c:pt>
                <c:pt idx="362">
                  <c:v>11.3409318862034</c:v>
                </c:pt>
                <c:pt idx="363">
                  <c:v>11.3400635430951</c:v>
                </c:pt>
                <c:pt idx="364">
                  <c:v>11.3390508746135</c:v>
                </c:pt>
                <c:pt idx="365">
                  <c:v>10.668627054689599</c:v>
                </c:pt>
                <c:pt idx="366">
                  <c:v>10.6620537205966</c:v>
                </c:pt>
                <c:pt idx="367">
                  <c:v>10.655126188855601</c:v>
                </c:pt>
                <c:pt idx="368">
                  <c:v>10.647577278979201</c:v>
                </c:pt>
                <c:pt idx="369">
                  <c:v>10.639470607702901</c:v>
                </c:pt>
                <c:pt idx="370">
                  <c:v>10.0340446611386</c:v>
                </c:pt>
                <c:pt idx="371">
                  <c:v>10.0035700860216</c:v>
                </c:pt>
                <c:pt idx="372">
                  <c:v>9.9783849638159499</c:v>
                </c:pt>
                <c:pt idx="373">
                  <c:v>9.9560827297664805</c:v>
                </c:pt>
                <c:pt idx="374">
                  <c:v>9.9359009251468695</c:v>
                </c:pt>
                <c:pt idx="375">
                  <c:v>12.781034064027599</c:v>
                </c:pt>
                <c:pt idx="376">
                  <c:v>12.7810317431365</c:v>
                </c:pt>
                <c:pt idx="377">
                  <c:v>12.781028659553099</c:v>
                </c:pt>
                <c:pt idx="378">
                  <c:v>12.781024751014799</c:v>
                </c:pt>
                <c:pt idx="379">
                  <c:v>12.781019989894199</c:v>
                </c:pt>
                <c:pt idx="380">
                  <c:v>12.055721506605</c:v>
                </c:pt>
                <c:pt idx="381">
                  <c:v>12.0556814120038</c:v>
                </c:pt>
                <c:pt idx="382">
                  <c:v>12.055630452930799</c:v>
                </c:pt>
                <c:pt idx="383">
                  <c:v>12.055566864572899</c:v>
                </c:pt>
                <c:pt idx="384">
                  <c:v>12.055490426997199</c:v>
                </c:pt>
                <c:pt idx="385">
                  <c:v>11.348781554140199</c:v>
                </c:pt>
                <c:pt idx="386">
                  <c:v>11.3481762127432</c:v>
                </c:pt>
                <c:pt idx="387">
                  <c:v>11.3474590616292</c:v>
                </c:pt>
                <c:pt idx="388">
                  <c:v>11.346598937247601</c:v>
                </c:pt>
                <c:pt idx="389">
                  <c:v>11.345595827629101</c:v>
                </c:pt>
                <c:pt idx="390">
                  <c:v>10.672972718269399</c:v>
                </c:pt>
                <c:pt idx="391">
                  <c:v>10.6664985403823</c:v>
                </c:pt>
                <c:pt idx="392">
                  <c:v>10.6596477657235</c:v>
                </c:pt>
                <c:pt idx="393">
                  <c:v>10.652172649745401</c:v>
                </c:pt>
                <c:pt idx="394">
                  <c:v>10.644141824258099</c:v>
                </c:pt>
                <c:pt idx="395">
                  <c:v>10.0358693164429</c:v>
                </c:pt>
                <c:pt idx="396">
                  <c:v>10.0057411164161</c:v>
                </c:pt>
                <c:pt idx="397">
                  <c:v>9.9808503800185697</c:v>
                </c:pt>
                <c:pt idx="398">
                  <c:v>9.9588201088907393</c:v>
                </c:pt>
                <c:pt idx="399">
                  <c:v>9.9388984907845401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2-954D-AA7F-0D38374EB2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932533451885056E-2"/>
                  <c:y val="-0.186269971417907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DATA!$H$2:$H$401</c:f>
              <c:numCache>
                <c:formatCode>0.00</c:formatCode>
                <c:ptCount val="400"/>
                <c:pt idx="0">
                  <c:v>8.2991007410791298</c:v>
                </c:pt>
                <c:pt idx="1">
                  <c:v>8.2859315845766197</c:v>
                </c:pt>
                <c:pt idx="2">
                  <c:v>8.2738542165808706</c:v>
                </c:pt>
                <c:pt idx="3">
                  <c:v>8.2627154071258992</c:v>
                </c:pt>
                <c:pt idx="4">
                  <c:v>8.2524298771403402</c:v>
                </c:pt>
                <c:pt idx="5">
                  <c:v>8.8157547479129708</c:v>
                </c:pt>
                <c:pt idx="6">
                  <c:v>8.8125390136043098</c:v>
                </c:pt>
                <c:pt idx="7">
                  <c:v>8.8102368361469505</c:v>
                </c:pt>
                <c:pt idx="8">
                  <c:v>8.8083128879433605</c:v>
                </c:pt>
                <c:pt idx="9">
                  <c:v>8.8065881572120297</c:v>
                </c:pt>
                <c:pt idx="10">
                  <c:v>9.3825930368238009</c:v>
                </c:pt>
                <c:pt idx="11">
                  <c:v>9.3737263464155305</c:v>
                </c:pt>
                <c:pt idx="12">
                  <c:v>9.3692126204675308</c:v>
                </c:pt>
                <c:pt idx="13">
                  <c:v>9.3664573576978203</c:v>
                </c:pt>
                <c:pt idx="14">
                  <c:v>9.3645865658528695</c:v>
                </c:pt>
                <c:pt idx="15">
                  <c:v>10.0839235849561</c:v>
                </c:pt>
                <c:pt idx="16">
                  <c:v>10.048729510764799</c:v>
                </c:pt>
                <c:pt idx="17">
                  <c:v>10.030497471353399</c:v>
                </c:pt>
                <c:pt idx="18">
                  <c:v>10.0193314719331</c:v>
                </c:pt>
                <c:pt idx="19">
                  <c:v>10.011785912174901</c:v>
                </c:pt>
                <c:pt idx="20">
                  <c:v>10.9696100239698</c:v>
                </c:pt>
                <c:pt idx="21">
                  <c:v>10.8925499759108</c:v>
                </c:pt>
                <c:pt idx="22">
                  <c:v>10.8487056309111</c:v>
                </c:pt>
                <c:pt idx="23">
                  <c:v>10.8202973551924</c:v>
                </c:pt>
                <c:pt idx="24">
                  <c:v>10.8003524949671</c:v>
                </c:pt>
                <c:pt idx="25">
                  <c:v>8.3035885766609994</c:v>
                </c:pt>
                <c:pt idx="26">
                  <c:v>8.2922250207427606</c:v>
                </c:pt>
                <c:pt idx="27">
                  <c:v>8.2816892471972601</c:v>
                </c:pt>
                <c:pt idx="28">
                  <c:v>8.2718500856925097</c:v>
                </c:pt>
                <c:pt idx="29">
                  <c:v>8.2626436004908008</c:v>
                </c:pt>
                <c:pt idx="30">
                  <c:v>8.8162307040673298</c:v>
                </c:pt>
                <c:pt idx="31">
                  <c:v>8.8132455044184095</c:v>
                </c:pt>
                <c:pt idx="32">
                  <c:v>8.8111676895269309</c:v>
                </c:pt>
                <c:pt idx="33">
                  <c:v>8.8094620313428198</c:v>
                </c:pt>
                <c:pt idx="34">
                  <c:v>8.8079496191764299</c:v>
                </c:pt>
                <c:pt idx="35">
                  <c:v>9.3826186394162896</c:v>
                </c:pt>
                <c:pt idx="36">
                  <c:v>9.3737661880426408</c:v>
                </c:pt>
                <c:pt idx="37">
                  <c:v>9.3692666382451097</c:v>
                </c:pt>
                <c:pt idx="38">
                  <c:v>9.3665254637754298</c:v>
                </c:pt>
                <c:pt idx="39">
                  <c:v>9.3646686778405392</c:v>
                </c:pt>
                <c:pt idx="40">
                  <c:v>10.0839203703474</c:v>
                </c:pt>
                <c:pt idx="41">
                  <c:v>10.0487255385759</c:v>
                </c:pt>
                <c:pt idx="42">
                  <c:v>10.030492792726101</c:v>
                </c:pt>
                <c:pt idx="43">
                  <c:v>10.0193261105081</c:v>
                </c:pt>
                <c:pt idx="44">
                  <c:v>10.0117798795607</c:v>
                </c:pt>
                <c:pt idx="45">
                  <c:v>10.969608943865</c:v>
                </c:pt>
                <c:pt idx="46">
                  <c:v>10.892548515259501</c:v>
                </c:pt>
                <c:pt idx="47">
                  <c:v>10.848703814531699</c:v>
                </c:pt>
                <c:pt idx="48">
                  <c:v>10.8202952124237</c:v>
                </c:pt>
                <c:pt idx="49">
                  <c:v>10.800350034637599</c:v>
                </c:pt>
                <c:pt idx="50">
                  <c:v>8.3068617237215605</c:v>
                </c:pt>
                <c:pt idx="51">
                  <c:v>8.2968654643970705</c:v>
                </c:pt>
                <c:pt idx="52">
                  <c:v>8.2875314738090697</c:v>
                </c:pt>
                <c:pt idx="53">
                  <c:v>8.2787399273774795</c:v>
                </c:pt>
                <c:pt idx="54">
                  <c:v>8.2704380278293108</c:v>
                </c:pt>
                <c:pt idx="55">
                  <c:v>8.8165720911846499</c:v>
                </c:pt>
                <c:pt idx="56">
                  <c:v>8.8137532989023608</c:v>
                </c:pt>
                <c:pt idx="57">
                  <c:v>8.8118381408650599</c:v>
                </c:pt>
                <c:pt idx="58">
                  <c:v>8.8102914393425191</c:v>
                </c:pt>
                <c:pt idx="59">
                  <c:v>8.8089343349884395</c:v>
                </c:pt>
                <c:pt idx="60">
                  <c:v>9.3826369462569392</c:v>
                </c:pt>
                <c:pt idx="61">
                  <c:v>9.3737946959175495</c:v>
                </c:pt>
                <c:pt idx="62">
                  <c:v>9.3693053034870903</c:v>
                </c:pt>
                <c:pt idx="63">
                  <c:v>9.3665742422332805</c:v>
                </c:pt>
                <c:pt idx="64">
                  <c:v>9.3647275148251801</c:v>
                </c:pt>
                <c:pt idx="65">
                  <c:v>10.083918076483</c:v>
                </c:pt>
                <c:pt idx="66">
                  <c:v>10.0487227017979</c:v>
                </c:pt>
                <c:pt idx="67">
                  <c:v>10.030489452212301</c:v>
                </c:pt>
                <c:pt idx="68">
                  <c:v>10.019322281020299</c:v>
                </c:pt>
                <c:pt idx="69">
                  <c:v>10.011775571389601</c:v>
                </c:pt>
                <c:pt idx="70">
                  <c:v>10.969608178284</c:v>
                </c:pt>
                <c:pt idx="71">
                  <c:v>10.892547470541601</c:v>
                </c:pt>
                <c:pt idx="72">
                  <c:v>10.8487025187365</c:v>
                </c:pt>
                <c:pt idx="73">
                  <c:v>10.820293680826699</c:v>
                </c:pt>
                <c:pt idx="74">
                  <c:v>10.800348279978101</c:v>
                </c:pt>
                <c:pt idx="75">
                  <c:v>8.3093540102528198</c:v>
                </c:pt>
                <c:pt idx="76">
                  <c:v>8.3004268256110301</c:v>
                </c:pt>
                <c:pt idx="77">
                  <c:v>8.2920514885820698</c:v>
                </c:pt>
                <c:pt idx="78">
                  <c:v>8.2841145685042097</c:v>
                </c:pt>
                <c:pt idx="79">
                  <c:v>8.27656960692903</c:v>
                </c:pt>
                <c:pt idx="80">
                  <c:v>8.8168289097490593</c:v>
                </c:pt>
                <c:pt idx="81">
                  <c:v>8.8141358797238798</c:v>
                </c:pt>
                <c:pt idx="82">
                  <c:v>8.8123440363256105</c:v>
                </c:pt>
                <c:pt idx="83">
                  <c:v>8.8109182294554191</c:v>
                </c:pt>
                <c:pt idx="84">
                  <c:v>8.8096796287888406</c:v>
                </c:pt>
                <c:pt idx="85">
                  <c:v>9.3826506888415402</c:v>
                </c:pt>
                <c:pt idx="86">
                  <c:v>9.3738160989262003</c:v>
                </c:pt>
                <c:pt idx="87">
                  <c:v>9.3693343457981708</c:v>
                </c:pt>
                <c:pt idx="88">
                  <c:v>9.3666108950774891</c:v>
                </c:pt>
                <c:pt idx="89">
                  <c:v>9.3647717454527406</c:v>
                </c:pt>
                <c:pt idx="90">
                  <c:v>10.0839163543975</c:v>
                </c:pt>
                <c:pt idx="91">
                  <c:v>10.048720574227801</c:v>
                </c:pt>
                <c:pt idx="92">
                  <c:v>10.030486946188701</c:v>
                </c:pt>
                <c:pt idx="93">
                  <c:v>10.0193194095612</c:v>
                </c:pt>
                <c:pt idx="94">
                  <c:v>10.011772341548401</c:v>
                </c:pt>
                <c:pt idx="95">
                  <c:v>10.969607593453301</c:v>
                </c:pt>
                <c:pt idx="96">
                  <c:v>10.892546681241001</c:v>
                </c:pt>
                <c:pt idx="97">
                  <c:v>10.848701547281699</c:v>
                </c:pt>
                <c:pt idx="98">
                  <c:v>10.820292533858</c:v>
                </c:pt>
                <c:pt idx="99">
                  <c:v>10.800346961288801</c:v>
                </c:pt>
                <c:pt idx="100">
                  <c:v>8.3350213960224906</c:v>
                </c:pt>
                <c:pt idx="101">
                  <c:v>8.3355106350361101</c:v>
                </c:pt>
                <c:pt idx="102">
                  <c:v>8.3356874432873997</c:v>
                </c:pt>
                <c:pt idx="103">
                  <c:v>8.3357706692749201</c:v>
                </c:pt>
                <c:pt idx="104">
                  <c:v>8.3358163414937394</c:v>
                </c:pt>
                <c:pt idx="105">
                  <c:v>8.8903861115660394</c:v>
                </c:pt>
                <c:pt idx="106">
                  <c:v>8.8995973980208092</c:v>
                </c:pt>
                <c:pt idx="107">
                  <c:v>8.90359081521086</c:v>
                </c:pt>
                <c:pt idx="108">
                  <c:v>8.90566690299862</c:v>
                </c:pt>
                <c:pt idx="109">
                  <c:v>8.9068804564785093</c:v>
                </c:pt>
                <c:pt idx="110">
                  <c:v>9.4234788253436896</c:v>
                </c:pt>
                <c:pt idx="111">
                  <c:v>9.4408890819687699</c:v>
                </c:pt>
                <c:pt idx="112">
                  <c:v>9.4559616393576995</c:v>
                </c:pt>
                <c:pt idx="113">
                  <c:v>9.4676518560102991</c:v>
                </c:pt>
                <c:pt idx="114">
                  <c:v>9.4765957471482203</c:v>
                </c:pt>
                <c:pt idx="115">
                  <c:v>10.1063089431086</c:v>
                </c:pt>
                <c:pt idx="116">
                  <c:v>10.078480512380001</c:v>
                </c:pt>
                <c:pt idx="117">
                  <c:v>10.0675328239486</c:v>
                </c:pt>
                <c:pt idx="118">
                  <c:v>10.0634893356474</c:v>
                </c:pt>
                <c:pt idx="119">
                  <c:v>10.0628228844914</c:v>
                </c:pt>
                <c:pt idx="120">
                  <c:v>10.976007238402699</c:v>
                </c:pt>
                <c:pt idx="121">
                  <c:v>10.9011989231425</c:v>
                </c:pt>
                <c:pt idx="122">
                  <c:v>10.8593642291554</c:v>
                </c:pt>
                <c:pt idx="123">
                  <c:v>10.832818938018599</c:v>
                </c:pt>
                <c:pt idx="124">
                  <c:v>10.814636678560699</c:v>
                </c:pt>
                <c:pt idx="125">
                  <c:v>8.3277402180713604</c:v>
                </c:pt>
                <c:pt idx="126">
                  <c:v>8.3284374049041201</c:v>
                </c:pt>
                <c:pt idx="127">
                  <c:v>8.3286910079916492</c:v>
                </c:pt>
                <c:pt idx="128">
                  <c:v>8.3288107760319399</c:v>
                </c:pt>
                <c:pt idx="129">
                  <c:v>8.3288766550147102</c:v>
                </c:pt>
                <c:pt idx="130">
                  <c:v>8.8781808217399494</c:v>
                </c:pt>
                <c:pt idx="131">
                  <c:v>8.88990686508685</c:v>
                </c:pt>
                <c:pt idx="132">
                  <c:v>8.8951800547852997</c:v>
                </c:pt>
                <c:pt idx="133">
                  <c:v>8.8979788250137002</c:v>
                </c:pt>
                <c:pt idx="134">
                  <c:v>8.8996368278244606</c:v>
                </c:pt>
                <c:pt idx="135">
                  <c:v>9.4099984365259406</c:v>
                </c:pt>
                <c:pt idx="136">
                  <c:v>9.4251563146071593</c:v>
                </c:pt>
                <c:pt idx="137">
                  <c:v>9.4399694103910292</c:v>
                </c:pt>
                <c:pt idx="138">
                  <c:v>9.4522134176573704</c:v>
                </c:pt>
                <c:pt idx="139">
                  <c:v>9.4619938923601907</c:v>
                </c:pt>
                <c:pt idx="140">
                  <c:v>10.102267678421899</c:v>
                </c:pt>
                <c:pt idx="141">
                  <c:v>10.073041972166999</c:v>
                </c:pt>
                <c:pt idx="142">
                  <c:v>10.0607942795061</c:v>
                </c:pt>
                <c:pt idx="143">
                  <c:v>10.055578784224201</c:v>
                </c:pt>
                <c:pt idx="144">
                  <c:v>10.0538814969236</c:v>
                </c:pt>
                <c:pt idx="145">
                  <c:v>10.974948332553</c:v>
                </c:pt>
                <c:pt idx="146">
                  <c:v>10.899773273241699</c:v>
                </c:pt>
                <c:pt idx="147">
                  <c:v>10.8576153134603</c:v>
                </c:pt>
                <c:pt idx="148">
                  <c:v>10.8307743245705</c:v>
                </c:pt>
                <c:pt idx="149">
                  <c:v>10.812316183572401</c:v>
                </c:pt>
                <c:pt idx="150">
                  <c:v>8.3223276320634394</c:v>
                </c:pt>
                <c:pt idx="151">
                  <c:v>8.3232638232802998</c:v>
                </c:pt>
                <c:pt idx="152">
                  <c:v>8.3236065973099294</c:v>
                </c:pt>
                <c:pt idx="153">
                  <c:v>8.3237690207201496</c:v>
                </c:pt>
                <c:pt idx="154">
                  <c:v>8.3238585609828792</c:v>
                </c:pt>
                <c:pt idx="155">
                  <c:v>8.86753095667342</c:v>
                </c:pt>
                <c:pt idx="156">
                  <c:v>8.8816433348113293</c:v>
                </c:pt>
                <c:pt idx="157">
                  <c:v>8.8882163840791293</c:v>
                </c:pt>
                <c:pt idx="158">
                  <c:v>8.8917757983076093</c:v>
                </c:pt>
                <c:pt idx="159">
                  <c:v>8.8939120912135703</c:v>
                </c:pt>
                <c:pt idx="160">
                  <c:v>9.4002488591920592</c:v>
                </c:pt>
                <c:pt idx="161">
                  <c:v>9.4129169882723698</c:v>
                </c:pt>
                <c:pt idx="162">
                  <c:v>9.4269564571962299</c:v>
                </c:pt>
                <c:pt idx="163">
                  <c:v>9.4392762233024801</c:v>
                </c:pt>
                <c:pt idx="164">
                  <c:v>9.4495155708296608</c:v>
                </c:pt>
                <c:pt idx="165">
                  <c:v>10.099433868017501</c:v>
                </c:pt>
                <c:pt idx="166">
                  <c:v>10.069217243673</c:v>
                </c:pt>
                <c:pt idx="167">
                  <c:v>10.0560171251112</c:v>
                </c:pt>
                <c:pt idx="168">
                  <c:v>10.049911596190899</c:v>
                </c:pt>
                <c:pt idx="169">
                  <c:v>10.0474016279704</c:v>
                </c:pt>
                <c:pt idx="170">
                  <c:v>10.9741899194754</c:v>
                </c:pt>
                <c:pt idx="171">
                  <c:v>10.8987507273246</c:v>
                </c:pt>
                <c:pt idx="172">
                  <c:v>10.856358947151</c:v>
                </c:pt>
                <c:pt idx="173">
                  <c:v>10.8293030897037</c:v>
                </c:pt>
                <c:pt idx="174">
                  <c:v>10.810643518345501</c:v>
                </c:pt>
                <c:pt idx="175">
                  <c:v>8.3180748677608296</c:v>
                </c:pt>
                <c:pt idx="176">
                  <c:v>8.3192788604704493</c:v>
                </c:pt>
                <c:pt idx="177">
                  <c:v>8.3197225734445404</c:v>
                </c:pt>
                <c:pt idx="178">
                  <c:v>8.3199335796091205</c:v>
                </c:pt>
                <c:pt idx="179">
                  <c:v>8.3200501146258894</c:v>
                </c:pt>
                <c:pt idx="180">
                  <c:v>8.8579547933047902</c:v>
                </c:pt>
                <c:pt idx="181">
                  <c:v>8.8742713501680992</c:v>
                </c:pt>
                <c:pt idx="182">
                  <c:v>8.8821316569932502</c:v>
                </c:pt>
                <c:pt idx="183">
                  <c:v>8.8864718351420997</c:v>
                </c:pt>
                <c:pt idx="184">
                  <c:v>8.8891100910539205</c:v>
                </c:pt>
                <c:pt idx="185">
                  <c:v>9.3930506564090201</c:v>
                </c:pt>
                <c:pt idx="186">
                  <c:v>9.4032494125132793</c:v>
                </c:pt>
                <c:pt idx="187">
                  <c:v>9.4162294640120301</c:v>
                </c:pt>
                <c:pt idx="188">
                  <c:v>9.4282956443916799</c:v>
                </c:pt>
                <c:pt idx="189">
                  <c:v>9.4387032972700897</c:v>
                </c:pt>
                <c:pt idx="190">
                  <c:v>10.097342871903001</c:v>
                </c:pt>
                <c:pt idx="191">
                  <c:v>10.066394152279701</c:v>
                </c:pt>
                <c:pt idx="192">
                  <c:v>10.0524745586329</c:v>
                </c:pt>
                <c:pt idx="193">
                  <c:v>10.045679346560901</c:v>
                </c:pt>
                <c:pt idx="194">
                  <c:v>10.0425224880318</c:v>
                </c:pt>
                <c:pt idx="195">
                  <c:v>10.9736199930497</c:v>
                </c:pt>
                <c:pt idx="196">
                  <c:v>10.8979815067018</c:v>
                </c:pt>
                <c:pt idx="197">
                  <c:v>10.855412756426499</c:v>
                </c:pt>
                <c:pt idx="198">
                  <c:v>10.8281937350013</c:v>
                </c:pt>
                <c:pt idx="199">
                  <c:v>10.809380668814899</c:v>
                </c:pt>
                <c:pt idx="200">
                  <c:v>8.3758923961880303</c:v>
                </c:pt>
                <c:pt idx="201">
                  <c:v>8.3760132813606099</c:v>
                </c:pt>
                <c:pt idx="202">
                  <c:v>8.3760562702839305</c:v>
                </c:pt>
                <c:pt idx="203">
                  <c:v>8.3760763337585402</c:v>
                </c:pt>
                <c:pt idx="204">
                  <c:v>8.3760872941115192</c:v>
                </c:pt>
                <c:pt idx="205">
                  <c:v>8.9388114300507304</c:v>
                </c:pt>
                <c:pt idx="206">
                  <c:v>8.9418790339322598</c:v>
                </c:pt>
                <c:pt idx="207">
                  <c:v>8.9430837511973493</c:v>
                </c:pt>
                <c:pt idx="208">
                  <c:v>8.9436767023691104</c:v>
                </c:pt>
                <c:pt idx="209">
                  <c:v>8.9440114127335999</c:v>
                </c:pt>
                <c:pt idx="210">
                  <c:v>9.4906934829798608</c:v>
                </c:pt>
                <c:pt idx="211">
                  <c:v>9.5082423486630905</c:v>
                </c:pt>
                <c:pt idx="212">
                  <c:v>9.5191613781951006</c:v>
                </c:pt>
                <c:pt idx="213">
                  <c:v>9.5261524008330891</c:v>
                </c:pt>
                <c:pt idx="214">
                  <c:v>9.5308421786129198</c:v>
                </c:pt>
                <c:pt idx="215">
                  <c:v>10.131498434449</c:v>
                </c:pt>
                <c:pt idx="216">
                  <c:v>10.1114276856927</c:v>
                </c:pt>
                <c:pt idx="217">
                  <c:v>10.106771860012801</c:v>
                </c:pt>
                <c:pt idx="218">
                  <c:v>10.107651568130199</c:v>
                </c:pt>
                <c:pt idx="219">
                  <c:v>10.1107274819458</c:v>
                </c:pt>
                <c:pt idx="220">
                  <c:v>10.982291026117201</c:v>
                </c:pt>
                <c:pt idx="221">
                  <c:v>10.9096095235577</c:v>
                </c:pt>
                <c:pt idx="222">
                  <c:v>10.869616482611001</c:v>
                </c:pt>
                <c:pt idx="223">
                  <c:v>10.844723979941399</c:v>
                </c:pt>
                <c:pt idx="224">
                  <c:v>10.8280532885039</c:v>
                </c:pt>
                <c:pt idx="225">
                  <c:v>8.3625983488350606</c:v>
                </c:pt>
                <c:pt idx="226">
                  <c:v>8.3627743617539192</c:v>
                </c:pt>
                <c:pt idx="227">
                  <c:v>8.3628371457753108</c:v>
                </c:pt>
                <c:pt idx="228">
                  <c:v>8.3628665022325208</c:v>
                </c:pt>
                <c:pt idx="229">
                  <c:v>8.3628825590679696</c:v>
                </c:pt>
                <c:pt idx="230">
                  <c:v>8.9250469500841803</c:v>
                </c:pt>
                <c:pt idx="231">
                  <c:v>8.9292455435797606</c:v>
                </c:pt>
                <c:pt idx="232">
                  <c:v>8.9309288578770296</c:v>
                </c:pt>
                <c:pt idx="233">
                  <c:v>8.9317667802891396</c:v>
                </c:pt>
                <c:pt idx="234">
                  <c:v>8.93224317664456</c:v>
                </c:pt>
                <c:pt idx="235">
                  <c:v>9.4709977348136292</c:v>
                </c:pt>
                <c:pt idx="236">
                  <c:v>9.4897381118201896</c:v>
                </c:pt>
                <c:pt idx="237">
                  <c:v>9.5022860750432798</c:v>
                </c:pt>
                <c:pt idx="238">
                  <c:v>9.5106791991141097</c:v>
                </c:pt>
                <c:pt idx="239">
                  <c:v>9.5164803371842694</c:v>
                </c:pt>
                <c:pt idx="240">
                  <c:v>10.123008052690899</c:v>
                </c:pt>
                <c:pt idx="241">
                  <c:v>10.100536470661901</c:v>
                </c:pt>
                <c:pt idx="242">
                  <c:v>10.0941015123529</c:v>
                </c:pt>
                <c:pt idx="243">
                  <c:v>10.093724917208</c:v>
                </c:pt>
                <c:pt idx="244">
                  <c:v>10.095955536453999</c:v>
                </c:pt>
                <c:pt idx="245">
                  <c:v>10.9802096527446</c:v>
                </c:pt>
                <c:pt idx="246">
                  <c:v>10.906833103045701</c:v>
                </c:pt>
                <c:pt idx="247">
                  <c:v>10.866244537598799</c:v>
                </c:pt>
                <c:pt idx="248">
                  <c:v>10.840823699368899</c:v>
                </c:pt>
                <c:pt idx="249">
                  <c:v>10.8236756803476</c:v>
                </c:pt>
                <c:pt idx="250">
                  <c:v>8.3529359077549703</c:v>
                </c:pt>
                <c:pt idx="251">
                  <c:v>8.3531766236508496</c:v>
                </c:pt>
                <c:pt idx="252">
                  <c:v>8.3532627783928497</c:v>
                </c:pt>
                <c:pt idx="253">
                  <c:v>8.3533031273861305</c:v>
                </c:pt>
                <c:pt idx="254">
                  <c:v>8.3533252028678699</c:v>
                </c:pt>
                <c:pt idx="255">
                  <c:v>8.9142002312138402</c:v>
                </c:pt>
                <c:pt idx="256">
                  <c:v>8.9196044881720393</c:v>
                </c:pt>
                <c:pt idx="257">
                  <c:v>8.9218154220682493</c:v>
                </c:pt>
                <c:pt idx="258">
                  <c:v>8.9229282941776908</c:v>
                </c:pt>
                <c:pt idx="259">
                  <c:v>8.9235654922303098</c:v>
                </c:pt>
                <c:pt idx="260">
                  <c:v>9.4553413866102698</c:v>
                </c:pt>
                <c:pt idx="261">
                  <c:v>9.4744644238908098</c:v>
                </c:pt>
                <c:pt idx="262">
                  <c:v>9.4881761541942797</c:v>
                </c:pt>
                <c:pt idx="263">
                  <c:v>9.4977270645188803</c:v>
                </c:pt>
                <c:pt idx="264">
                  <c:v>9.5045146235490208</c:v>
                </c:pt>
                <c:pt idx="265">
                  <c:v>10.116977784343099</c:v>
                </c:pt>
                <c:pt idx="266">
                  <c:v>10.092663739794499</c:v>
                </c:pt>
                <c:pt idx="267">
                  <c:v>10.084760964244399</c:v>
                </c:pt>
                <c:pt idx="268">
                  <c:v>10.083263046898701</c:v>
                </c:pt>
                <c:pt idx="269">
                  <c:v>10.0846670758415</c:v>
                </c:pt>
                <c:pt idx="270">
                  <c:v>10.9787148804027</c:v>
                </c:pt>
                <c:pt idx="271">
                  <c:v>10.9048334087167</c:v>
                </c:pt>
                <c:pt idx="272">
                  <c:v>10.8638083253992</c:v>
                </c:pt>
                <c:pt idx="273">
                  <c:v>10.8379964439139</c:v>
                </c:pt>
                <c:pt idx="274">
                  <c:v>10.820491511315099</c:v>
                </c:pt>
                <c:pt idx="275">
                  <c:v>8.3455717672157999</c:v>
                </c:pt>
                <c:pt idx="276">
                  <c:v>8.34588646885293</c:v>
                </c:pt>
                <c:pt idx="277">
                  <c:v>8.3459994639252493</c:v>
                </c:pt>
                <c:pt idx="278">
                  <c:v>8.3460524661461193</c:v>
                </c:pt>
                <c:pt idx="279">
                  <c:v>8.3460814998065391</c:v>
                </c:pt>
                <c:pt idx="280">
                  <c:v>8.9051719438224595</c:v>
                </c:pt>
                <c:pt idx="281">
                  <c:v>8.9118282525128496</c:v>
                </c:pt>
                <c:pt idx="282">
                  <c:v>8.9146057538535697</c:v>
                </c:pt>
                <c:pt idx="283">
                  <c:v>8.9160191900634604</c:v>
                </c:pt>
                <c:pt idx="284">
                  <c:v>8.9168341522327204</c:v>
                </c:pt>
                <c:pt idx="285">
                  <c:v>9.4426375606182997</c:v>
                </c:pt>
                <c:pt idx="286">
                  <c:v>9.4615563828285403</c:v>
                </c:pt>
                <c:pt idx="287">
                  <c:v>9.4760317351796797</c:v>
                </c:pt>
                <c:pt idx="288">
                  <c:v>9.4865038831808093</c:v>
                </c:pt>
                <c:pt idx="289">
                  <c:v>9.4941424980031393</c:v>
                </c:pt>
                <c:pt idx="290">
                  <c:v>10.1124946421488</c:v>
                </c:pt>
                <c:pt idx="291">
                  <c:v>10.0867404088771</c:v>
                </c:pt>
                <c:pt idx="292">
                  <c:v>10.0776287455265</c:v>
                </c:pt>
                <c:pt idx="293">
                  <c:v>10.0751544806614</c:v>
                </c:pt>
                <c:pt idx="294">
                  <c:v>10.075793645798999</c:v>
                </c:pt>
                <c:pt idx="295">
                  <c:v>10.977589367176099</c:v>
                </c:pt>
                <c:pt idx="296">
                  <c:v>10.9033245285628</c:v>
                </c:pt>
                <c:pt idx="297">
                  <c:v>10.861965871379899</c:v>
                </c:pt>
                <c:pt idx="298">
                  <c:v>10.835853070836601</c:v>
                </c:pt>
                <c:pt idx="299">
                  <c:v>10.818071450772401</c:v>
                </c:pt>
                <c:pt idx="300">
                  <c:v>8.4145522024020991</c:v>
                </c:pt>
                <c:pt idx="301">
                  <c:v>8.4146034172645905</c:v>
                </c:pt>
                <c:pt idx="302">
                  <c:v>8.4146215275221294</c:v>
                </c:pt>
                <c:pt idx="303">
                  <c:v>8.4146299599071401</c:v>
                </c:pt>
                <c:pt idx="304">
                  <c:v>8.4146345503254008</c:v>
                </c:pt>
                <c:pt idx="305">
                  <c:v>8.9753170780182998</c:v>
                </c:pt>
                <c:pt idx="306">
                  <c:v>8.9767622425698406</c:v>
                </c:pt>
                <c:pt idx="307">
                  <c:v>8.9773100063431208</c:v>
                </c:pt>
                <c:pt idx="308">
                  <c:v>8.9775744640518909</c:v>
                </c:pt>
                <c:pt idx="309">
                  <c:v>8.9777219287155905</c:v>
                </c:pt>
                <c:pt idx="310">
                  <c:v>9.5383831327633892</c:v>
                </c:pt>
                <c:pt idx="311">
                  <c:v>9.55146492806273</c:v>
                </c:pt>
                <c:pt idx="312">
                  <c:v>9.5585567768310291</c:v>
                </c:pt>
                <c:pt idx="313">
                  <c:v>9.5627400105661309</c:v>
                </c:pt>
                <c:pt idx="314">
                  <c:v>9.5653948736631094</c:v>
                </c:pt>
                <c:pt idx="315">
                  <c:v>10.156781262572901</c:v>
                </c:pt>
                <c:pt idx="316">
                  <c:v>10.1425560910731</c:v>
                </c:pt>
                <c:pt idx="317">
                  <c:v>10.1415675506738</c:v>
                </c:pt>
                <c:pt idx="318">
                  <c:v>10.1445778724625</c:v>
                </c:pt>
                <c:pt idx="319">
                  <c:v>10.148743784576499</c:v>
                </c:pt>
                <c:pt idx="320">
                  <c:v>10.9884566694413</c:v>
                </c:pt>
                <c:pt idx="321">
                  <c:v>10.9177791750169</c:v>
                </c:pt>
                <c:pt idx="322">
                  <c:v>10.8794672899236</c:v>
                </c:pt>
                <c:pt idx="323">
                  <c:v>10.8560326301549</c:v>
                </c:pt>
                <c:pt idx="324">
                  <c:v>10.8406477836393</c:v>
                </c:pt>
                <c:pt idx="325">
                  <c:v>8.3954266152924699</c:v>
                </c:pt>
                <c:pt idx="326">
                  <c:v>8.3955022974522002</c:v>
                </c:pt>
                <c:pt idx="327">
                  <c:v>8.3955291244356705</c:v>
                </c:pt>
                <c:pt idx="328">
                  <c:v>8.3955416273934897</c:v>
                </c:pt>
                <c:pt idx="329">
                  <c:v>8.3955484406676</c:v>
                </c:pt>
                <c:pt idx="330">
                  <c:v>8.9576779258841004</c:v>
                </c:pt>
                <c:pt idx="331">
                  <c:v>8.9597235989632402</c:v>
                </c:pt>
                <c:pt idx="332">
                  <c:v>8.9605101814983499</c:v>
                </c:pt>
                <c:pt idx="333">
                  <c:v>8.9608929073354293</c:v>
                </c:pt>
                <c:pt idx="334">
                  <c:v>8.9611073825276595</c:v>
                </c:pt>
                <c:pt idx="335">
                  <c:v>9.5162986678953398</c:v>
                </c:pt>
                <c:pt idx="336">
                  <c:v>9.5315918920388896</c:v>
                </c:pt>
                <c:pt idx="337">
                  <c:v>9.5403768004895397</c:v>
                </c:pt>
                <c:pt idx="338">
                  <c:v>9.5457397796286401</c:v>
                </c:pt>
                <c:pt idx="339">
                  <c:v>9.5492229842078906</c:v>
                </c:pt>
                <c:pt idx="340">
                  <c:v>10.1442148432798</c:v>
                </c:pt>
                <c:pt idx="341">
                  <c:v>10.1273191733681</c:v>
                </c:pt>
                <c:pt idx="342">
                  <c:v>10.124777505396001</c:v>
                </c:pt>
                <c:pt idx="343">
                  <c:v>10.1269769470907</c:v>
                </c:pt>
                <c:pt idx="344">
                  <c:v>10.130807010117699</c:v>
                </c:pt>
                <c:pt idx="345">
                  <c:v>10.985388487324601</c:v>
                </c:pt>
                <c:pt idx="346">
                  <c:v>10.9137240188325</c:v>
                </c:pt>
                <c:pt idx="347">
                  <c:v>10.8745909263546</c:v>
                </c:pt>
                <c:pt idx="348">
                  <c:v>10.8504505040325</c:v>
                </c:pt>
                <c:pt idx="349">
                  <c:v>10.8344490973268</c:v>
                </c:pt>
                <c:pt idx="350">
                  <c:v>8.3815195586676694</c:v>
                </c:pt>
                <c:pt idx="351">
                  <c:v>8.3816242581218194</c:v>
                </c:pt>
                <c:pt idx="352">
                  <c:v>8.3816614530298903</c:v>
                </c:pt>
                <c:pt idx="353">
                  <c:v>8.3816788058188205</c:v>
                </c:pt>
                <c:pt idx="354">
                  <c:v>8.3816882808780608</c:v>
                </c:pt>
                <c:pt idx="355">
                  <c:v>8.9443726242845703</c:v>
                </c:pt>
                <c:pt idx="356">
                  <c:v>8.9470855806041705</c:v>
                </c:pt>
                <c:pt idx="357">
                  <c:v>8.9481435918892505</c:v>
                </c:pt>
                <c:pt idx="358">
                  <c:v>8.9486623557520595</c:v>
                </c:pt>
                <c:pt idx="359">
                  <c:v>8.9489544800982195</c:v>
                </c:pt>
                <c:pt idx="360">
                  <c:v>9.4984422930244303</c:v>
                </c:pt>
                <c:pt idx="361">
                  <c:v>9.5153703198608195</c:v>
                </c:pt>
                <c:pt idx="362">
                  <c:v>9.52563466888334</c:v>
                </c:pt>
                <c:pt idx="363">
                  <c:v>9.5321060600384602</c:v>
                </c:pt>
                <c:pt idx="364">
                  <c:v>9.5364019752266405</c:v>
                </c:pt>
                <c:pt idx="365">
                  <c:v>10.135139681095801</c:v>
                </c:pt>
                <c:pt idx="366">
                  <c:v>10.116028935293899</c:v>
                </c:pt>
                <c:pt idx="367">
                  <c:v>10.1120415611224</c:v>
                </c:pt>
                <c:pt idx="368">
                  <c:v>10.113360874555299</c:v>
                </c:pt>
                <c:pt idx="369">
                  <c:v>10.116706833421199</c:v>
                </c:pt>
                <c:pt idx="370">
                  <c:v>10.983179021220099</c:v>
                </c:pt>
                <c:pt idx="371">
                  <c:v>10.910791206971099</c:v>
                </c:pt>
                <c:pt idx="372">
                  <c:v>10.8710478994574</c:v>
                </c:pt>
                <c:pt idx="373">
                  <c:v>10.8463751475634</c:v>
                </c:pt>
                <c:pt idx="374">
                  <c:v>10.8299012771976</c:v>
                </c:pt>
                <c:pt idx="375">
                  <c:v>8.3709354670448999</c:v>
                </c:pt>
                <c:pt idx="376">
                  <c:v>8.3710736464903306</c:v>
                </c:pt>
                <c:pt idx="377">
                  <c:v>8.3711228369187101</c:v>
                </c:pt>
                <c:pt idx="378">
                  <c:v>8.3711458046781697</c:v>
                </c:pt>
                <c:pt idx="379">
                  <c:v>8.3711583573254291</c:v>
                </c:pt>
                <c:pt idx="380">
                  <c:v>8.9337974271700205</c:v>
                </c:pt>
                <c:pt idx="381">
                  <c:v>8.9372317354484796</c:v>
                </c:pt>
                <c:pt idx="382">
                  <c:v>8.9385898699852504</c:v>
                </c:pt>
                <c:pt idx="383">
                  <c:v>8.9392608644325993</c:v>
                </c:pt>
                <c:pt idx="384">
                  <c:v>8.9396405394323804</c:v>
                </c:pt>
                <c:pt idx="385">
                  <c:v>9.4835874719128999</c:v>
                </c:pt>
                <c:pt idx="386">
                  <c:v>9.5016388112296593</c:v>
                </c:pt>
                <c:pt idx="387">
                  <c:v>9.5131558476516407</c:v>
                </c:pt>
                <c:pt idx="388">
                  <c:v>9.5206410061847908</c:v>
                </c:pt>
                <c:pt idx="389">
                  <c:v>9.5257137951744006</c:v>
                </c:pt>
                <c:pt idx="390">
                  <c:v>10.1283117005393</c:v>
                </c:pt>
                <c:pt idx="391">
                  <c:v>10.1073665680396</c:v>
                </c:pt>
                <c:pt idx="392">
                  <c:v>10.102080415818</c:v>
                </c:pt>
                <c:pt idx="393">
                  <c:v>10.102528778800201</c:v>
                </c:pt>
                <c:pt idx="394">
                  <c:v>10.1053256385228</c:v>
                </c:pt>
                <c:pt idx="395">
                  <c:v>10.981512055865901</c:v>
                </c:pt>
                <c:pt idx="396">
                  <c:v>10.9085715199693</c:v>
                </c:pt>
                <c:pt idx="397">
                  <c:v>10.8683572709856</c:v>
                </c:pt>
                <c:pt idx="398">
                  <c:v>10.843269219201</c:v>
                </c:pt>
                <c:pt idx="399">
                  <c:v>10.826422532285999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Kc</c:v>
                </c15:tx>
              </c15:filteredSeriesTitle>
            </c:ext>
            <c:ext xmlns:c16="http://schemas.microsoft.com/office/drawing/2014/chart" uri="{C3380CC4-5D6E-409C-BE32-E72D297353CC}">
              <c16:uniqueId val="{00000001-3707-EC41-921A-9242F4F31E4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DATA!$J$2:$J$401</c:f>
              <c:numCache>
                <c:formatCode>0.0000</c:formatCode>
                <c:ptCount val="400"/>
                <c:pt idx="0">
                  <c:v>0.64574559742878468</c:v>
                </c:pt>
                <c:pt idx="1">
                  <c:v>0.64472101678796034</c:v>
                </c:pt>
                <c:pt idx="2">
                  <c:v>0.64378142412141259</c:v>
                </c:pt>
                <c:pt idx="3">
                  <c:v>0.64291489762000698</c:v>
                </c:pt>
                <c:pt idx="4">
                  <c:v>0.64211480171134905</c:v>
                </c:pt>
                <c:pt idx="5">
                  <c:v>0.72756137142228783</c:v>
                </c:pt>
                <c:pt idx="6">
                  <c:v>0.72729802328835413</c:v>
                </c:pt>
                <c:pt idx="7">
                  <c:v>0.72711077074884622</c:v>
                </c:pt>
                <c:pt idx="8">
                  <c:v>0.72695545511977122</c:v>
                </c:pt>
                <c:pt idx="9">
                  <c:v>0.72681729828106978</c:v>
                </c:pt>
                <c:pt idx="10">
                  <c:v>0.8232689125337298</c:v>
                </c:pt>
                <c:pt idx="11">
                  <c:v>0.82252747098894485</c:v>
                </c:pt>
                <c:pt idx="12">
                  <c:v>0.82217793062428812</c:v>
                </c:pt>
                <c:pt idx="13">
                  <c:v>0.82199305577083126</c:v>
                </c:pt>
                <c:pt idx="14">
                  <c:v>0.82189568891877707</c:v>
                </c:pt>
                <c:pt idx="15">
                  <c:v>0.94200777394921409</c:v>
                </c:pt>
                <c:pt idx="16">
                  <c:v>0.93921167167979636</c:v>
                </c:pt>
                <c:pt idx="17">
                  <c:v>0.93805079928364055</c:v>
                </c:pt>
                <c:pt idx="18">
                  <c:v>0.93760882717904948</c:v>
                </c:pt>
                <c:pt idx="19">
                  <c:v>0.93755411084218809</c:v>
                </c:pt>
                <c:pt idx="20">
                  <c:v>1.091621678390287</c:v>
                </c:pt>
                <c:pt idx="21">
                  <c:v>1.0869347314485331</c:v>
                </c:pt>
                <c:pt idx="22">
                  <c:v>1.0850165758848314</c:v>
                </c:pt>
                <c:pt idx="23">
                  <c:v>1.0843428862435505</c:v>
                </c:pt>
                <c:pt idx="24">
                  <c:v>1.0842952044022611</c:v>
                </c:pt>
                <c:pt idx="25">
                  <c:v>0.64609479135631265</c:v>
                </c:pt>
                <c:pt idx="26">
                  <c:v>0.64521070370321643</c:v>
                </c:pt>
                <c:pt idx="27">
                  <c:v>0.6443910611034035</c:v>
                </c:pt>
                <c:pt idx="28">
                  <c:v>0.64362565930506088</c:v>
                </c:pt>
                <c:pt idx="29">
                  <c:v>0.6429095227841628</c:v>
                </c:pt>
                <c:pt idx="30">
                  <c:v>0.72760065199842439</c:v>
                </c:pt>
                <c:pt idx="31">
                  <c:v>0.72735633042189529</c:v>
                </c:pt>
                <c:pt idx="32">
                  <c:v>0.72718759441452108</c:v>
                </c:pt>
                <c:pt idx="33">
                  <c:v>0.72705029478406602</c:v>
                </c:pt>
                <c:pt idx="34">
                  <c:v>0.72692966116114455</c:v>
                </c:pt>
                <c:pt idx="35">
                  <c:v>0.82327116005592249</c:v>
                </c:pt>
                <c:pt idx="36">
                  <c:v>0.82253096734918496</c:v>
                </c:pt>
                <c:pt idx="37">
                  <c:v>0.82218267062405537</c:v>
                </c:pt>
                <c:pt idx="38">
                  <c:v>0.82199903315892597</c:v>
                </c:pt>
                <c:pt idx="39">
                  <c:v>0.82190289651862003</c:v>
                </c:pt>
                <c:pt idx="40">
                  <c:v>0.94200747404693408</c:v>
                </c:pt>
                <c:pt idx="41">
                  <c:v>0.93921130045455736</c:v>
                </c:pt>
                <c:pt idx="42">
                  <c:v>0.93805036188823832</c:v>
                </c:pt>
                <c:pt idx="43">
                  <c:v>0.93760832632562474</c:v>
                </c:pt>
                <c:pt idx="44">
                  <c:v>0.93755354585395012</c:v>
                </c:pt>
                <c:pt idx="45">
                  <c:v>1.0916215708924339</c:v>
                </c:pt>
                <c:pt idx="46">
                  <c:v>1.0869345868876454</c:v>
                </c:pt>
                <c:pt idx="47">
                  <c:v>1.0850163948759337</c:v>
                </c:pt>
                <c:pt idx="48">
                  <c:v>1.0843426716073641</c:v>
                </c:pt>
                <c:pt idx="49">
                  <c:v>1.0842949576800034</c:v>
                </c:pt>
                <c:pt idx="50">
                  <c:v>0.64634947220390426</c:v>
                </c:pt>
                <c:pt idx="51">
                  <c:v>0.64557177234058905</c:v>
                </c:pt>
                <c:pt idx="52">
                  <c:v>0.64484563953713758</c:v>
                </c:pt>
                <c:pt idx="53">
                  <c:v>0.64416175181235513</c:v>
                </c:pt>
                <c:pt idx="54">
                  <c:v>0.64351600106240026</c:v>
                </c:pt>
                <c:pt idx="55">
                  <c:v>0.72762882641983995</c:v>
                </c:pt>
                <c:pt idx="56">
                  <c:v>0.72739823820663174</c:v>
                </c:pt>
                <c:pt idx="57">
                  <c:v>0.72724292636434851</c:v>
                </c:pt>
                <c:pt idx="58">
                  <c:v>0.72711874653455411</c:v>
                </c:pt>
                <c:pt idx="59">
                  <c:v>0.72701093113211701</c:v>
                </c:pt>
                <c:pt idx="60">
                  <c:v>0.82327276639125857</c:v>
                </c:pt>
                <c:pt idx="61">
                  <c:v>0.82253346882482381</c:v>
                </c:pt>
                <c:pt idx="62">
                  <c:v>0.82218606355787482</c:v>
                </c:pt>
                <c:pt idx="63">
                  <c:v>0.82200331422814865</c:v>
                </c:pt>
                <c:pt idx="64">
                  <c:v>0.8219080599668751</c:v>
                </c:pt>
                <c:pt idx="65">
                  <c:v>0.94200725903251603</c:v>
                </c:pt>
                <c:pt idx="66">
                  <c:v>0.93921103647285431</c:v>
                </c:pt>
                <c:pt idx="67">
                  <c:v>0.93805004843502549</c:v>
                </c:pt>
                <c:pt idx="68">
                  <c:v>0.93760796757384113</c:v>
                </c:pt>
                <c:pt idx="69">
                  <c:v>0.93755314271832113</c:v>
                </c:pt>
                <c:pt idx="70">
                  <c:v>1.0916214932137971</c:v>
                </c:pt>
                <c:pt idx="71">
                  <c:v>1.0869344819051274</c:v>
                </c:pt>
                <c:pt idx="72">
                  <c:v>1.0850162651427826</c:v>
                </c:pt>
                <c:pt idx="73">
                  <c:v>1.0843425174541732</c:v>
                </c:pt>
                <c:pt idx="74">
                  <c:v>1.0842947813223096</c:v>
                </c:pt>
                <c:pt idx="75">
                  <c:v>0.64654339441900543</c:v>
                </c:pt>
                <c:pt idx="76">
                  <c:v>0.64584887881936648</c:v>
                </c:pt>
                <c:pt idx="77">
                  <c:v>0.64519733820779557</c:v>
                </c:pt>
                <c:pt idx="78">
                  <c:v>0.64457994822267295</c:v>
                </c:pt>
                <c:pt idx="79">
                  <c:v>0.64399309391960613</c:v>
                </c:pt>
                <c:pt idx="80">
                  <c:v>0.72765002153188718</c:v>
                </c:pt>
                <c:pt idx="81">
                  <c:v>0.72742981263735962</c:v>
                </c:pt>
                <c:pt idx="82">
                  <c:v>0.72728467803076002</c:v>
                </c:pt>
                <c:pt idx="83">
                  <c:v>0.72717047570365945</c:v>
                </c:pt>
                <c:pt idx="84">
                  <c:v>0.72707244101868429</c:v>
                </c:pt>
                <c:pt idx="85">
                  <c:v>0.82327397216274234</c:v>
                </c:pt>
                <c:pt idx="86">
                  <c:v>0.82253534694706154</c:v>
                </c:pt>
                <c:pt idx="87">
                  <c:v>0.82218861243810759</c:v>
                </c:pt>
                <c:pt idx="88">
                  <c:v>0.82200653111272248</c:v>
                </c:pt>
                <c:pt idx="89">
                  <c:v>0.82191194192840944</c:v>
                </c:pt>
                <c:pt idx="90">
                  <c:v>0.9420070984082527</c:v>
                </c:pt>
                <c:pt idx="91">
                  <c:v>0.93921083656254367</c:v>
                </c:pt>
                <c:pt idx="92">
                  <c:v>0.93804981378852448</c:v>
                </c:pt>
                <c:pt idx="93">
                  <c:v>0.93760769919318432</c:v>
                </c:pt>
                <c:pt idx="94">
                  <c:v>0.93755284032733688</c:v>
                </c:pt>
                <c:pt idx="95">
                  <c:v>1.0916214371059649</c:v>
                </c:pt>
                <c:pt idx="96">
                  <c:v>1.0869344041313742</c:v>
                </c:pt>
                <c:pt idx="97">
                  <c:v>1.0850161687130875</c:v>
                </c:pt>
                <c:pt idx="98">
                  <c:v>1.0843424020110846</c:v>
                </c:pt>
                <c:pt idx="99">
                  <c:v>1.0842946498956552</c:v>
                </c:pt>
                <c:pt idx="100">
                  <c:v>0.65048630643802741</c:v>
                </c:pt>
                <c:pt idx="101">
                  <c:v>0.65052460040012872</c:v>
                </c:pt>
                <c:pt idx="102">
                  <c:v>0.65053854779046882</c:v>
                </c:pt>
                <c:pt idx="103">
                  <c:v>0.6505452323444354</c:v>
                </c:pt>
                <c:pt idx="104">
                  <c:v>0.65054902700100914</c:v>
                </c:pt>
                <c:pt idx="105">
                  <c:v>0.73574057377146784</c:v>
                </c:pt>
                <c:pt idx="106">
                  <c:v>0.73650522181601807</c:v>
                </c:pt>
                <c:pt idx="107">
                  <c:v>0.73683869564208837</c:v>
                </c:pt>
                <c:pt idx="108">
                  <c:v>0.73701423980797831</c:v>
                </c:pt>
                <c:pt idx="109">
                  <c:v>0.73711915677589412</c:v>
                </c:pt>
                <c:pt idx="110">
                  <c:v>0.82875835491175431</c:v>
                </c:pt>
                <c:pt idx="111">
                  <c:v>0.83033153039902607</c:v>
                </c:pt>
                <c:pt idx="112">
                  <c:v>0.83170773697092137</c:v>
                </c:pt>
                <c:pt idx="113">
                  <c:v>0.83279687625059706</c:v>
                </c:pt>
                <c:pt idx="114">
                  <c:v>0.83365477501325946</c:v>
                </c:pt>
                <c:pt idx="115">
                  <c:v>0.94562101010194488</c:v>
                </c:pt>
                <c:pt idx="116">
                  <c:v>0.94355681272606973</c:v>
                </c:pt>
                <c:pt idx="117">
                  <c:v>0.94311248180692386</c:v>
                </c:pt>
                <c:pt idx="118">
                  <c:v>0.94337139359070787</c:v>
                </c:pt>
                <c:pt idx="119">
                  <c:v>0.94399632422426738</c:v>
                </c:pt>
                <c:pt idx="120">
                  <c:v>1.0930213843212333</c:v>
                </c:pt>
                <c:pt idx="121">
                  <c:v>1.0887118612141697</c:v>
                </c:pt>
                <c:pt idx="122">
                  <c:v>1.0871282445205415</c:v>
                </c:pt>
                <c:pt idx="123">
                  <c:v>1.0867673182774473</c:v>
                </c:pt>
                <c:pt idx="124">
                  <c:v>1.0870192941414423</c:v>
                </c:pt>
                <c:pt idx="125">
                  <c:v>0.6495986762365098</c:v>
                </c:pt>
                <c:pt idx="126">
                  <c:v>0.64965317069391115</c:v>
                </c:pt>
                <c:pt idx="127">
                  <c:v>0.64967310061817662</c:v>
                </c:pt>
                <c:pt idx="128">
                  <c:v>0.64968262963220091</c:v>
                </c:pt>
                <c:pt idx="129">
                  <c:v>0.64968799590696791</c:v>
                </c:pt>
                <c:pt idx="130">
                  <c:v>0.73440069186127566</c:v>
                </c:pt>
                <c:pt idx="131">
                  <c:v>0.73537299347535012</c:v>
                </c:pt>
                <c:pt idx="132">
                  <c:v>0.73581215375929154</c:v>
                </c:pt>
                <c:pt idx="133">
                  <c:v>0.73604736422749006</c:v>
                </c:pt>
                <c:pt idx="134">
                  <c:v>0.73618895944797313</c:v>
                </c:pt>
                <c:pt idx="135">
                  <c:v>0.8272629013502536</c:v>
                </c:pt>
                <c:pt idx="136">
                  <c:v>0.82863684338041688</c:v>
                </c:pt>
                <c:pt idx="137">
                  <c:v>0.82998920329799919</c:v>
                </c:pt>
                <c:pt idx="138">
                  <c:v>0.8311260728480746</c:v>
                </c:pt>
                <c:pt idx="139">
                  <c:v>0.83205659563960666</c:v>
                </c:pt>
                <c:pt idx="140">
                  <c:v>0.94499339020785755</c:v>
                </c:pt>
                <c:pt idx="141">
                  <c:v>0.94279182597225442</c:v>
                </c:pt>
                <c:pt idx="142">
                  <c:v>0.94222031484273483</c:v>
                </c:pt>
                <c:pt idx="143">
                  <c:v>0.94236400777890061</c:v>
                </c:pt>
                <c:pt idx="144">
                  <c:v>0.94288663637732584</c:v>
                </c:pt>
                <c:pt idx="145">
                  <c:v>1.0927897346468605</c:v>
                </c:pt>
                <c:pt idx="146">
                  <c:v>1.0884186432083083</c:v>
                </c:pt>
                <c:pt idx="147">
                  <c:v>1.0867809252305567</c:v>
                </c:pt>
                <c:pt idx="148">
                  <c:v>1.0863698628901528</c:v>
                </c:pt>
                <c:pt idx="149">
                  <c:v>1.0865742252676316</c:v>
                </c:pt>
                <c:pt idx="150">
                  <c:v>0.64894746721776431</c:v>
                </c:pt>
                <c:pt idx="151">
                  <c:v>0.64902057863231233</c:v>
                </c:pt>
                <c:pt idx="152">
                  <c:v>0.64904745357170202</c:v>
                </c:pt>
                <c:pt idx="153">
                  <c:v>0.64906030452723162</c:v>
                </c:pt>
                <c:pt idx="154">
                  <c:v>0.64906751133590568</c:v>
                </c:pt>
                <c:pt idx="155">
                  <c:v>0.73328305535546656</c:v>
                </c:pt>
                <c:pt idx="156">
                  <c:v>0.7344523579505795</c:v>
                </c:pt>
                <c:pt idx="157">
                  <c:v>0.73499884534744697</c:v>
                </c:pt>
                <c:pt idx="158">
                  <c:v>0.73529685639987208</c:v>
                </c:pt>
                <c:pt idx="159">
                  <c:v>0.73547792842085613</c:v>
                </c:pt>
                <c:pt idx="160">
                  <c:v>0.82618316355303223</c:v>
                </c:pt>
                <c:pt idx="161">
                  <c:v>0.82733741574784103</c:v>
                </c:pt>
                <c:pt idx="162">
                  <c:v>0.82862101718408487</c:v>
                </c:pt>
                <c:pt idx="163">
                  <c:v>0.82976382389751835</c:v>
                </c:pt>
                <c:pt idx="164">
                  <c:v>0.83073397160238938</c:v>
                </c:pt>
                <c:pt idx="165">
                  <c:v>0.94454918158862378</c:v>
                </c:pt>
                <c:pt idx="166">
                  <c:v>0.94225006680375933</c:v>
                </c:pt>
                <c:pt idx="167">
                  <c:v>0.94158542250812749</c:v>
                </c:pt>
                <c:pt idx="168">
                  <c:v>0.94164182437380661</c:v>
                </c:pt>
                <c:pt idx="169">
                  <c:v>0.94208418925570381</c:v>
                </c:pt>
                <c:pt idx="170">
                  <c:v>1.0926238469468488</c:v>
                </c:pt>
                <c:pt idx="171">
                  <c:v>1.088208446661181</c:v>
                </c:pt>
                <c:pt idx="172">
                  <c:v>1.0865316756059262</c:v>
                </c:pt>
                <c:pt idx="173">
                  <c:v>1.0860843111541125</c:v>
                </c:pt>
                <c:pt idx="174">
                  <c:v>1.0862540996098937</c:v>
                </c:pt>
                <c:pt idx="175">
                  <c:v>0.64844360586218341</c:v>
                </c:pt>
                <c:pt idx="176">
                  <c:v>0.64853757407954182</c:v>
                </c:pt>
                <c:pt idx="177">
                  <c:v>0.64857230941942301</c:v>
                </c:pt>
                <c:pt idx="178">
                  <c:v>0.64858894308464754</c:v>
                </c:pt>
                <c:pt idx="179">
                  <c:v>0.64859825159489592</c:v>
                </c:pt>
                <c:pt idx="180">
                  <c:v>0.73231305980595218</c:v>
                </c:pt>
                <c:pt idx="181">
                  <c:v>0.73366428777335768</c:v>
                </c:pt>
                <c:pt idx="182">
                  <c:v>0.73431704863251368</c:v>
                </c:pt>
                <c:pt idx="183">
                  <c:v>0.73467951710043333</c:v>
                </c:pt>
                <c:pt idx="184">
                  <c:v>0.73490202189931675</c:v>
                </c:pt>
                <c:pt idx="185">
                  <c:v>0.82538283112159427</c:v>
                </c:pt>
                <c:pt idx="186">
                  <c:v>0.82631946033893289</c:v>
                </c:pt>
                <c:pt idx="187">
                  <c:v>0.82750938735886226</c:v>
                </c:pt>
                <c:pt idx="188">
                  <c:v>0.82862934909058372</c:v>
                </c:pt>
                <c:pt idx="189">
                  <c:v>0.8296137323510181</c:v>
                </c:pt>
                <c:pt idx="190">
                  <c:v>0.94421876676374961</c:v>
                </c:pt>
                <c:pt idx="191">
                  <c:v>0.94184746727537083</c:v>
                </c:pt>
                <c:pt idx="192">
                  <c:v>0.94111245602780602</c:v>
                </c:pt>
                <c:pt idx="193">
                  <c:v>0.94110129276821819</c:v>
                </c:pt>
                <c:pt idx="194">
                  <c:v>0.94147993798518514</c:v>
                </c:pt>
                <c:pt idx="195">
                  <c:v>1.0924991995893458</c:v>
                </c:pt>
                <c:pt idx="196">
                  <c:v>1.0880503806981165</c:v>
                </c:pt>
                <c:pt idx="197">
                  <c:v>1.086344096158951</c:v>
                </c:pt>
                <c:pt idx="198">
                  <c:v>1.0858692399629966</c:v>
                </c:pt>
                <c:pt idx="199">
                  <c:v>1.0860127804845179</c:v>
                </c:pt>
                <c:pt idx="200">
                  <c:v>0.65557185710523347</c:v>
                </c:pt>
                <c:pt idx="201">
                  <c:v>0.65558143868206165</c:v>
                </c:pt>
                <c:pt idx="202">
                  <c:v>0.65558496268739008</c:v>
                </c:pt>
                <c:pt idx="203">
                  <c:v>0.65558673483686292</c:v>
                </c:pt>
                <c:pt idx="204">
                  <c:v>0.65558783829096245</c:v>
                </c:pt>
                <c:pt idx="205">
                  <c:v>0.74169813946775032</c:v>
                </c:pt>
                <c:pt idx="206">
                  <c:v>0.74195515508402654</c:v>
                </c:pt>
                <c:pt idx="207">
                  <c:v>0.74205827043252826</c:v>
                </c:pt>
                <c:pt idx="208">
                  <c:v>0.74211140639495221</c:v>
                </c:pt>
                <c:pt idx="209">
                  <c:v>0.7421439120211123</c:v>
                </c:pt>
                <c:pt idx="210">
                  <c:v>0.83649890818568318</c:v>
                </c:pt>
                <c:pt idx="211">
                  <c:v>0.8380906186919731</c:v>
                </c:pt>
                <c:pt idx="212">
                  <c:v>0.83910635259982214</c:v>
                </c:pt>
                <c:pt idx="213">
                  <c:v>0.83978656303692067</c:v>
                </c:pt>
                <c:pt idx="214">
                  <c:v>0.84027463176375039</c:v>
                </c:pt>
                <c:pt idx="215">
                  <c:v>0.94944766333784147</c:v>
                </c:pt>
                <c:pt idx="216">
                  <c:v>0.94814620076809752</c:v>
                </c:pt>
                <c:pt idx="217">
                  <c:v>0.94832204202095716</c:v>
                </c:pt>
                <c:pt idx="218">
                  <c:v>0.94907334917063346</c:v>
                </c:pt>
                <c:pt idx="219">
                  <c:v>0.95008176969259661</c:v>
                </c:pt>
                <c:pt idx="220">
                  <c:v>1.0943968910437523</c:v>
                </c:pt>
                <c:pt idx="221">
                  <c:v>1.0904455845752001</c:v>
                </c:pt>
                <c:pt idx="222">
                  <c:v>1.0891729391067351</c:v>
                </c:pt>
                <c:pt idx="223">
                  <c:v>1.089096727119137</c:v>
                </c:pt>
                <c:pt idx="224">
                  <c:v>1.0896158472906412</c:v>
                </c:pt>
                <c:pt idx="225">
                  <c:v>0.65390603021694893</c:v>
                </c:pt>
                <c:pt idx="226">
                  <c:v>0.65391991071393596</c:v>
                </c:pt>
                <c:pt idx="227">
                  <c:v>0.65392497617035528</c:v>
                </c:pt>
                <c:pt idx="228">
                  <c:v>0.65392746956876302</c:v>
                </c:pt>
                <c:pt idx="229">
                  <c:v>0.65392896548945711</c:v>
                </c:pt>
                <c:pt idx="230">
                  <c:v>0.73991451396349339</c:v>
                </c:pt>
                <c:pt idx="231">
                  <c:v>0.74026503055761483</c:v>
                </c:pt>
                <c:pt idx="232">
                  <c:v>0.7404076840040954</c:v>
                </c:pt>
                <c:pt idx="233">
                  <c:v>0.74048101897249941</c:v>
                </c:pt>
                <c:pt idx="234">
                  <c:v>0.74052516565824389</c:v>
                </c:pt>
                <c:pt idx="235">
                  <c:v>0.83416263465453089</c:v>
                </c:pt>
                <c:pt idx="236">
                  <c:v>0.83585731171498778</c:v>
                </c:pt>
                <c:pt idx="237">
                  <c:v>0.83701498678089958</c:v>
                </c:pt>
                <c:pt idx="238">
                  <c:v>0.83781729439126706</c:v>
                </c:pt>
                <c:pt idx="239">
                  <c:v>0.83840185922101007</c:v>
                </c:pt>
                <c:pt idx="240">
                  <c:v>0.94816830339384917</c:v>
                </c:pt>
                <c:pt idx="241">
                  <c:v>0.94663040684783928</c:v>
                </c:pt>
                <c:pt idx="242">
                  <c:v>0.94662962062933687</c:v>
                </c:pt>
                <c:pt idx="243">
                  <c:v>0.94725310598520751</c:v>
                </c:pt>
                <c:pt idx="244">
                  <c:v>0.94817166890563653</c:v>
                </c:pt>
                <c:pt idx="245">
                  <c:v>1.093941109609889</c:v>
                </c:pt>
                <c:pt idx="246">
                  <c:v>1.0898725014628294</c:v>
                </c:pt>
                <c:pt idx="247">
                  <c:v>1.0884987475440591</c:v>
                </c:pt>
                <c:pt idx="248">
                  <c:v>1.0883306235746928</c:v>
                </c:pt>
                <c:pt idx="249">
                  <c:v>1.0887641151976761</c:v>
                </c:pt>
                <c:pt idx="250">
                  <c:v>0.65270099775986634</c:v>
                </c:pt>
                <c:pt idx="251">
                  <c:v>0.65271992310280735</c:v>
                </c:pt>
                <c:pt idx="252">
                  <c:v>0.65272680875182221</c:v>
                </c:pt>
                <c:pt idx="253">
                  <c:v>0.65273015661245837</c:v>
                </c:pt>
                <c:pt idx="254">
                  <c:v>0.65273211831629874</c:v>
                </c:pt>
                <c:pt idx="255">
                  <c:v>0.73855318813242887</c:v>
                </c:pt>
                <c:pt idx="256">
                  <c:v>0.73900334803081402</c:v>
                </c:pt>
                <c:pt idx="257">
                  <c:v>0.73918958981438432</c:v>
                </c:pt>
                <c:pt idx="258">
                  <c:v>0.73928561321155062</c:v>
                </c:pt>
                <c:pt idx="259">
                  <c:v>0.73934299935184689</c:v>
                </c:pt>
                <c:pt idx="260">
                  <c:v>0.83235077107172228</c:v>
                </c:pt>
                <c:pt idx="261">
                  <c:v>0.83407759529603476</c:v>
                </c:pt>
                <c:pt idx="262">
                  <c:v>0.83533651036417733</c:v>
                </c:pt>
                <c:pt idx="263">
                  <c:v>0.83623965120198429</c:v>
                </c:pt>
                <c:pt idx="264">
                  <c:v>0.83690998567224761</c:v>
                </c:pt>
                <c:pt idx="265">
                  <c:v>0.94725469757161318</c:v>
                </c:pt>
                <c:pt idx="266">
                  <c:v>0.9455356928982992</c:v>
                </c:pt>
                <c:pt idx="267">
                  <c:v>0.94539011369442116</c:v>
                </c:pt>
                <c:pt idx="268">
                  <c:v>0.94590115191193469</c:v>
                </c:pt>
                <c:pt idx="269">
                  <c:v>0.9467344734376254</c:v>
                </c:pt>
                <c:pt idx="270">
                  <c:v>1.0936138931805752</c:v>
                </c:pt>
                <c:pt idx="271">
                  <c:v>1.0894602199999579</c:v>
                </c:pt>
                <c:pt idx="272">
                  <c:v>1.088012699599602</c:v>
                </c:pt>
                <c:pt idx="273">
                  <c:v>1.0877771157230685</c:v>
                </c:pt>
                <c:pt idx="274">
                  <c:v>1.0881473871446392</c:v>
                </c:pt>
                <c:pt idx="275">
                  <c:v>0.65178682318060677</c:v>
                </c:pt>
                <c:pt idx="276">
                  <c:v>0.65181151582751051</c:v>
                </c:pt>
                <c:pt idx="277">
                  <c:v>0.65182049229034378</c:v>
                </c:pt>
                <c:pt idx="278">
                  <c:v>0.65182482442253464</c:v>
                </c:pt>
                <c:pt idx="279">
                  <c:v>0.65182732570246571</c:v>
                </c:pt>
                <c:pt idx="280">
                  <c:v>0.7374564011147613</c:v>
                </c:pt>
                <c:pt idx="281">
                  <c:v>0.73801001007927469</c:v>
                </c:pt>
                <c:pt idx="282">
                  <c:v>0.73824305410658653</c:v>
                </c:pt>
                <c:pt idx="283">
                  <c:v>0.73836388860991364</c:v>
                </c:pt>
                <c:pt idx="284">
                  <c:v>0.73843592679633563</c:v>
                </c:pt>
                <c:pt idx="285">
                  <c:v>0.8309054069464098</c:v>
                </c:pt>
                <c:pt idx="286">
                  <c:v>0.83261304368920275</c:v>
                </c:pt>
                <c:pt idx="287">
                  <c:v>0.83393818253158736</c:v>
                </c:pt>
                <c:pt idx="288">
                  <c:v>0.83492151143569704</c:v>
                </c:pt>
                <c:pt idx="289">
                  <c:v>0.83566588410488296</c:v>
                </c:pt>
                <c:pt idx="290">
                  <c:v>0.94657150586606831</c:v>
                </c:pt>
                <c:pt idx="291">
                  <c:v>0.94471104061606459</c:v>
                </c:pt>
                <c:pt idx="292">
                  <c:v>0.94444664802933109</c:v>
                </c:pt>
                <c:pt idx="293">
                  <c:v>0.944860582828975</c:v>
                </c:pt>
                <c:pt idx="294">
                  <c:v>0.94561629783310963</c:v>
                </c:pt>
                <c:pt idx="295">
                  <c:v>1.0933675648900409</c:v>
                </c:pt>
                <c:pt idx="296">
                  <c:v>1.0891493846104556</c:v>
                </c:pt>
                <c:pt idx="297">
                  <c:v>1.0876456819175311</c:v>
                </c:pt>
                <c:pt idx="298">
                  <c:v>1.0873584908688199</c:v>
                </c:pt>
                <c:pt idx="299">
                  <c:v>1.0876801871069759</c:v>
                </c:pt>
                <c:pt idx="300">
                  <c:v>0.66045498886498921</c:v>
                </c:pt>
                <c:pt idx="301">
                  <c:v>0.66045913606240658</c:v>
                </c:pt>
                <c:pt idx="302">
                  <c:v>0.66046072682772594</c:v>
                </c:pt>
                <c:pt idx="303">
                  <c:v>0.66046160358632977</c:v>
                </c:pt>
                <c:pt idx="304">
                  <c:v>0.66046222435819879</c:v>
                </c:pt>
                <c:pt idx="305">
                  <c:v>0.74662300901099399</c:v>
                </c:pt>
                <c:pt idx="306">
                  <c:v>0.74674582436739412</c:v>
                </c:pt>
                <c:pt idx="307">
                  <c:v>0.74679470064998021</c:v>
                </c:pt>
                <c:pt idx="308">
                  <c:v>0.74682083316705983</c:v>
                </c:pt>
                <c:pt idx="309">
                  <c:v>0.74683807087526233</c:v>
                </c:pt>
                <c:pt idx="310">
                  <c:v>0.84247269853704754</c:v>
                </c:pt>
                <c:pt idx="311">
                  <c:v>0.84367532912196952</c:v>
                </c:pt>
                <c:pt idx="312">
                  <c:v>0.84435736980010057</c:v>
                </c:pt>
                <c:pt idx="313">
                  <c:v>0.8447935905793692</c:v>
                </c:pt>
                <c:pt idx="314">
                  <c:v>0.84510594486338364</c:v>
                </c:pt>
                <c:pt idx="315">
                  <c:v>0.95324066915977168</c:v>
                </c:pt>
                <c:pt idx="316">
                  <c:v>0.95251901916061954</c:v>
                </c:pt>
                <c:pt idx="317">
                  <c:v>0.95306664248226769</c:v>
                </c:pt>
                <c:pt idx="318">
                  <c:v>0.95404636336073001</c:v>
                </c:pt>
                <c:pt idx="319">
                  <c:v>0.95518719783799477</c:v>
                </c:pt>
                <c:pt idx="320">
                  <c:v>1.0957481969474374</c:v>
                </c:pt>
                <c:pt idx="321">
                  <c:v>1.0921365981899298</c:v>
                </c:pt>
                <c:pt idx="322">
                  <c:v>1.0911527178942695</c:v>
                </c:pt>
                <c:pt idx="323">
                  <c:v>1.0913354349128268</c:v>
                </c:pt>
                <c:pt idx="324">
                  <c:v>1.0920925771772643</c:v>
                </c:pt>
                <c:pt idx="325">
                  <c:v>0.65803274392367761</c:v>
                </c:pt>
                <c:pt idx="326">
                  <c:v>0.65803879961369593</c:v>
                </c:pt>
                <c:pt idx="327">
                  <c:v>0.65804106683167618</c:v>
                </c:pt>
                <c:pt idx="328">
                  <c:v>0.65804225472435807</c:v>
                </c:pt>
                <c:pt idx="329">
                  <c:v>0.65804304242317224</c:v>
                </c:pt>
                <c:pt idx="330">
                  <c:v>0.74421668498862648</c:v>
                </c:pt>
                <c:pt idx="331">
                  <c:v>0.74438918252330555</c:v>
                </c:pt>
                <c:pt idx="332">
                  <c:v>0.74445776548333775</c:v>
                </c:pt>
                <c:pt idx="333">
                  <c:v>0.74449359831611628</c:v>
                </c:pt>
                <c:pt idx="334">
                  <c:v>0.744516269485472</c:v>
                </c:pt>
                <c:pt idx="335">
                  <c:v>0.83964660869711627</c:v>
                </c:pt>
                <c:pt idx="336">
                  <c:v>0.84104210374360455</c:v>
                </c:pt>
                <c:pt idx="337">
                  <c:v>0.84187174652633223</c:v>
                </c:pt>
                <c:pt idx="338">
                  <c:v>0.84241033973833013</c:v>
                </c:pt>
                <c:pt idx="339">
                  <c:v>0.84279398166536379</c:v>
                </c:pt>
                <c:pt idx="340">
                  <c:v>0.9513561694173498</c:v>
                </c:pt>
                <c:pt idx="341">
                  <c:v>0.95036866660059516</c:v>
                </c:pt>
                <c:pt idx="342">
                  <c:v>0.95075697716366547</c:v>
                </c:pt>
                <c:pt idx="343">
                  <c:v>0.95164661475265522</c:v>
                </c:pt>
                <c:pt idx="344">
                  <c:v>0.95274114106890706</c:v>
                </c:pt>
                <c:pt idx="345">
                  <c:v>1.095075529272022</c:v>
                </c:pt>
                <c:pt idx="346">
                  <c:v>1.0912963289825797</c:v>
                </c:pt>
                <c:pt idx="347">
                  <c:v>1.0901707374981424</c:v>
                </c:pt>
                <c:pt idx="348">
                  <c:v>1.0902270504840481</c:v>
                </c:pt>
                <c:pt idx="349">
                  <c:v>1.0908685891884515</c:v>
                </c:pt>
                <c:pt idx="350">
                  <c:v>0.65627927814006737</c:v>
                </c:pt>
                <c:pt idx="351">
                  <c:v>0.65628759721577112</c:v>
                </c:pt>
                <c:pt idx="352">
                  <c:v>0.65629067023265641</c:v>
                </c:pt>
                <c:pt idx="353">
                  <c:v>0.65629223313910789</c:v>
                </c:pt>
                <c:pt idx="354">
                  <c:v>0.6562932230134485</c:v>
                </c:pt>
                <c:pt idx="355">
                  <c:v>0.7424329960718643</c:v>
                </c:pt>
                <c:pt idx="356">
                  <c:v>0.74266068465040369</c:v>
                </c:pt>
                <c:pt idx="357">
                  <c:v>0.74275168173015782</c:v>
                </c:pt>
                <c:pt idx="358">
                  <c:v>0.74279870697945305</c:v>
                </c:pt>
                <c:pt idx="359">
                  <c:v>0.7428277217988577</c:v>
                </c:pt>
                <c:pt idx="360">
                  <c:v>0.83743758778570832</c:v>
                </c:pt>
                <c:pt idx="361">
                  <c:v>0.83897537946966527</c:v>
                </c:pt>
                <c:pt idx="362">
                  <c:v>0.83993403403397338</c:v>
                </c:pt>
                <c:pt idx="363">
                  <c:v>0.84056901655039706</c:v>
                </c:pt>
                <c:pt idx="364">
                  <c:v>0.84102294633647601</c:v>
                </c:pt>
                <c:pt idx="365">
                  <c:v>0.94999474900949943</c:v>
                </c:pt>
                <c:pt idx="366">
                  <c:v>0.94878802905973847</c:v>
                </c:pt>
                <c:pt idx="367">
                  <c:v>0.94903067142449959</c:v>
                </c:pt>
                <c:pt idx="368">
                  <c:v>0.94982742172920698</c:v>
                </c:pt>
                <c:pt idx="369">
                  <c:v>0.95086562165008248</c:v>
                </c:pt>
                <c:pt idx="370">
                  <c:v>1.0945914027827137</c:v>
                </c:pt>
                <c:pt idx="371">
                  <c:v>1.0906897350793989</c:v>
                </c:pt>
                <c:pt idx="372">
                  <c:v>1.0894596609449789</c:v>
                </c:pt>
                <c:pt idx="373">
                  <c:v>1.0894219586118086</c:v>
                </c:pt>
                <c:pt idx="374">
                  <c:v>1.0899767780280594</c:v>
                </c:pt>
                <c:pt idx="375">
                  <c:v>0.6549497814582167</c:v>
                </c:pt>
                <c:pt idx="376">
                  <c:v>0.65496071168007652</c:v>
                </c:pt>
                <c:pt idx="377">
                  <c:v>0.65496471840408299</c:v>
                </c:pt>
                <c:pt idx="378">
                  <c:v>0.65496671571765086</c:v>
                </c:pt>
                <c:pt idx="379">
                  <c:v>0.65496794183440799</c:v>
                </c:pt>
                <c:pt idx="380">
                  <c:v>0.74104212031402994</c:v>
                </c:pt>
                <c:pt idx="381">
                  <c:v>0.7413294553843891</c:v>
                </c:pt>
                <c:pt idx="382">
                  <c:v>0.74144524460039529</c:v>
                </c:pt>
                <c:pt idx="383">
                  <c:v>0.74150481390484968</c:v>
                </c:pt>
                <c:pt idx="384">
                  <c:v>0.7415410093489726</c:v>
                </c:pt>
                <c:pt idx="385">
                  <c:v>0.83564807611026315</c:v>
                </c:pt>
                <c:pt idx="386">
                  <c:v>0.83728333373604036</c:v>
                </c:pt>
                <c:pt idx="387">
                  <c:v>0.83835119351255005</c:v>
                </c:pt>
                <c:pt idx="388">
                  <c:v>0.83907442739791227</c:v>
                </c:pt>
                <c:pt idx="389">
                  <c:v>0.83959572858898479</c:v>
                </c:pt>
                <c:pt idx="390">
                  <c:v>0.94896819919741959</c:v>
                </c:pt>
                <c:pt idx="391">
                  <c:v>0.94758055136595376</c:v>
                </c:pt>
                <c:pt idx="392">
                  <c:v>0.94769364221410957</c:v>
                </c:pt>
                <c:pt idx="393">
                  <c:v>0.94840077334285999</c:v>
                </c:pt>
                <c:pt idx="394">
                  <c:v>0.94937908620239042</c:v>
                </c:pt>
                <c:pt idx="395">
                  <c:v>1.0942262906785412</c:v>
                </c:pt>
                <c:pt idx="396">
                  <c:v>1.0902312375514047</c:v>
                </c:pt>
                <c:pt idx="397">
                  <c:v>1.0889209693738922</c:v>
                </c:pt>
                <c:pt idx="398">
                  <c:v>1.0888106322475559</c:v>
                </c:pt>
                <c:pt idx="399">
                  <c:v>1.089298028581777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03-4452-AF81-4CEBDDC20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793183"/>
        <c:axId val="1194695583"/>
      </c:scatterChart>
      <c:valAx>
        <c:axId val="119479318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94695583"/>
        <c:crosses val="autoZero"/>
        <c:crossBetween val="midCat"/>
      </c:valAx>
      <c:valAx>
        <c:axId val="1194695583"/>
        <c:scaling>
          <c:orientation val="minMax"/>
          <c:max val="13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9479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0990860185030062E-2"/>
          <c:y val="7.324420677361855E-2"/>
          <c:w val="0.89579400979132928"/>
          <c:h val="0.8925342821452131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498706278736434E-2"/>
                  <c:y val="1.19662582284166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Munka6!$A$1:$A$400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Munka6!$C$1:$C$400</c:f>
              <c:numCache>
                <c:formatCode>General</c:formatCode>
                <c:ptCount val="400"/>
                <c:pt idx="0">
                  <c:v>0.12049498267223401</c:v>
                </c:pt>
                <c:pt idx="1">
                  <c:v>0.12068649008123</c:v>
                </c:pt>
                <c:pt idx="2">
                  <c:v>0.120862656488229</c:v>
                </c:pt>
                <c:pt idx="3">
                  <c:v>0.121025589117067</c:v>
                </c:pt>
                <c:pt idx="4">
                  <c:v>0.121176431014746</c:v>
                </c:pt>
                <c:pt idx="5">
                  <c:v>0.113433282636836</c:v>
                </c:pt>
                <c:pt idx="6">
                  <c:v>0.113474674941602</c:v>
                </c:pt>
                <c:pt idx="7">
                  <c:v>0.113504326680869</c:v>
                </c:pt>
                <c:pt idx="8">
                  <c:v>0.113529118767955</c:v>
                </c:pt>
                <c:pt idx="9">
                  <c:v>0.113551352936631</c:v>
                </c:pt>
                <c:pt idx="10">
                  <c:v>0.10658034469630601</c:v>
                </c:pt>
                <c:pt idx="11">
                  <c:v>0.106681159984406</c:v>
                </c:pt>
                <c:pt idx="12">
                  <c:v>0.10673255483911701</c:v>
                </c:pt>
                <c:pt idx="13">
                  <c:v>0.106763951599897</c:v>
                </c:pt>
                <c:pt idx="14">
                  <c:v>0.106785280158866</c:v>
                </c:pt>
                <c:pt idx="15">
                  <c:v>9.91677487044621E-2</c:v>
                </c:pt>
                <c:pt idx="16">
                  <c:v>9.9515067955297201E-2</c:v>
                </c:pt>
                <c:pt idx="17">
                  <c:v>9.9695952550530195E-2</c:v>
                </c:pt>
                <c:pt idx="18">
                  <c:v>9.9807058262702197E-2</c:v>
                </c:pt>
                <c:pt idx="19">
                  <c:v>9.9882279619687597E-2</c:v>
                </c:pt>
                <c:pt idx="20">
                  <c:v>9.1160943542151901E-2</c:v>
                </c:pt>
                <c:pt idx="21">
                  <c:v>9.1805867499228894E-2</c:v>
                </c:pt>
                <c:pt idx="22">
                  <c:v>9.2176894978280202E-2</c:v>
                </c:pt>
                <c:pt idx="23">
                  <c:v>9.2418901841341605E-2</c:v>
                </c:pt>
                <c:pt idx="24">
                  <c:v>9.2589570631214105E-2</c:v>
                </c:pt>
                <c:pt idx="25">
                  <c:v>0.12042985882346099</c:v>
                </c:pt>
                <c:pt idx="26">
                  <c:v>0.120594894315228</c:v>
                </c:pt>
                <c:pt idx="27">
                  <c:v>0.120748312341999</c:v>
                </c:pt>
                <c:pt idx="28">
                  <c:v>0.120891939488429</c:v>
                </c:pt>
                <c:pt idx="29">
                  <c:v>0.12102664090774801</c:v>
                </c:pt>
                <c:pt idx="30">
                  <c:v>0.11342715879115001</c:v>
                </c:pt>
                <c:pt idx="31">
                  <c:v>0.113465578543514</c:v>
                </c:pt>
                <c:pt idx="32">
                  <c:v>0.11349233554688599</c:v>
                </c:pt>
                <c:pt idx="33">
                  <c:v>0.11351430954990301</c:v>
                </c:pt>
                <c:pt idx="34">
                  <c:v>0.11353380107872101</c:v>
                </c:pt>
                <c:pt idx="35">
                  <c:v>0.106580053866032</c:v>
                </c:pt>
                <c:pt idx="36">
                  <c:v>0.106680706533076</c:v>
                </c:pt>
                <c:pt idx="37">
                  <c:v>0.106731939500705</c:v>
                </c:pt>
                <c:pt idx="38">
                  <c:v>0.10676317527557801</c:v>
                </c:pt>
                <c:pt idx="39">
                  <c:v>0.106784343817586</c:v>
                </c:pt>
                <c:pt idx="40">
                  <c:v>9.9167780300574201E-2</c:v>
                </c:pt>
                <c:pt idx="41">
                  <c:v>9.9515107210893294E-2</c:v>
                </c:pt>
                <c:pt idx="42">
                  <c:v>9.9695999055014903E-2</c:v>
                </c:pt>
                <c:pt idx="43">
                  <c:v>9.9807111678167804E-2</c:v>
                </c:pt>
                <c:pt idx="44">
                  <c:v>9.9882339810488996E-2</c:v>
                </c:pt>
                <c:pt idx="45">
                  <c:v>9.1160952546992205E-2</c:v>
                </c:pt>
                <c:pt idx="46">
                  <c:v>9.1805879831179799E-2</c:v>
                </c:pt>
                <c:pt idx="47">
                  <c:v>9.2176910443772103E-2</c:v>
                </c:pt>
                <c:pt idx="48">
                  <c:v>9.2418920210977196E-2</c:v>
                </c:pt>
                <c:pt idx="49">
                  <c:v>9.2589591700027493E-2</c:v>
                </c:pt>
                <c:pt idx="50">
                  <c:v>0.120382405929867</c:v>
                </c:pt>
                <c:pt idx="51">
                  <c:v>0.120527445490128</c:v>
                </c:pt>
                <c:pt idx="52">
                  <c:v>0.12066319182051399</c:v>
                </c:pt>
                <c:pt idx="53">
                  <c:v>0.120791329203847</c:v>
                </c:pt>
                <c:pt idx="54">
                  <c:v>0.12091258003656399</c:v>
                </c:pt>
                <c:pt idx="55">
                  <c:v>0.113422766766796</c:v>
                </c:pt>
                <c:pt idx="56">
                  <c:v>0.11345904134908</c:v>
                </c:pt>
                <c:pt idx="57">
                  <c:v>0.113483700449042</c:v>
                </c:pt>
                <c:pt idx="58">
                  <c:v>0.113503623218723</c:v>
                </c:pt>
                <c:pt idx="59">
                  <c:v>0.11352110958518</c:v>
                </c:pt>
                <c:pt idx="60">
                  <c:v>0.106579845895762</c:v>
                </c:pt>
                <c:pt idx="61">
                  <c:v>0.10668038211527001</c:v>
                </c:pt>
                <c:pt idx="62">
                  <c:v>0.106731499039305</c:v>
                </c:pt>
                <c:pt idx="63">
                  <c:v>0.106762619304026</c:v>
                </c:pt>
                <c:pt idx="64">
                  <c:v>0.10678367290752799</c:v>
                </c:pt>
                <c:pt idx="65">
                  <c:v>9.9167802881945502E-2</c:v>
                </c:pt>
                <c:pt idx="66">
                  <c:v>9.95151353640258E-2</c:v>
                </c:pt>
                <c:pt idx="67">
                  <c:v>9.9696032269987994E-2</c:v>
                </c:pt>
                <c:pt idx="68">
                  <c:v>9.9807149823104596E-2</c:v>
                </c:pt>
                <c:pt idx="69">
                  <c:v>9.9882382788486504E-2</c:v>
                </c:pt>
                <c:pt idx="70">
                  <c:v>9.1160958902836597E-2</c:v>
                </c:pt>
                <c:pt idx="71">
                  <c:v>9.1805888666252999E-2</c:v>
                </c:pt>
                <c:pt idx="72">
                  <c:v>9.2176921423042193E-2</c:v>
                </c:pt>
                <c:pt idx="73">
                  <c:v>9.2418933297201702E-2</c:v>
                </c:pt>
                <c:pt idx="74">
                  <c:v>9.2589606761354901E-2</c:v>
                </c:pt>
                <c:pt idx="75">
                  <c:v>0.12034629873243299</c:v>
                </c:pt>
                <c:pt idx="76">
                  <c:v>0.120475732272153</c:v>
                </c:pt>
                <c:pt idx="77">
                  <c:v>0.120597418060982</c:v>
                </c:pt>
                <c:pt idx="78">
                  <c:v>0.120712961132873</c:v>
                </c:pt>
                <c:pt idx="79">
                  <c:v>0.12082300367351299</c:v>
                </c:pt>
                <c:pt idx="80">
                  <c:v>0.11341946296498601</c:v>
                </c:pt>
                <c:pt idx="81">
                  <c:v>0.113454116617107</c:v>
                </c:pt>
                <c:pt idx="82">
                  <c:v>0.11347718562463199</c:v>
                </c:pt>
                <c:pt idx="83">
                  <c:v>0.11349554881288999</c:v>
                </c:pt>
                <c:pt idx="84">
                  <c:v>0.113511505765493</c:v>
                </c:pt>
                <c:pt idx="85">
                  <c:v>0.106579689790259</c:v>
                </c:pt>
                <c:pt idx="86">
                  <c:v>0.106680138511394</c:v>
                </c:pt>
                <c:pt idx="87">
                  <c:v>0.106731168181919</c:v>
                </c:pt>
                <c:pt idx="88">
                  <c:v>0.106762201527672</c:v>
                </c:pt>
                <c:pt idx="89">
                  <c:v>0.10678316857921499</c:v>
                </c:pt>
                <c:pt idx="90">
                  <c:v>9.9167819820725506E-2</c:v>
                </c:pt>
                <c:pt idx="91">
                  <c:v>9.9515156445643294E-2</c:v>
                </c:pt>
                <c:pt idx="92">
                  <c:v>9.9696057171139996E-2</c:v>
                </c:pt>
                <c:pt idx="93">
                  <c:v>9.9807178428090906E-2</c:v>
                </c:pt>
                <c:pt idx="94">
                  <c:v>9.98824149211541E-2</c:v>
                </c:pt>
                <c:pt idx="95">
                  <c:v>9.1160963692409905E-2</c:v>
                </c:pt>
                <c:pt idx="96">
                  <c:v>9.1805895225861994E-2</c:v>
                </c:pt>
                <c:pt idx="97">
                  <c:v>9.2176929704157404E-2</c:v>
                </c:pt>
                <c:pt idx="98">
                  <c:v>9.2418943113026897E-2</c:v>
                </c:pt>
                <c:pt idx="99">
                  <c:v>9.2589618062415793E-2</c:v>
                </c:pt>
                <c:pt idx="100">
                  <c:v>0.119975695812703</c:v>
                </c:pt>
                <c:pt idx="101">
                  <c:v>0.119968653989764</c:v>
                </c:pt>
                <c:pt idx="102">
                  <c:v>0.119966109372892</c:v>
                </c:pt>
                <c:pt idx="103">
                  <c:v>0.11996491163819301</c:v>
                </c:pt>
                <c:pt idx="104">
                  <c:v>0.11996425431386</c:v>
                </c:pt>
                <c:pt idx="105">
                  <c:v>0.112481053495567</c:v>
                </c:pt>
                <c:pt idx="106">
                  <c:v>0.112364633232371</c:v>
                </c:pt>
                <c:pt idx="107">
                  <c:v>0.112314235582831</c:v>
                </c:pt>
                <c:pt idx="108">
                  <c:v>0.112288052576515</c:v>
                </c:pt>
                <c:pt idx="109">
                  <c:v>0.11227275384143801</c:v>
                </c:pt>
                <c:pt idx="110">
                  <c:v>0.10611792296518199</c:v>
                </c:pt>
                <c:pt idx="111">
                  <c:v>0.105922227372908</c:v>
                </c:pt>
                <c:pt idx="112">
                  <c:v>0.10575339008923899</c:v>
                </c:pt>
                <c:pt idx="113">
                  <c:v>0.10562281077056</c:v>
                </c:pt>
                <c:pt idx="114">
                  <c:v>0.105523125249656</c:v>
                </c:pt>
                <c:pt idx="115">
                  <c:v>9.8948093295825906E-2</c:v>
                </c:pt>
                <c:pt idx="116">
                  <c:v>9.9221306082428101E-2</c:v>
                </c:pt>
                <c:pt idx="117">
                  <c:v>9.9329201845092294E-2</c:v>
                </c:pt>
                <c:pt idx="118">
                  <c:v>9.9369112108937702E-2</c:v>
                </c:pt>
                <c:pt idx="119">
                  <c:v>9.9375693231656806E-2</c:v>
                </c:pt>
                <c:pt idx="120">
                  <c:v>9.1107811629162094E-2</c:v>
                </c:pt>
                <c:pt idx="121">
                  <c:v>9.1733029262198895E-2</c:v>
                </c:pt>
                <c:pt idx="122">
                  <c:v>9.2086422273335494E-2</c:v>
                </c:pt>
                <c:pt idx="123">
                  <c:v>9.2312075535190094E-2</c:v>
                </c:pt>
                <c:pt idx="124">
                  <c:v>9.2467276503293297E-2</c:v>
                </c:pt>
                <c:pt idx="125">
                  <c:v>0.120080593939908</c:v>
                </c:pt>
                <c:pt idx="126">
                  <c:v>0.120070541787669</c:v>
                </c:pt>
                <c:pt idx="127">
                  <c:v>0.12006688564582101</c:v>
                </c:pt>
                <c:pt idx="128">
                  <c:v>0.12006515902852199</c:v>
                </c:pt>
                <c:pt idx="129">
                  <c:v>0.12006420938887501</c:v>
                </c:pt>
                <c:pt idx="130">
                  <c:v>0.11263568725876701</c:v>
                </c:pt>
                <c:pt idx="131">
                  <c:v>0.112487117094256</c:v>
                </c:pt>
                <c:pt idx="132">
                  <c:v>0.112420433421245</c:v>
                </c:pt>
                <c:pt idx="133">
                  <c:v>0.112385072452521</c:v>
                </c:pt>
                <c:pt idx="134">
                  <c:v>0.11236413487916</c:v>
                </c:pt>
                <c:pt idx="135">
                  <c:v>0.106269943247256</c:v>
                </c:pt>
                <c:pt idx="136">
                  <c:v>0.106099036112655</c:v>
                </c:pt>
                <c:pt idx="137">
                  <c:v>0.105932546644743</c:v>
                </c:pt>
                <c:pt idx="138">
                  <c:v>0.10579532599198101</c:v>
                </c:pt>
                <c:pt idx="139">
                  <c:v>0.105685969713436</c:v>
                </c:pt>
                <c:pt idx="140">
                  <c:v>9.8987676017375903E-2</c:v>
                </c:pt>
                <c:pt idx="141">
                  <c:v>9.9274876706463996E-2</c:v>
                </c:pt>
                <c:pt idx="142">
                  <c:v>9.9395730811163499E-2</c:v>
                </c:pt>
                <c:pt idx="143">
                  <c:v>9.9447284091492394E-2</c:v>
                </c:pt>
                <c:pt idx="144">
                  <c:v>9.9464072685943206E-2</c:v>
                </c:pt>
                <c:pt idx="145">
                  <c:v>9.1116602081256506E-2</c:v>
                </c:pt>
                <c:pt idx="146">
                  <c:v>9.17450276614558E-2</c:v>
                </c:pt>
                <c:pt idx="147">
                  <c:v>9.2101255310343605E-2</c:v>
                </c:pt>
                <c:pt idx="148">
                  <c:v>9.2329502057678398E-2</c:v>
                </c:pt>
                <c:pt idx="149">
                  <c:v>9.2487121450768595E-2</c:v>
                </c:pt>
                <c:pt idx="150">
                  <c:v>0.120158690671349</c:v>
                </c:pt>
                <c:pt idx="151">
                  <c:v>0.12014517526963001</c:v>
                </c:pt>
                <c:pt idx="152">
                  <c:v>0.120140227619808</c:v>
                </c:pt>
                <c:pt idx="153">
                  <c:v>0.120137883101506</c:v>
                </c:pt>
                <c:pt idx="154">
                  <c:v>0.120136590789915</c:v>
                </c:pt>
                <c:pt idx="155">
                  <c:v>0.112770962290555</c:v>
                </c:pt>
                <c:pt idx="156">
                  <c:v>0.11259177605731401</c:v>
                </c:pt>
                <c:pt idx="157">
                  <c:v>0.112508511403888</c:v>
                </c:pt>
                <c:pt idx="158">
                  <c:v>0.11246347406406</c:v>
                </c:pt>
                <c:pt idx="159">
                  <c:v>0.112436460318909</c:v>
                </c:pt>
                <c:pt idx="160">
                  <c:v>0.10638016237279201</c:v>
                </c:pt>
                <c:pt idx="161">
                  <c:v>0.10623699339680399</c:v>
                </c:pt>
                <c:pt idx="162">
                  <c:v>0.106078775752158</c:v>
                </c:pt>
                <c:pt idx="163">
                  <c:v>0.10594032596576999</c:v>
                </c:pt>
                <c:pt idx="164">
                  <c:v>0.105825530653537</c:v>
                </c:pt>
                <c:pt idx="165">
                  <c:v>9.9015451088492898E-2</c:v>
                </c:pt>
                <c:pt idx="166">
                  <c:v>9.9312585649367E-2</c:v>
                </c:pt>
                <c:pt idx="167">
                  <c:v>9.9442949190463495E-2</c:v>
                </c:pt>
                <c:pt idx="168">
                  <c:v>9.9503362832395401E-2</c:v>
                </c:pt>
                <c:pt idx="169">
                  <c:v>9.9528220039013002E-2</c:v>
                </c:pt>
                <c:pt idx="170">
                  <c:v>9.1122899020363496E-2</c:v>
                </c:pt>
                <c:pt idx="171">
                  <c:v>9.1753635345228499E-2</c:v>
                </c:pt>
                <c:pt idx="172">
                  <c:v>9.2111913832277306E-2</c:v>
                </c:pt>
                <c:pt idx="173">
                  <c:v>9.2342045614479298E-2</c:v>
                </c:pt>
                <c:pt idx="174">
                  <c:v>9.2501431399120898E-2</c:v>
                </c:pt>
                <c:pt idx="175">
                  <c:v>0.120220124013285</c:v>
                </c:pt>
                <c:pt idx="176">
                  <c:v>0.120202725171257</c:v>
                </c:pt>
                <c:pt idx="177">
                  <c:v>0.120196314345594</c:v>
                </c:pt>
                <c:pt idx="178">
                  <c:v>0.12019326616645699</c:v>
                </c:pt>
                <c:pt idx="179">
                  <c:v>0.120191582529633</c:v>
                </c:pt>
                <c:pt idx="180">
                  <c:v>0.112892876748201</c:v>
                </c:pt>
                <c:pt idx="181">
                  <c:v>0.112685307745757</c:v>
                </c:pt>
                <c:pt idx="182">
                  <c:v>0.112585585571491</c:v>
                </c:pt>
                <c:pt idx="183">
                  <c:v>0.112530598832551</c:v>
                </c:pt>
                <c:pt idx="184">
                  <c:v>0.112497199975399</c:v>
                </c:pt>
                <c:pt idx="185">
                  <c:v>0.10646168497403</c:v>
                </c:pt>
                <c:pt idx="186">
                  <c:v>0.106346216741059</c:v>
                </c:pt>
                <c:pt idx="187">
                  <c:v>0.106199621007802</c:v>
                </c:pt>
                <c:pt idx="188">
                  <c:v>0.106063708409639</c:v>
                </c:pt>
                <c:pt idx="189">
                  <c:v>0.10594675650343401</c:v>
                </c:pt>
                <c:pt idx="190">
                  <c:v>9.9035955583346102E-2</c:v>
                </c:pt>
                <c:pt idx="191">
                  <c:v>9.9340437591959097E-2</c:v>
                </c:pt>
                <c:pt idx="192">
                  <c:v>9.94779936272365E-2</c:v>
                </c:pt>
                <c:pt idx="193">
                  <c:v>9.9545283650775404E-2</c:v>
                </c:pt>
                <c:pt idx="194">
                  <c:v>9.9576575625165795E-2</c:v>
                </c:pt>
                <c:pt idx="195">
                  <c:v>9.1127631586260499E-2</c:v>
                </c:pt>
                <c:pt idx="196">
                  <c:v>9.1760111510579598E-2</c:v>
                </c:pt>
                <c:pt idx="197">
                  <c:v>9.2119942587628803E-2</c:v>
                </c:pt>
                <c:pt idx="198">
                  <c:v>9.2351506125679897E-2</c:v>
                </c:pt>
                <c:pt idx="199">
                  <c:v>9.2512238279673698E-2</c:v>
                </c:pt>
                <c:pt idx="200">
                  <c:v>0.119390262999486</c:v>
                </c:pt>
                <c:pt idx="201">
                  <c:v>0.119388540030634</c:v>
                </c:pt>
                <c:pt idx="202">
                  <c:v>0.119387927244929</c:v>
                </c:pt>
                <c:pt idx="203">
                  <c:v>0.119387641230534</c:v>
                </c:pt>
                <c:pt idx="204">
                  <c:v>0.119387485146843</c:v>
                </c:pt>
                <c:pt idx="205">
                  <c:v>0.111871696398863</c:v>
                </c:pt>
                <c:pt idx="206">
                  <c:v>0.111833317713737</c:v>
                </c:pt>
                <c:pt idx="207">
                  <c:v>0.11181825252201801</c:v>
                </c:pt>
                <c:pt idx="208">
                  <c:v>0.11181083925812101</c:v>
                </c:pt>
                <c:pt idx="209">
                  <c:v>0.111806654918378</c:v>
                </c:pt>
                <c:pt idx="210">
                  <c:v>0.105366378285673</c:v>
                </c:pt>
                <c:pt idx="211">
                  <c:v>0.105171909115337</c:v>
                </c:pt>
                <c:pt idx="212">
                  <c:v>0.105051270840764</c:v>
                </c:pt>
                <c:pt idx="213">
                  <c:v>0.104974176115896</c:v>
                </c:pt>
                <c:pt idx="214">
                  <c:v>0.104922522199018</c:v>
                </c:pt>
                <c:pt idx="215">
                  <c:v>9.8702083070578303E-2</c:v>
                </c:pt>
                <c:pt idx="216">
                  <c:v>9.8898002444286204E-2</c:v>
                </c:pt>
                <c:pt idx="217">
                  <c:v>9.89435611926959E-2</c:v>
                </c:pt>
                <c:pt idx="218">
                  <c:v>9.8934949752049403E-2</c:v>
                </c:pt>
                <c:pt idx="219">
                  <c:v>9.8904851471752903E-2</c:v>
                </c:pt>
                <c:pt idx="220">
                  <c:v>9.1055682079145397E-2</c:v>
                </c:pt>
                <c:pt idx="221">
                  <c:v>9.1662309041246698E-2</c:v>
                </c:pt>
                <c:pt idx="222">
                  <c:v>9.1999566082813705E-2</c:v>
                </c:pt>
                <c:pt idx="223">
                  <c:v>9.2210737843797505E-2</c:v>
                </c:pt>
                <c:pt idx="224">
                  <c:v>9.2352703992848395E-2</c:v>
                </c:pt>
                <c:pt idx="225">
                  <c:v>0.119580057869116</c:v>
                </c:pt>
                <c:pt idx="226">
                  <c:v>0.119577541081544</c:v>
                </c:pt>
                <c:pt idx="227">
                  <c:v>0.119576643264644</c:v>
                </c:pt>
                <c:pt idx="228">
                  <c:v>0.119576223677406</c:v>
                </c:pt>
                <c:pt idx="229">
                  <c:v>0.11957599423121799</c:v>
                </c:pt>
                <c:pt idx="230">
                  <c:v>0.11204422827921599</c:v>
                </c:pt>
                <c:pt idx="231">
                  <c:v>0.111991544145017</c:v>
                </c:pt>
                <c:pt idx="232">
                  <c:v>0.111970435648396</c:v>
                </c:pt>
                <c:pt idx="233">
                  <c:v>0.11195993118637</c:v>
                </c:pt>
                <c:pt idx="234">
                  <c:v>0.111953960198428</c:v>
                </c:pt>
                <c:pt idx="235">
                  <c:v>0.10558549669759699</c:v>
                </c:pt>
                <c:pt idx="236">
                  <c:v>0.105376986000914</c:v>
                </c:pt>
                <c:pt idx="237">
                  <c:v>0.105237833530678</c:v>
                </c:pt>
                <c:pt idx="238">
                  <c:v>0.105144961609575</c:v>
                </c:pt>
                <c:pt idx="239">
                  <c:v>0.105080866465947</c:v>
                </c:pt>
                <c:pt idx="240">
                  <c:v>9.8784866587854001E-2</c:v>
                </c:pt>
                <c:pt idx="241">
                  <c:v>9.9004642263644999E-2</c:v>
                </c:pt>
                <c:pt idx="242">
                  <c:v>9.9067757418417293E-2</c:v>
                </c:pt>
                <c:pt idx="243">
                  <c:v>9.9071453626899494E-2</c:v>
                </c:pt>
                <c:pt idx="244">
                  <c:v>9.9049564582985805E-2</c:v>
                </c:pt>
                <c:pt idx="245">
                  <c:v>9.1072942280591804E-2</c:v>
                </c:pt>
                <c:pt idx="246">
                  <c:v>9.1685642442310894E-2</c:v>
                </c:pt>
                <c:pt idx="247">
                  <c:v>9.2028114805002101E-2</c:v>
                </c:pt>
                <c:pt idx="248">
                  <c:v>9.2243913148571804E-2</c:v>
                </c:pt>
                <c:pt idx="249">
                  <c:v>9.2390055766581394E-2</c:v>
                </c:pt>
                <c:pt idx="250">
                  <c:v>0.119718384611452</c:v>
                </c:pt>
                <c:pt idx="251">
                  <c:v>0.119714934678802</c:v>
                </c:pt>
                <c:pt idx="252">
                  <c:v>0.119713699918959</c:v>
                </c:pt>
                <c:pt idx="253">
                  <c:v>0.11971312164600401</c:v>
                </c:pt>
                <c:pt idx="254">
                  <c:v>0.11971280535659699</c:v>
                </c:pt>
                <c:pt idx="255">
                  <c:v>0.11218056284325401</c:v>
                </c:pt>
                <c:pt idx="256">
                  <c:v>0.11211259399266101</c:v>
                </c:pt>
                <c:pt idx="257">
                  <c:v>0.112084811225205</c:v>
                </c:pt>
                <c:pt idx="258">
                  <c:v>0.11207083193193</c:v>
                </c:pt>
                <c:pt idx="259">
                  <c:v>0.112062829077618</c:v>
                </c:pt>
                <c:pt idx="260">
                  <c:v>0.105760327329381</c:v>
                </c:pt>
                <c:pt idx="261">
                  <c:v>0.105546863144046</c:v>
                </c:pt>
                <c:pt idx="262">
                  <c:v>0.105394333318255</c:v>
                </c:pt>
                <c:pt idx="263">
                  <c:v>0.105288348782867</c:v>
                </c:pt>
                <c:pt idx="264">
                  <c:v>0.10521315810081799</c:v>
                </c:pt>
                <c:pt idx="265">
                  <c:v>9.8843747749170999E-2</c:v>
                </c:pt>
                <c:pt idx="266">
                  <c:v>9.9081870322422397E-2</c:v>
                </c:pt>
                <c:pt idx="267">
                  <c:v>9.9159514385470701E-2</c:v>
                </c:pt>
                <c:pt idx="268">
                  <c:v>9.9174245016172002E-2</c:v>
                </c:pt>
                <c:pt idx="269">
                  <c:v>9.91604375681122E-2</c:v>
                </c:pt>
                <c:pt idx="270">
                  <c:v>9.10853420281246E-2</c:v>
                </c:pt>
                <c:pt idx="271">
                  <c:v>9.1702455483290299E-2</c:v>
                </c:pt>
                <c:pt idx="272">
                  <c:v>9.2048752168658501E-2</c:v>
                </c:pt>
                <c:pt idx="273">
                  <c:v>9.2267976368833798E-2</c:v>
                </c:pt>
                <c:pt idx="274">
                  <c:v>9.2417243627365697E-2</c:v>
                </c:pt>
                <c:pt idx="275">
                  <c:v>0.119824024179268</c:v>
                </c:pt>
                <c:pt idx="276">
                  <c:v>0.119819505956526</c:v>
                </c:pt>
                <c:pt idx="277">
                  <c:v>0.11981788358182199</c:v>
                </c:pt>
                <c:pt idx="278">
                  <c:v>0.11981712267413799</c:v>
                </c:pt>
                <c:pt idx="279">
                  <c:v>0.119816705848101</c:v>
                </c:pt>
                <c:pt idx="280">
                  <c:v>0.11229429402597001</c:v>
                </c:pt>
                <c:pt idx="281">
                  <c:v>0.11221042066975399</c:v>
                </c:pt>
                <c:pt idx="282">
                  <c:v>0.112175459279066</c:v>
                </c:pt>
                <c:pt idx="283">
                  <c:v>0.11215767689231</c:v>
                </c:pt>
                <c:pt idx="284">
                  <c:v>0.112147425869942</c:v>
                </c:pt>
                <c:pt idx="285">
                  <c:v>0.10590261390559901</c:v>
                </c:pt>
                <c:pt idx="286">
                  <c:v>0.105690856710284</c:v>
                </c:pt>
                <c:pt idx="287">
                  <c:v>0.10552940600196301</c:v>
                </c:pt>
                <c:pt idx="288">
                  <c:v>0.10541291210368101</c:v>
                </c:pt>
                <c:pt idx="289">
                  <c:v>0.105328100978693</c:v>
                </c:pt>
                <c:pt idx="290">
                  <c:v>9.8887567843237503E-2</c:v>
                </c:pt>
                <c:pt idx="291">
                  <c:v>9.9140055088947701E-2</c:v>
                </c:pt>
                <c:pt idx="292">
                  <c:v>9.9229692342629003E-2</c:v>
                </c:pt>
                <c:pt idx="293">
                  <c:v>9.9254061223123996E-2</c:v>
                </c:pt>
                <c:pt idx="294">
                  <c:v>9.9247765004236002E-2</c:v>
                </c:pt>
                <c:pt idx="295">
                  <c:v>9.1094680803245801E-2</c:v>
                </c:pt>
                <c:pt idx="296">
                  <c:v>9.1715145874150902E-2</c:v>
                </c:pt>
                <c:pt idx="297">
                  <c:v>9.2064365859059805E-2</c:v>
                </c:pt>
                <c:pt idx="298">
                  <c:v>9.2286227374677704E-2</c:v>
                </c:pt>
                <c:pt idx="299">
                  <c:v>9.2437917846706893E-2</c:v>
                </c:pt>
                <c:pt idx="300">
                  <c:v>0.118841736954961</c:v>
                </c:pt>
                <c:pt idx="301">
                  <c:v>0.11884101371867301</c:v>
                </c:pt>
                <c:pt idx="302">
                  <c:v>0.11884075780905801</c:v>
                </c:pt>
                <c:pt idx="303">
                  <c:v>0.11884063871784201</c:v>
                </c:pt>
                <c:pt idx="304">
                  <c:v>0.118840573940452</c:v>
                </c:pt>
                <c:pt idx="305">
                  <c:v>0.111416676512306</c:v>
                </c:pt>
                <c:pt idx="306">
                  <c:v>0.11139873954160801</c:v>
                </c:pt>
                <c:pt idx="307">
                  <c:v>0.11139194247698</c:v>
                </c:pt>
                <c:pt idx="308">
                  <c:v>0.111388661094692</c:v>
                </c:pt>
                <c:pt idx="309">
                  <c:v>0.111386831351935</c:v>
                </c:pt>
                <c:pt idx="310">
                  <c:v>0.104839571456197</c:v>
                </c:pt>
                <c:pt idx="311">
                  <c:v>0.104695981927913</c:v>
                </c:pt>
                <c:pt idx="312">
                  <c:v>0.104618304155373</c:v>
                </c:pt>
                <c:pt idx="313">
                  <c:v>0.104572538765102</c:v>
                </c:pt>
                <c:pt idx="314">
                  <c:v>0.10454351476874001</c:v>
                </c:pt>
                <c:pt idx="315">
                  <c:v>9.8456388289881194E-2</c:v>
                </c:pt>
                <c:pt idx="316">
                  <c:v>9.8594475684062793E-2</c:v>
                </c:pt>
                <c:pt idx="317">
                  <c:v>9.8604086095153795E-2</c:v>
                </c:pt>
                <c:pt idx="318">
                  <c:v>9.8574826131621898E-2</c:v>
                </c:pt>
                <c:pt idx="319">
                  <c:v>9.8534362590309899E-2</c:v>
                </c:pt>
                <c:pt idx="320">
                  <c:v>9.1004590594588805E-2</c:v>
                </c:pt>
                <c:pt idx="321">
                  <c:v>9.1593719172903196E-2</c:v>
                </c:pt>
                <c:pt idx="322">
                  <c:v>9.1916265142691495E-2</c:v>
                </c:pt>
                <c:pt idx="323">
                  <c:v>9.2114682574023096E-2</c:v>
                </c:pt>
                <c:pt idx="324">
                  <c:v>9.2245410034765496E-2</c:v>
                </c:pt>
                <c:pt idx="325">
                  <c:v>0.11911246967608401</c:v>
                </c:pt>
                <c:pt idx="326">
                  <c:v>0.11911139599418701</c:v>
                </c:pt>
                <c:pt idx="327">
                  <c:v>0.119111015348844</c:v>
                </c:pt>
                <c:pt idx="328">
                  <c:v>0.119110837975727</c:v>
                </c:pt>
                <c:pt idx="329">
                  <c:v>0.11911074129749</c:v>
                </c:pt>
                <c:pt idx="330">
                  <c:v>0.11163607427448401</c:v>
                </c:pt>
                <c:pt idx="331">
                  <c:v>0.111610585735478</c:v>
                </c:pt>
                <c:pt idx="332">
                  <c:v>0.111600788268405</c:v>
                </c:pt>
                <c:pt idx="333">
                  <c:v>0.111596021616512</c:v>
                </c:pt>
                <c:pt idx="334">
                  <c:v>0.111593350666174</c:v>
                </c:pt>
                <c:pt idx="335">
                  <c:v>0.105082872523084</c:v>
                </c:pt>
                <c:pt idx="336">
                  <c:v>0.104914269475785</c:v>
                </c:pt>
                <c:pt idx="337">
                  <c:v>0.10481766301504</c:v>
                </c:pt>
                <c:pt idx="338">
                  <c:v>0.10475877444607901</c:v>
                </c:pt>
                <c:pt idx="339">
                  <c:v>0.104720562231741</c:v>
                </c:pt>
                <c:pt idx="340">
                  <c:v>9.8578353808819796E-2</c:v>
                </c:pt>
                <c:pt idx="341">
                  <c:v>9.8742814643697094E-2</c:v>
                </c:pt>
                <c:pt idx="342">
                  <c:v>9.87676024947126E-2</c:v>
                </c:pt>
                <c:pt idx="343">
                  <c:v>9.8746151515018296E-2</c:v>
                </c:pt>
                <c:pt idx="344">
                  <c:v>9.8708819448332902E-2</c:v>
                </c:pt>
                <c:pt idx="345">
                  <c:v>9.10300078303765E-2</c:v>
                </c:pt>
                <c:pt idx="346">
                  <c:v>9.1627752180444999E-2</c:v>
                </c:pt>
                <c:pt idx="347">
                  <c:v>9.1957482049281503E-2</c:v>
                </c:pt>
                <c:pt idx="348">
                  <c:v>9.2162071933804005E-2</c:v>
                </c:pt>
                <c:pt idx="349">
                  <c:v>9.2298186185949302E-2</c:v>
                </c:pt>
                <c:pt idx="350">
                  <c:v>0.119310107187279</c:v>
                </c:pt>
                <c:pt idx="351">
                  <c:v>0.11930861684838</c:v>
                </c:pt>
                <c:pt idx="352">
                  <c:v>0.11930808733025799</c:v>
                </c:pt>
                <c:pt idx="353">
                  <c:v>0.11930784042645599</c:v>
                </c:pt>
                <c:pt idx="354">
                  <c:v>0.119307705627358</c:v>
                </c:pt>
                <c:pt idx="355">
                  <c:v>0.111802139696633</c:v>
                </c:pt>
                <c:pt idx="356">
                  <c:v>0.111768238754059</c:v>
                </c:pt>
                <c:pt idx="357">
                  <c:v>0.11175502349278001</c:v>
                </c:pt>
                <c:pt idx="358">
                  <c:v>0.11174854494078799</c:v>
                </c:pt>
                <c:pt idx="359">
                  <c:v>0.111744897065352</c:v>
                </c:pt>
                <c:pt idx="360">
                  <c:v>0.10528042063038499</c:v>
                </c:pt>
                <c:pt idx="361">
                  <c:v>0.105093124749882</c:v>
                </c:pt>
                <c:pt idx="362">
                  <c:v>0.104979881619788</c:v>
                </c:pt>
                <c:pt idx="363">
                  <c:v>0.104908610277619</c:v>
                </c:pt>
                <c:pt idx="364">
                  <c:v>0.10486135162058199</c:v>
                </c:pt>
                <c:pt idx="365">
                  <c:v>9.8666622411516705E-2</c:v>
                </c:pt>
                <c:pt idx="366">
                  <c:v>9.8853018947750504E-2</c:v>
                </c:pt>
                <c:pt idx="367">
                  <c:v>9.8891998605190004E-2</c:v>
                </c:pt>
                <c:pt idx="368">
                  <c:v>9.8879097842030306E-2</c:v>
                </c:pt>
                <c:pt idx="369">
                  <c:v>9.8846395017041302E-2</c:v>
                </c:pt>
                <c:pt idx="370">
                  <c:v>9.1048320174053302E-2</c:v>
                </c:pt>
                <c:pt idx="371">
                  <c:v>9.1652381700654303E-2</c:v>
                </c:pt>
                <c:pt idx="372">
                  <c:v>9.1987452286480906E-2</c:v>
                </c:pt>
                <c:pt idx="373">
                  <c:v>9.2196700382016994E-2</c:v>
                </c:pt>
                <c:pt idx="374">
                  <c:v>9.2336945104107199E-2</c:v>
                </c:pt>
                <c:pt idx="375">
                  <c:v>0.119460960906973</c:v>
                </c:pt>
                <c:pt idx="376">
                  <c:v>0.11945898913709201</c:v>
                </c:pt>
                <c:pt idx="377">
                  <c:v>0.119458287317499</c:v>
                </c:pt>
                <c:pt idx="378">
                  <c:v>0.119457959488254</c:v>
                </c:pt>
                <c:pt idx="379">
                  <c:v>0.119457780520799</c:v>
                </c:pt>
                <c:pt idx="380">
                  <c:v>0.11193448330512</c:v>
                </c:pt>
                <c:pt idx="381">
                  <c:v>0.11189147014036301</c:v>
                </c:pt>
                <c:pt idx="382">
                  <c:v>0.111874469325458</c:v>
                </c:pt>
                <c:pt idx="383">
                  <c:v>0.11186607210173601</c:v>
                </c:pt>
                <c:pt idx="384">
                  <c:v>0.111861320762028</c:v>
                </c:pt>
                <c:pt idx="385">
                  <c:v>0.105445328884962</c:v>
                </c:pt>
                <c:pt idx="386">
                  <c:v>0.105245002481429</c:v>
                </c:pt>
                <c:pt idx="387">
                  <c:v>0.105117588303679</c:v>
                </c:pt>
                <c:pt idx="388">
                  <c:v>0.10503494453442801</c:v>
                </c:pt>
                <c:pt idx="389">
                  <c:v>0.104979009547054</c:v>
                </c:pt>
                <c:pt idx="390">
                  <c:v>9.8733138308156401E-2</c:v>
                </c:pt>
                <c:pt idx="391">
                  <c:v>9.8937739433404406E-2</c:v>
                </c:pt>
                <c:pt idx="392">
                  <c:v>9.8989510950540399E-2</c:v>
                </c:pt>
                <c:pt idx="393">
                  <c:v>9.8985117680450194E-2</c:v>
                </c:pt>
                <c:pt idx="394">
                  <c:v>9.8957721476959304E-2</c:v>
                </c:pt>
                <c:pt idx="395">
                  <c:v>9.1062141085466397E-2</c:v>
                </c:pt>
                <c:pt idx="396">
                  <c:v>9.16710311919786E-2</c:v>
                </c:pt>
                <c:pt idx="397">
                  <c:v>9.2010225194913503E-2</c:v>
                </c:pt>
                <c:pt idx="398">
                  <c:v>9.2223109081136095E-2</c:v>
                </c:pt>
                <c:pt idx="399">
                  <c:v>9.2366614842921094E-2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D-384B-BEEA-3DA8390D8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61728"/>
        <c:axId val="1744926751"/>
      </c:scatterChart>
      <c:valAx>
        <c:axId val="7106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44926751"/>
        <c:crosses val="autoZero"/>
        <c:crossBetween val="midCat"/>
      </c:valAx>
      <c:valAx>
        <c:axId val="174492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06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'E-Stat1'!$C$26:$C$425</c:f>
              <c:numCache>
                <c:formatCode>General</c:formatCode>
                <c:ptCount val="400"/>
                <c:pt idx="0">
                  <c:v>4.9298707031189437E-2</c:v>
                </c:pt>
                <c:pt idx="1">
                  <c:v>5.5510675146445365E-2</c:v>
                </c:pt>
                <c:pt idx="2">
                  <c:v>6.1721901056399631E-2</c:v>
                </c:pt>
                <c:pt idx="3">
                  <c:v>6.7932364899554898E-2</c:v>
                </c:pt>
                <c:pt idx="4">
                  <c:v>7.4142066339010881E-2</c:v>
                </c:pt>
                <c:pt idx="5">
                  <c:v>1.8153942026328806E-2</c:v>
                </c:pt>
                <c:pt idx="6">
                  <c:v>2.4333820175483467E-2</c:v>
                </c:pt>
                <c:pt idx="7">
                  <c:v>3.0502014959338908E-2</c:v>
                </c:pt>
                <c:pt idx="8">
                  <c:v>3.6658161211393647E-2</c:v>
                </c:pt>
                <c:pt idx="9">
                  <c:v>4.2802326894349818E-2</c:v>
                </c:pt>
                <c:pt idx="10">
                  <c:v>2.0217776608664195E-3</c:v>
                </c:pt>
                <c:pt idx="11">
                  <c:v>7.7291667857224411E-3</c:v>
                </c:pt>
                <c:pt idx="12">
                  <c:v>1.3298154117377337E-2</c:v>
                </c:pt>
                <c:pt idx="13">
                  <c:v>1.8723169234432291E-2</c:v>
                </c:pt>
                <c:pt idx="14">
                  <c:v>2.4010832274388605E-2</c:v>
                </c:pt>
                <c:pt idx="15">
                  <c:v>1.3949722376604967E-2</c:v>
                </c:pt>
                <c:pt idx="16">
                  <c:v>1.4560467148061917E-2</c:v>
                </c:pt>
                <c:pt idx="17">
                  <c:v>1.457887494061616E-2</c:v>
                </c:pt>
                <c:pt idx="18">
                  <c:v>1.392426195287122E-2</c:v>
                </c:pt>
                <c:pt idx="19">
                  <c:v>1.2713729057326262E-2</c:v>
                </c:pt>
                <c:pt idx="20">
                  <c:v>6.2115704453244547E-2</c:v>
                </c:pt>
                <c:pt idx="21">
                  <c:v>4.0764681236099776E-2</c:v>
                </c:pt>
                <c:pt idx="22">
                  <c:v>2.4286039554032968E-2</c:v>
                </c:pt>
                <c:pt idx="23">
                  <c:v>1.0513432190169425E-2</c:v>
                </c:pt>
                <c:pt idx="24">
                  <c:v>-1.2281102724447379E-3</c:v>
                </c:pt>
                <c:pt idx="25">
                  <c:v>4.9298717784090229E-2</c:v>
                </c:pt>
                <c:pt idx="26">
                  <c:v>5.5510671027144909E-2</c:v>
                </c:pt>
                <c:pt idx="27">
                  <c:v>6.1721900222899251E-2</c:v>
                </c:pt>
                <c:pt idx="28">
                  <c:v>6.793236347265541E-2</c:v>
                </c:pt>
                <c:pt idx="29">
                  <c:v>7.4142073651211504E-2</c:v>
                </c:pt>
                <c:pt idx="30">
                  <c:v>1.8153940868028684E-2</c:v>
                </c:pt>
                <c:pt idx="31">
                  <c:v>2.4333811637683667E-2</c:v>
                </c:pt>
                <c:pt idx="32">
                  <c:v>3.0502012745337481E-2</c:v>
                </c:pt>
                <c:pt idx="33">
                  <c:v>3.6658158611095004E-2</c:v>
                </c:pt>
                <c:pt idx="34">
                  <c:v>4.2802327836350074E-2</c:v>
                </c:pt>
                <c:pt idx="35">
                  <c:v>2.0217632495658222E-3</c:v>
                </c:pt>
                <c:pt idx="36">
                  <c:v>7.7291622165223117E-3</c:v>
                </c:pt>
                <c:pt idx="37">
                  <c:v>1.329815731117634E-2</c:v>
                </c:pt>
                <c:pt idx="38">
                  <c:v>1.8723162977233088E-2</c:v>
                </c:pt>
                <c:pt idx="39">
                  <c:v>2.4010819389488347E-2</c:v>
                </c:pt>
                <c:pt idx="40">
                  <c:v>1.3949717874904621E-2</c:v>
                </c:pt>
                <c:pt idx="41">
                  <c:v>1.4560466712561393E-2</c:v>
                </c:pt>
                <c:pt idx="42">
                  <c:v>1.4578873239814882E-2</c:v>
                </c:pt>
                <c:pt idx="43">
                  <c:v>1.3924252053170605E-2</c:v>
                </c:pt>
                <c:pt idx="44">
                  <c:v>1.2713729784326944E-2</c:v>
                </c:pt>
                <c:pt idx="45">
                  <c:v>6.2115704573843189E-2</c:v>
                </c:pt>
                <c:pt idx="46">
                  <c:v>4.0764670235899914E-2</c:v>
                </c:pt>
                <c:pt idx="47">
                  <c:v>2.4286033531993212E-2</c:v>
                </c:pt>
                <c:pt idx="48">
                  <c:v>1.0513431281308883E-2</c:v>
                </c:pt>
                <c:pt idx="49">
                  <c:v>-1.2281128548536913E-3</c:v>
                </c:pt>
                <c:pt idx="50">
                  <c:v>4.9298713690289375E-2</c:v>
                </c:pt>
                <c:pt idx="51">
                  <c:v>5.5510674692346385E-2</c:v>
                </c:pt>
                <c:pt idx="52">
                  <c:v>6.1721903300700376E-2</c:v>
                </c:pt>
                <c:pt idx="53">
                  <c:v>6.7932368404155952E-2</c:v>
                </c:pt>
                <c:pt idx="54">
                  <c:v>7.4142068082410972E-2</c:v>
                </c:pt>
                <c:pt idx="55">
                  <c:v>1.8153943304628939E-2</c:v>
                </c:pt>
                <c:pt idx="56">
                  <c:v>2.4333819078984575E-2</c:v>
                </c:pt>
                <c:pt idx="57">
                  <c:v>3.0502021835438597E-2</c:v>
                </c:pt>
                <c:pt idx="58">
                  <c:v>3.6658155270094639E-2</c:v>
                </c:pt>
                <c:pt idx="59">
                  <c:v>4.2802322768450196E-2</c:v>
                </c:pt>
                <c:pt idx="60">
                  <c:v>2.0217630460663827E-3</c:v>
                </c:pt>
                <c:pt idx="61">
                  <c:v>7.7291627518221162E-3</c:v>
                </c:pt>
                <c:pt idx="62">
                  <c:v>1.3298158184376518E-2</c:v>
                </c:pt>
                <c:pt idx="63">
                  <c:v>1.8723158687231845E-2</c:v>
                </c:pt>
                <c:pt idx="64">
                  <c:v>2.401082576368907E-2</c:v>
                </c:pt>
                <c:pt idx="65">
                  <c:v>1.3949726158704934E-2</c:v>
                </c:pt>
                <c:pt idx="66">
                  <c:v>1.4560453500861215E-2</c:v>
                </c:pt>
                <c:pt idx="67">
                  <c:v>1.4578885195215108E-2</c:v>
                </c:pt>
                <c:pt idx="68">
                  <c:v>1.3924256479771913E-2</c:v>
                </c:pt>
                <c:pt idx="69">
                  <c:v>1.2713726330527919E-2</c:v>
                </c:pt>
                <c:pt idx="70">
                  <c:v>6.2115718319244451E-2</c:v>
                </c:pt>
                <c:pt idx="71">
                  <c:v>4.0764676996499105E-2</c:v>
                </c:pt>
                <c:pt idx="72">
                  <c:v>2.428603478702307E-2</c:v>
                </c:pt>
                <c:pt idx="73">
                  <c:v>1.0513437410800464E-2</c:v>
                </c:pt>
                <c:pt idx="74">
                  <c:v>-1.2281110207243984E-3</c:v>
                </c:pt>
                <c:pt idx="75">
                  <c:v>4.9298721008089075E-2</c:v>
                </c:pt>
                <c:pt idx="76">
                  <c:v>5.5510672526844829E-2</c:v>
                </c:pt>
                <c:pt idx="77">
                  <c:v>6.1721898528800168E-2</c:v>
                </c:pt>
                <c:pt idx="78">
                  <c:v>6.7932365812655604E-2</c:v>
                </c:pt>
                <c:pt idx="79">
                  <c:v>7.4142073761212401E-2</c:v>
                </c:pt>
                <c:pt idx="80">
                  <c:v>1.8153943979427822E-2</c:v>
                </c:pt>
                <c:pt idx="81">
                  <c:v>2.4333817893184673E-2</c:v>
                </c:pt>
                <c:pt idx="82">
                  <c:v>3.0502021776138477E-2</c:v>
                </c:pt>
                <c:pt idx="83">
                  <c:v>3.66581586469934E-2</c:v>
                </c:pt>
                <c:pt idx="84">
                  <c:v>4.2802323124250918E-2</c:v>
                </c:pt>
                <c:pt idx="85">
                  <c:v>2.0217639011672617E-3</c:v>
                </c:pt>
                <c:pt idx="86">
                  <c:v>7.7291620995225685E-3</c:v>
                </c:pt>
                <c:pt idx="87">
                  <c:v>1.3298153667076207E-2</c:v>
                </c:pt>
                <c:pt idx="88">
                  <c:v>1.8723155092732924E-2</c:v>
                </c:pt>
                <c:pt idx="89">
                  <c:v>2.4010825759688714E-2</c:v>
                </c:pt>
                <c:pt idx="90">
                  <c:v>1.3949723346904364E-2</c:v>
                </c:pt>
                <c:pt idx="91">
                  <c:v>1.4560465524160904E-2</c:v>
                </c:pt>
                <c:pt idx="92">
                  <c:v>1.457888842691446E-2</c:v>
                </c:pt>
                <c:pt idx="93">
                  <c:v>1.3924252713870544E-2</c:v>
                </c:pt>
                <c:pt idx="94">
                  <c:v>1.2713725560226763E-2</c:v>
                </c:pt>
                <c:pt idx="95">
                  <c:v>6.2115699074443143E-2</c:v>
                </c:pt>
                <c:pt idx="96">
                  <c:v>4.0764667885699879E-2</c:v>
                </c:pt>
                <c:pt idx="97">
                  <c:v>2.4286028070424237E-2</c:v>
                </c:pt>
                <c:pt idx="98">
                  <c:v>1.0513442021450103E-2</c:v>
                </c:pt>
                <c:pt idx="99">
                  <c:v>-1.2281198616950206E-3</c:v>
                </c:pt>
                <c:pt idx="100">
                  <c:v>1.085550253209E-2</c:v>
                </c:pt>
                <c:pt idx="101">
                  <c:v>1.7067240784145454E-2</c:v>
                </c:pt>
                <c:pt idx="102">
                  <c:v>2.3278263724598958E-2</c:v>
                </c:pt>
                <c:pt idx="103">
                  <c:v>2.9488487768855265E-2</c:v>
                </c:pt>
                <c:pt idx="104">
                  <c:v>3.569790635821235E-2</c:v>
                </c:pt>
                <c:pt idx="105">
                  <c:v>-1.5111635622471198E-2</c:v>
                </c:pt>
                <c:pt idx="106">
                  <c:v>-8.9362495059166491E-3</c:v>
                </c:pt>
                <c:pt idx="107">
                  <c:v>-2.7713295138624972E-3</c:v>
                </c:pt>
                <c:pt idx="108">
                  <c:v>3.3814315534943518E-3</c:v>
                </c:pt>
                <c:pt idx="109">
                  <c:v>9.5218504115504032E-3</c:v>
                </c:pt>
                <c:pt idx="110">
                  <c:v>-2.4133052831134094E-2</c:v>
                </c:pt>
                <c:pt idx="111">
                  <c:v>-1.8494399891077151E-2</c:v>
                </c:pt>
                <c:pt idx="112">
                  <c:v>-1.2971726682422968E-2</c:v>
                </c:pt>
                <c:pt idx="113">
                  <c:v>-7.589391477766938E-3</c:v>
                </c:pt>
                <c:pt idx="114">
                  <c:v>-2.3460206847119025E-3</c:v>
                </c:pt>
                <c:pt idx="115">
                  <c:v>-3.2805426612956268E-3</c:v>
                </c:pt>
                <c:pt idx="116">
                  <c:v>-3.1789446122392206E-3</c:v>
                </c:pt>
                <c:pt idx="117">
                  <c:v>-3.5406906054848974E-3</c:v>
                </c:pt>
                <c:pt idx="118">
                  <c:v>-4.5426840514295463E-3</c:v>
                </c:pt>
                <c:pt idx="119">
                  <c:v>-6.0967138325729309E-3</c:v>
                </c:pt>
                <c:pt idx="120">
                  <c:v>5.5100007232143255E-2</c:v>
                </c:pt>
                <c:pt idx="121">
                  <c:v>3.2350805241399883E-2</c:v>
                </c:pt>
                <c:pt idx="122">
                  <c:v>1.4668732256673422E-2</c:v>
                </c:pt>
                <c:pt idx="123">
                  <c:v>-2.2577449268013083E-4</c:v>
                </c:pt>
                <c:pt idx="124">
                  <c:v>-1.3049142737184383E-2</c:v>
                </c:pt>
                <c:pt idx="125">
                  <c:v>1.7155534231989122E-2</c:v>
                </c:pt>
                <c:pt idx="126">
                  <c:v>2.3367298880344833E-2</c:v>
                </c:pt>
                <c:pt idx="127">
                  <c:v>2.9578336313500486E-2</c:v>
                </c:pt>
                <c:pt idx="128">
                  <c:v>3.5788608475455064E-2</c:v>
                </c:pt>
                <c:pt idx="129">
                  <c:v>4.1998074931111518E-2</c:v>
                </c:pt>
                <c:pt idx="130">
                  <c:v>-9.6850456827723974E-3</c:v>
                </c:pt>
                <c:pt idx="131">
                  <c:v>-3.5093376605157545E-3</c:v>
                </c:pt>
                <c:pt idx="132">
                  <c:v>2.6559510805377329E-3</c:v>
                </c:pt>
                <c:pt idx="133">
                  <c:v>8.809213368294877E-3</c:v>
                </c:pt>
                <c:pt idx="134">
                  <c:v>1.4950193139849688E-2</c:v>
                </c:pt>
                <c:pt idx="135">
                  <c:v>-1.9873447119632459E-2</c:v>
                </c:pt>
                <c:pt idx="136">
                  <c:v>-1.422731469777716E-2</c:v>
                </c:pt>
                <c:pt idx="137">
                  <c:v>-8.6989585331238573E-3</c:v>
                </c:pt>
                <c:pt idx="138">
                  <c:v>-3.3107490610664314E-3</c:v>
                </c:pt>
                <c:pt idx="139">
                  <c:v>1.9391413634881616E-3</c:v>
                </c:pt>
                <c:pt idx="140">
                  <c:v>-4.5892231609556688E-4</c:v>
                </c:pt>
                <c:pt idx="141">
                  <c:v>-2.8056646593910273E-4</c:v>
                </c:pt>
                <c:pt idx="142">
                  <c:v>-5.8474138828401578E-4</c:v>
                </c:pt>
                <c:pt idx="143">
                  <c:v>-1.5334256499279775E-3</c:v>
                </c:pt>
                <c:pt idx="144">
                  <c:v>-3.0341232658734896E-3</c:v>
                </c:pt>
                <c:pt idx="145">
                  <c:v>5.6259696131943926E-2</c:v>
                </c:pt>
                <c:pt idx="146">
                  <c:v>3.3738435227199659E-2</c:v>
                </c:pt>
                <c:pt idx="147">
                  <c:v>1.6251819973923887E-2</c:v>
                </c:pt>
                <c:pt idx="148">
                  <c:v>1.5389959641805007E-3</c:v>
                </c:pt>
                <c:pt idx="149">
                  <c:v>-1.1109609514164731E-2</c:v>
                </c:pt>
                <c:pt idx="150">
                  <c:v>2.1679472863089799E-2</c:v>
                </c:pt>
                <c:pt idx="151">
                  <c:v>2.7891246982946427E-2</c:v>
                </c:pt>
                <c:pt idx="152">
                  <c:v>3.410230550109894E-2</c:v>
                </c:pt>
                <c:pt idx="153">
                  <c:v>4.0312590381656577E-2</c:v>
                </c:pt>
                <c:pt idx="154">
                  <c:v>4.6522103964411698E-2</c:v>
                </c:pt>
                <c:pt idx="155">
                  <c:v>-5.7830611010718513E-3</c:v>
                </c:pt>
                <c:pt idx="156">
                  <c:v>3.9290453778484391E-4</c:v>
                </c:pt>
                <c:pt idx="157">
                  <c:v>6.5584824126379004E-3</c:v>
                </c:pt>
                <c:pt idx="158">
                  <c:v>1.271207615799419E-2</c:v>
                </c:pt>
                <c:pt idx="159">
                  <c:v>1.8853466153750276E-2</c:v>
                </c:pt>
                <c:pt idx="160">
                  <c:v>-1.6808403643732817E-2</c:v>
                </c:pt>
                <c:pt idx="161">
                  <c:v>-1.115632913437814E-2</c:v>
                </c:pt>
                <c:pt idx="162">
                  <c:v>-5.6236620178236052E-3</c:v>
                </c:pt>
                <c:pt idx="163">
                  <c:v>-2.3112294126725885E-4</c:v>
                </c:pt>
                <c:pt idx="164">
                  <c:v>5.0235399412894566E-3</c:v>
                </c:pt>
                <c:pt idx="165">
                  <c:v>1.5684102038058256E-3</c:v>
                </c:pt>
                <c:pt idx="166">
                  <c:v>1.8033521747611303E-3</c:v>
                </c:pt>
                <c:pt idx="167">
                  <c:v>1.5415320943148458E-3</c:v>
                </c:pt>
                <c:pt idx="168">
                  <c:v>6.3187121257080037E-4</c:v>
                </c:pt>
                <c:pt idx="169">
                  <c:v>-8.2994268147373873E-4</c:v>
                </c:pt>
                <c:pt idx="170">
                  <c:v>5.7090362934843597E-2</c:v>
                </c:pt>
                <c:pt idx="171">
                  <c:v>3.4733124897700307E-2</c:v>
                </c:pt>
                <c:pt idx="172">
                  <c:v>1.7387352437832959E-2</c:v>
                </c:pt>
                <c:pt idx="173">
                  <c:v>2.8055904115298347E-3</c:v>
                </c:pt>
                <c:pt idx="174">
                  <c:v>-9.7168865740435706E-3</c:v>
                </c:pt>
                <c:pt idx="175">
                  <c:v>2.5085981371189447E-2</c:v>
                </c:pt>
                <c:pt idx="176">
                  <c:v>3.1297763903145537E-2</c:v>
                </c:pt>
                <c:pt idx="177">
                  <c:v>3.7508845170000527E-2</c:v>
                </c:pt>
                <c:pt idx="178">
                  <c:v>4.3719151016455626E-2</c:v>
                </c:pt>
                <c:pt idx="179">
                  <c:v>4.992867697651171E-2</c:v>
                </c:pt>
                <c:pt idx="180">
                  <c:v>-2.8418161658709806E-3</c:v>
                </c:pt>
                <c:pt idx="181">
                  <c:v>3.334375884383789E-3</c:v>
                </c:pt>
                <c:pt idx="182">
                  <c:v>9.5001612991385542E-3</c:v>
                </c:pt>
                <c:pt idx="183">
                  <c:v>1.5654010663094908E-2</c:v>
                </c:pt>
                <c:pt idx="184">
                  <c:v>2.1795713034750364E-2</c:v>
                </c:pt>
                <c:pt idx="185">
                  <c:v>-1.4496847901433796E-2</c:v>
                </c:pt>
                <c:pt idx="186">
                  <c:v>-8.8399476779770225E-3</c:v>
                </c:pt>
                <c:pt idx="187">
                  <c:v>-3.3038526571225191E-3</c:v>
                </c:pt>
                <c:pt idx="188">
                  <c:v>2.0920466139333627E-3</c:v>
                </c:pt>
                <c:pt idx="189">
                  <c:v>7.350328233588499E-3</c:v>
                </c:pt>
                <c:pt idx="190">
                  <c:v>3.0955023262055903E-3</c:v>
                </c:pt>
                <c:pt idx="191">
                  <c:v>3.3739137716608525E-3</c:v>
                </c:pt>
                <c:pt idx="192">
                  <c:v>3.1445899035151825E-3</c:v>
                </c:pt>
                <c:pt idx="193">
                  <c:v>2.2647573485716777E-3</c:v>
                </c:pt>
                <c:pt idx="194">
                  <c:v>8.3259637132648834E-4</c:v>
                </c:pt>
                <c:pt idx="195">
                  <c:v>5.7714635691644034E-2</c:v>
                </c:pt>
                <c:pt idx="196">
                  <c:v>3.5481123201000386E-2</c:v>
                </c:pt>
                <c:pt idx="197">
                  <c:v>1.8241646456923277E-2</c:v>
                </c:pt>
                <c:pt idx="198">
                  <c:v>3.7588465466598109E-3</c:v>
                </c:pt>
                <c:pt idx="199">
                  <c:v>-8.6682687793242508E-3</c:v>
                </c:pt>
                <c:pt idx="200">
                  <c:v>-2.6200422252710354E-2</c:v>
                </c:pt>
                <c:pt idx="201">
                  <c:v>-1.9988807197155012E-2</c:v>
                </c:pt>
                <c:pt idx="202">
                  <c:v>-1.3777957669500296E-2</c:v>
                </c:pt>
                <c:pt idx="203">
                  <c:v>-7.56793627444452E-3</c:v>
                </c:pt>
                <c:pt idx="204">
                  <c:v>-1.3587683912881232E-3</c:v>
                </c:pt>
                <c:pt idx="205">
                  <c:v>-4.6881234031872054E-2</c:v>
                </c:pt>
                <c:pt idx="206">
                  <c:v>-4.0707581010716254E-2</c:v>
                </c:pt>
                <c:pt idx="207">
                  <c:v>-3.4544843838462569E-2</c:v>
                </c:pt>
                <c:pt idx="208">
                  <c:v>-2.8394800407305354E-2</c:v>
                </c:pt>
                <c:pt idx="209">
                  <c:v>-2.2257699843450496E-2</c:v>
                </c:pt>
                <c:pt idx="210">
                  <c:v>-4.899867856863338E-2</c:v>
                </c:pt>
                <c:pt idx="211">
                  <c:v>-4.3393557225776647E-2</c:v>
                </c:pt>
                <c:pt idx="212">
                  <c:v>-3.7900129088022538E-2</c:v>
                </c:pt>
                <c:pt idx="213">
                  <c:v>-3.255015543896711E-2</c:v>
                </c:pt>
                <c:pt idx="214">
                  <c:v>-2.7343787609511949E-2</c:v>
                </c:pt>
                <c:pt idx="215">
                  <c:v>-1.9824689944595519E-2</c:v>
                </c:pt>
                <c:pt idx="216">
                  <c:v>-2.0131798165838433E-2</c:v>
                </c:pt>
                <c:pt idx="217">
                  <c:v>-2.0804819085284976E-2</c:v>
                </c:pt>
                <c:pt idx="218">
                  <c:v>-2.2100686248929691E-2</c:v>
                </c:pt>
                <c:pt idx="219">
                  <c:v>-2.3953181293872916E-2</c:v>
                </c:pt>
                <c:pt idx="220">
                  <c:v>4.8220503080143473E-2</c:v>
                </c:pt>
                <c:pt idx="221">
                  <c:v>2.4144017514698746E-2</c:v>
                </c:pt>
                <c:pt idx="222">
                  <c:v>5.3292821109636179E-3</c:v>
                </c:pt>
                <c:pt idx="223">
                  <c:v>-1.0614510961341139E-2</c:v>
                </c:pt>
                <c:pt idx="224">
                  <c:v>-2.4444181490913763E-2</c:v>
                </c:pt>
                <c:pt idx="225">
                  <c:v>-1.3982557534809814E-2</c:v>
                </c:pt>
                <c:pt idx="226">
                  <c:v>-7.7708977386539146E-3</c:v>
                </c:pt>
                <c:pt idx="227">
                  <c:v>-1.5599965856001319E-3</c:v>
                </c:pt>
                <c:pt idx="228">
                  <c:v>4.6500874818562465E-3</c:v>
                </c:pt>
                <c:pt idx="229">
                  <c:v>1.0859340897811265E-2</c:v>
                </c:pt>
                <c:pt idx="230">
                  <c:v>-3.6432120102471544E-2</c:v>
                </c:pt>
                <c:pt idx="231">
                  <c:v>-3.0257923912916596E-2</c:v>
                </c:pt>
                <c:pt idx="232">
                  <c:v>-2.4094487904962492E-2</c:v>
                </c:pt>
                <c:pt idx="233">
                  <c:v>-1.7943542685506131E-2</c:v>
                </c:pt>
                <c:pt idx="234">
                  <c:v>-1.1805353614549929E-2</c:v>
                </c:pt>
                <c:pt idx="235">
                  <c:v>-4.0833618359433999E-2</c:v>
                </c:pt>
                <c:pt idx="236">
                  <c:v>-3.5218826210178023E-2</c:v>
                </c:pt>
                <c:pt idx="237">
                  <c:v>-2.9716290677722412E-2</c:v>
                </c:pt>
                <c:pt idx="238">
                  <c:v>-2.4355915693368146E-2</c:v>
                </c:pt>
                <c:pt idx="239">
                  <c:v>-1.9137529939211362E-2</c:v>
                </c:pt>
                <c:pt idx="240">
                  <c:v>-1.43809405631945E-2</c:v>
                </c:pt>
                <c:pt idx="241">
                  <c:v>-1.4560621348438829E-2</c:v>
                </c:pt>
                <c:pt idx="242">
                  <c:v>-1.5135562384084977E-2</c:v>
                </c:pt>
                <c:pt idx="243">
                  <c:v>-1.6337730083828106E-2</c:v>
                </c:pt>
                <c:pt idx="244">
                  <c:v>-1.8094262074672685E-2</c:v>
                </c:pt>
                <c:pt idx="245">
                  <c:v>5.0498871526343692E-2</c:v>
                </c:pt>
                <c:pt idx="246">
                  <c:v>2.685728821419886E-2</c:v>
                </c:pt>
                <c:pt idx="247">
                  <c:v>8.4126874557028941E-3</c:v>
                </c:pt>
                <c:pt idx="248">
                  <c:v>-7.1888736936802644E-3</c:v>
                </c:pt>
                <c:pt idx="249">
                  <c:v>-2.0690865063444974E-2</c:v>
                </c:pt>
                <c:pt idx="250">
                  <c:v>-5.1755545602105713E-3</c:v>
                </c:pt>
                <c:pt idx="251">
                  <c:v>1.0361306703448037E-3</c:v>
                </c:pt>
                <c:pt idx="252">
                  <c:v>7.2470755699001188E-3</c:v>
                </c:pt>
                <c:pt idx="253">
                  <c:v>1.3457207089656364E-2</c:v>
                </c:pt>
                <c:pt idx="254">
                  <c:v>1.9666520244411956E-2</c:v>
                </c:pt>
                <c:pt idx="255">
                  <c:v>-2.8884988989471339E-2</c:v>
                </c:pt>
                <c:pt idx="256">
                  <c:v>-2.2710398115316721E-2</c:v>
                </c:pt>
                <c:pt idx="257">
                  <c:v>-1.6546448111661505E-2</c:v>
                </c:pt>
                <c:pt idx="258">
                  <c:v>-1.0394856681704923E-2</c:v>
                </c:pt>
                <c:pt idx="259">
                  <c:v>-4.2558789044502277E-3</c:v>
                </c:pt>
                <c:pt idx="260">
                  <c:v>-3.4928215429133047E-2</c:v>
                </c:pt>
                <c:pt idx="261">
                  <c:v>-2.9305749278178084E-2</c:v>
                </c:pt>
                <c:pt idx="262">
                  <c:v>-2.3796365143724074E-2</c:v>
                </c:pt>
                <c:pt idx="263">
                  <c:v>-1.8428366719867029E-2</c:v>
                </c:pt>
                <c:pt idx="264">
                  <c:v>-1.3201224827811942E-2</c:v>
                </c:pt>
                <c:pt idx="265">
                  <c:v>-1.0449856954295456E-2</c:v>
                </c:pt>
                <c:pt idx="266">
                  <c:v>-1.053342758653919E-2</c:v>
                </c:pt>
                <c:pt idx="267">
                  <c:v>-1.103507212828525E-2</c:v>
                </c:pt>
                <c:pt idx="268">
                  <c:v>-1.2167885408029377E-2</c:v>
                </c:pt>
                <c:pt idx="269">
                  <c:v>-1.3853865771972451E-2</c:v>
                </c:pt>
                <c:pt idx="270">
                  <c:v>5.2135276756743565E-2</c:v>
                </c:pt>
                <c:pt idx="271">
                  <c:v>2.8808885364599135E-2</c:v>
                </c:pt>
                <c:pt idx="272">
                  <c:v>1.0633155977362918E-2</c:v>
                </c:pt>
                <c:pt idx="273">
                  <c:v>-4.7194182583307764E-3</c:v>
                </c:pt>
                <c:pt idx="274">
                  <c:v>-1.7982703989764204E-2</c:v>
                </c:pt>
                <c:pt idx="275">
                  <c:v>1.4753952996890973E-3</c:v>
                </c:pt>
                <c:pt idx="276">
                  <c:v>7.6870995897451166E-3</c:v>
                </c:pt>
                <c:pt idx="277">
                  <c:v>1.3898076295600248E-2</c:v>
                </c:pt>
                <c:pt idx="278">
                  <c:v>2.0108245787856305E-2</c:v>
                </c:pt>
                <c:pt idx="279">
                  <c:v>2.631760823091156E-2</c:v>
                </c:pt>
                <c:pt idx="280">
                  <c:v>-2.3176544631471785E-2</c:v>
                </c:pt>
                <c:pt idx="281">
                  <c:v>-1.7001626781516066E-2</c:v>
                </c:pt>
                <c:pt idx="282">
                  <c:v>-1.0837274275161235E-2</c:v>
                </c:pt>
                <c:pt idx="283">
                  <c:v>-4.6852040652058946E-3</c:v>
                </c:pt>
                <c:pt idx="284">
                  <c:v>1.4543689348496258E-3</c:v>
                </c:pt>
                <c:pt idx="285">
                  <c:v>-3.0456916113633881E-2</c:v>
                </c:pt>
                <c:pt idx="286">
                  <c:v>-2.4828145312676853E-2</c:v>
                </c:pt>
                <c:pt idx="287">
                  <c:v>-1.931342088522392E-2</c:v>
                </c:pt>
                <c:pt idx="288">
                  <c:v>-1.393955650366685E-2</c:v>
                </c:pt>
                <c:pt idx="289">
                  <c:v>-8.7057302021111838E-3</c:v>
                </c:pt>
                <c:pt idx="290">
                  <c:v>-7.4774878803953726E-3</c:v>
                </c:pt>
                <c:pt idx="291">
                  <c:v>-7.4859123579393838E-3</c:v>
                </c:pt>
                <c:pt idx="292">
                  <c:v>-7.9305944112846305E-3</c:v>
                </c:pt>
                <c:pt idx="293">
                  <c:v>-9.009903498329308E-3</c:v>
                </c:pt>
                <c:pt idx="294">
                  <c:v>-1.064174126847206E-2</c:v>
                </c:pt>
                <c:pt idx="295">
                  <c:v>5.336757926294311E-2</c:v>
                </c:pt>
                <c:pt idx="296">
                  <c:v>3.0280118644400389E-2</c:v>
                </c:pt>
                <c:pt idx="297">
                  <c:v>1.2308534346603395E-2</c:v>
                </c:pt>
                <c:pt idx="298">
                  <c:v>-2.8547449152203086E-3</c:v>
                </c:pt>
                <c:pt idx="299">
                  <c:v>-1.5936370092873631E-2</c:v>
                </c:pt>
                <c:pt idx="300">
                  <c:v>-6.2129240180009759E-2</c:v>
                </c:pt>
                <c:pt idx="301">
                  <c:v>-5.5917742808453852E-2</c:v>
                </c:pt>
                <c:pt idx="302">
                  <c:v>-4.9707054380700555E-2</c:v>
                </c:pt>
                <c:pt idx="303">
                  <c:v>-4.3497245699043674E-2</c:v>
                </c:pt>
                <c:pt idx="304">
                  <c:v>-3.7288316029387758E-2</c:v>
                </c:pt>
                <c:pt idx="305">
                  <c:v>-7.7483005075771771E-2</c:v>
                </c:pt>
                <c:pt idx="306">
                  <c:v>-7.1310866231316439E-2</c:v>
                </c:pt>
                <c:pt idx="307">
                  <c:v>-6.5150188438360956E-2</c:v>
                </c:pt>
                <c:pt idx="308">
                  <c:v>-5.9002762143006038E-2</c:v>
                </c:pt>
                <c:pt idx="309">
                  <c:v>-5.2868812893850148E-2</c:v>
                </c:pt>
                <c:pt idx="310">
                  <c:v>-7.2842041229332466E-2</c:v>
                </c:pt>
                <c:pt idx="311">
                  <c:v>-6.7261335045477821E-2</c:v>
                </c:pt>
                <c:pt idx="312">
                  <c:v>-6.1793165480823475E-2</c:v>
                </c:pt>
                <c:pt idx="313">
                  <c:v>-5.6472930532367016E-2</c:v>
                </c:pt>
                <c:pt idx="314">
                  <c:v>-5.1301292715111302E-2</c:v>
                </c:pt>
                <c:pt idx="315">
                  <c:v>-3.5762015595395269E-2</c:v>
                </c:pt>
                <c:pt idx="316">
                  <c:v>-3.6409855353838338E-2</c:v>
                </c:pt>
                <c:pt idx="317">
                  <c:v>-3.7351445136383887E-2</c:v>
                </c:pt>
                <c:pt idx="318">
                  <c:v>-3.8909516824128687E-2</c:v>
                </c:pt>
                <c:pt idx="319">
                  <c:v>-4.1034057392272061E-2</c:v>
                </c:pt>
                <c:pt idx="320">
                  <c:v>4.1471932612344276E-2</c:v>
                </c:pt>
                <c:pt idx="321">
                  <c:v>1.6133593916888955E-2</c:v>
                </c:pt>
                <c:pt idx="322">
                  <c:v>-3.7499109177865364E-3</c:v>
                </c:pt>
                <c:pt idx="323">
                  <c:v>-2.0678668448679716E-2</c:v>
                </c:pt>
                <c:pt idx="324">
                  <c:v>-3.5448741755404356E-2</c:v>
                </c:pt>
                <c:pt idx="325">
                  <c:v>-4.4295602127009559E-2</c:v>
                </c:pt>
                <c:pt idx="326">
                  <c:v>-3.8084046806954319E-2</c:v>
                </c:pt>
                <c:pt idx="327">
                  <c:v>-3.1873282363600097E-2</c:v>
                </c:pt>
                <c:pt idx="328">
                  <c:v>-2.5663359183644374E-2</c:v>
                </c:pt>
                <c:pt idx="329">
                  <c:v>-1.9454323266788975E-2</c:v>
                </c:pt>
                <c:pt idx="330">
                  <c:v>-6.231566078197126E-2</c:v>
                </c:pt>
                <c:pt idx="331">
                  <c:v>-5.6142778486716338E-2</c:v>
                </c:pt>
                <c:pt idx="332">
                  <c:v>-4.9981084427361822E-2</c:v>
                </c:pt>
                <c:pt idx="333">
                  <c:v>-4.383236722190631E-2</c:v>
                </c:pt>
                <c:pt idx="334">
                  <c:v>-3.7696853324950652E-2</c:v>
                </c:pt>
                <c:pt idx="335">
                  <c:v>-6.1036820995433061E-2</c:v>
                </c:pt>
                <c:pt idx="336">
                  <c:v>-5.5444585026878102E-2</c:v>
                </c:pt>
                <c:pt idx="337">
                  <c:v>-4.996410841732235E-2</c:v>
                </c:pt>
                <c:pt idx="338">
                  <c:v>-4.4629229583867058E-2</c:v>
                </c:pt>
                <c:pt idx="339">
                  <c:v>-3.9440459324911359E-2</c:v>
                </c:pt>
                <c:pt idx="340">
                  <c:v>-2.7864942422695549E-2</c:v>
                </c:pt>
                <c:pt idx="341">
                  <c:v>-2.8349469763739421E-2</c:v>
                </c:pt>
                <c:pt idx="342">
                  <c:v>-2.9161057684884639E-2</c:v>
                </c:pt>
                <c:pt idx="343">
                  <c:v>-3.0591185424528433E-2</c:v>
                </c:pt>
                <c:pt idx="344">
                  <c:v>-3.2582369336472183E-2</c:v>
                </c:pt>
                <c:pt idx="345">
                  <c:v>4.4830157286543937E-2</c:v>
                </c:pt>
                <c:pt idx="346">
                  <c:v>2.0114892261299033E-2</c:v>
                </c:pt>
                <c:pt idx="347">
                  <c:v>7.5817942011369155E-4</c:v>
                </c:pt>
                <c:pt idx="348">
                  <c:v>-1.5685670929370232E-2</c:v>
                </c:pt>
                <c:pt idx="349">
                  <c:v>-2.9993254060023844E-2</c:v>
                </c:pt>
                <c:pt idx="350">
                  <c:v>-3.1398177772409497E-2</c:v>
                </c:pt>
                <c:pt idx="351">
                  <c:v>-2.5186578749053723E-2</c:v>
                </c:pt>
                <c:pt idx="352">
                  <c:v>-1.8975750269000002E-2</c:v>
                </c:pt>
                <c:pt idx="353">
                  <c:v>-1.2765769102843549E-2</c:v>
                </c:pt>
                <c:pt idx="354">
                  <c:v>-6.5566402651882072E-3</c:v>
                </c:pt>
                <c:pt idx="355">
                  <c:v>-5.131956620547129E-2</c:v>
                </c:pt>
                <c:pt idx="356">
                  <c:v>-4.5146134593515796E-2</c:v>
                </c:pt>
                <c:pt idx="357">
                  <c:v>-3.8983693458062518E-2</c:v>
                </c:pt>
                <c:pt idx="358">
                  <c:v>-3.2834040439706058E-2</c:v>
                </c:pt>
                <c:pt idx="359">
                  <c:v>-2.6697390362649287E-2</c:v>
                </c:pt>
                <c:pt idx="360">
                  <c:v>-5.2463054128633502E-2</c:v>
                </c:pt>
                <c:pt idx="361">
                  <c:v>-4.6861775701477981E-2</c:v>
                </c:pt>
                <c:pt idx="362">
                  <c:v>-4.1372141987123356E-2</c:v>
                </c:pt>
                <c:pt idx="363">
                  <c:v>-3.6026530848467075E-2</c:v>
                </c:pt>
                <c:pt idx="364">
                  <c:v>-3.0825245083111241E-2</c:v>
                </c:pt>
                <c:pt idx="365">
                  <c:v>-2.2136988384895417E-2</c:v>
                </c:pt>
                <c:pt idx="366">
                  <c:v>-2.2496368230939368E-2</c:v>
                </c:pt>
                <c:pt idx="367">
                  <c:v>-2.3209945724984138E-2</c:v>
                </c:pt>
                <c:pt idx="368">
                  <c:v>-2.4544901354428106E-2</c:v>
                </c:pt>
                <c:pt idx="369">
                  <c:v>-2.6437618383772232E-2</c:v>
                </c:pt>
                <c:pt idx="370">
                  <c:v>4.7248511674043314E-2</c:v>
                </c:pt>
                <c:pt idx="371">
                  <c:v>2.2987890803999989E-2</c:v>
                </c:pt>
                <c:pt idx="372">
                  <c:v>4.016722845303633E-3</c:v>
                </c:pt>
                <c:pt idx="373">
                  <c:v>-1.207155695720985E-2</c:v>
                </c:pt>
                <c:pt idx="374">
                  <c:v>-2.6039407329864872E-2</c:v>
                </c:pt>
                <c:pt idx="375">
                  <c:v>-2.1633659876711064E-2</c:v>
                </c:pt>
                <c:pt idx="376">
                  <c:v>-1.5422026520854004E-2</c:v>
                </c:pt>
                <c:pt idx="377">
                  <c:v>-9.2111558573009233E-3</c:v>
                </c:pt>
                <c:pt idx="378">
                  <c:v>-3.0011101486451253E-3</c:v>
                </c:pt>
                <c:pt idx="379">
                  <c:v>3.2080829777108022E-3</c:v>
                </c:pt>
                <c:pt idx="380">
                  <c:v>-4.2978323689371933E-2</c:v>
                </c:pt>
                <c:pt idx="381">
                  <c:v>-3.6804464043616036E-2</c:v>
                </c:pt>
                <c:pt idx="382">
                  <c:v>-3.0641468869662347E-2</c:v>
                </c:pt>
                <c:pt idx="383">
                  <c:v>-2.4491102980606527E-2</c:v>
                </c:pt>
                <c:pt idx="384">
                  <c:v>-1.8353586309350689E-2</c:v>
                </c:pt>
                <c:pt idx="385">
                  <c:v>-4.5950382544234003E-2</c:v>
                </c:pt>
                <c:pt idx="386">
                  <c:v>-4.0341769694277829E-2</c:v>
                </c:pt>
                <c:pt idx="387">
                  <c:v>-3.4844966561323076E-2</c:v>
                </c:pt>
                <c:pt idx="388">
                  <c:v>-2.9491136695966702E-2</c:v>
                </c:pt>
                <c:pt idx="389">
                  <c:v>-2.42802920675107E-2</c:v>
                </c:pt>
                <c:pt idx="390">
                  <c:v>-1.7791324805095599E-2</c:v>
                </c:pt>
                <c:pt idx="391">
                  <c:v>-1.8051548445239263E-2</c:v>
                </c:pt>
                <c:pt idx="392">
                  <c:v>-1.868836885708447E-2</c:v>
                </c:pt>
                <c:pt idx="393">
                  <c:v>-1.9949530588228015E-2</c:v>
                </c:pt>
                <c:pt idx="394">
                  <c:v>-2.1766401828573478E-2</c:v>
                </c:pt>
                <c:pt idx="395">
                  <c:v>4.9073166978343963E-2</c:v>
                </c:pt>
                <c:pt idx="396">
                  <c:v>2.5158921198499939E-2</c:v>
                </c:pt>
                <c:pt idx="397">
                  <c:v>6.4821390479234964E-3</c:v>
                </c:pt>
                <c:pt idx="398">
                  <c:v>-9.334177832950985E-3</c:v>
                </c:pt>
                <c:pt idx="399">
                  <c:v>-2.3041841692194254E-2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1C-F341-9AD0-B86BB4BC3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731263"/>
        <c:axId val="2140623551"/>
      </c:scatterChart>
      <c:valAx>
        <c:axId val="2091731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0623551"/>
        <c:crosses val="autoZero"/>
        <c:crossBetween val="midCat"/>
      </c:valAx>
      <c:valAx>
        <c:axId val="2140623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173126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'E-Stat1'!$C$2:$C$401</c:f>
              <c:strCache>
                <c:ptCount val="400"/>
                <c:pt idx="9">
                  <c:v>SS</c:v>
                </c:pt>
                <c:pt idx="10">
                  <c:v>396,4875268</c:v>
                </c:pt>
                <c:pt idx="11">
                  <c:v>0,378086943</c:v>
                </c:pt>
                <c:pt idx="12">
                  <c:v>396,8656137</c:v>
                </c:pt>
                <c:pt idx="14">
                  <c:v>Standard Error</c:v>
                </c:pt>
                <c:pt idx="15">
                  <c:v>0,008930854</c:v>
                </c:pt>
                <c:pt idx="16">
                  <c:v>0,010910775</c:v>
                </c:pt>
                <c:pt idx="17">
                  <c:v>0,002182155</c:v>
                </c:pt>
                <c:pt idx="23">
                  <c:v>Residuals</c:v>
                </c:pt>
                <c:pt idx="24">
                  <c:v>0,049298707</c:v>
                </c:pt>
                <c:pt idx="25">
                  <c:v>0,055510675</c:v>
                </c:pt>
                <c:pt idx="26">
                  <c:v>0,061721901</c:v>
                </c:pt>
                <c:pt idx="27">
                  <c:v>0,067932365</c:v>
                </c:pt>
                <c:pt idx="28">
                  <c:v>0,074142066</c:v>
                </c:pt>
                <c:pt idx="29">
                  <c:v>0,018153942</c:v>
                </c:pt>
                <c:pt idx="30">
                  <c:v>0,02433382</c:v>
                </c:pt>
                <c:pt idx="31">
                  <c:v>0,030502015</c:v>
                </c:pt>
                <c:pt idx="32">
                  <c:v>0,036658161</c:v>
                </c:pt>
                <c:pt idx="33">
                  <c:v>0,042802327</c:v>
                </c:pt>
                <c:pt idx="34">
                  <c:v>0,002021778</c:v>
                </c:pt>
                <c:pt idx="35">
                  <c:v>0,007729167</c:v>
                </c:pt>
                <c:pt idx="36">
                  <c:v>0,013298154</c:v>
                </c:pt>
                <c:pt idx="37">
                  <c:v>0,018723169</c:v>
                </c:pt>
                <c:pt idx="38">
                  <c:v>0,024010832</c:v>
                </c:pt>
                <c:pt idx="39">
                  <c:v>0,013949722</c:v>
                </c:pt>
                <c:pt idx="40">
                  <c:v>0,014560467</c:v>
                </c:pt>
                <c:pt idx="41">
                  <c:v>0,014578875</c:v>
                </c:pt>
                <c:pt idx="42">
                  <c:v>0,013924262</c:v>
                </c:pt>
                <c:pt idx="43">
                  <c:v>0,012713729</c:v>
                </c:pt>
                <c:pt idx="44">
                  <c:v>0,062115704</c:v>
                </c:pt>
                <c:pt idx="45">
                  <c:v>0,040764681</c:v>
                </c:pt>
                <c:pt idx="46">
                  <c:v>0,02428604</c:v>
                </c:pt>
                <c:pt idx="47">
                  <c:v>0,010513432</c:v>
                </c:pt>
                <c:pt idx="48">
                  <c:v>-0,00122811</c:v>
                </c:pt>
                <c:pt idx="49">
                  <c:v>0,049298718</c:v>
                </c:pt>
                <c:pt idx="50">
                  <c:v>0,055510671</c:v>
                </c:pt>
                <c:pt idx="51">
                  <c:v>0,0617219</c:v>
                </c:pt>
                <c:pt idx="52">
                  <c:v>0,067932363</c:v>
                </c:pt>
                <c:pt idx="53">
                  <c:v>0,074142074</c:v>
                </c:pt>
                <c:pt idx="54">
                  <c:v>0,018153941</c:v>
                </c:pt>
                <c:pt idx="55">
                  <c:v>0,024333812</c:v>
                </c:pt>
                <c:pt idx="56">
                  <c:v>0,030502013</c:v>
                </c:pt>
                <c:pt idx="57">
                  <c:v>0,036658159</c:v>
                </c:pt>
                <c:pt idx="58">
                  <c:v>0,042802328</c:v>
                </c:pt>
                <c:pt idx="59">
                  <c:v>0,002021763</c:v>
                </c:pt>
                <c:pt idx="60">
                  <c:v>0,007729162</c:v>
                </c:pt>
                <c:pt idx="61">
                  <c:v>0,013298157</c:v>
                </c:pt>
                <c:pt idx="62">
                  <c:v>0,018723163</c:v>
                </c:pt>
                <c:pt idx="63">
                  <c:v>0,024010819</c:v>
                </c:pt>
                <c:pt idx="64">
                  <c:v>0,013949718</c:v>
                </c:pt>
                <c:pt idx="65">
                  <c:v>0,014560467</c:v>
                </c:pt>
                <c:pt idx="66">
                  <c:v>0,014578873</c:v>
                </c:pt>
                <c:pt idx="67">
                  <c:v>0,013924252</c:v>
                </c:pt>
                <c:pt idx="68">
                  <c:v>0,01271373</c:v>
                </c:pt>
                <c:pt idx="69">
                  <c:v>0,062115705</c:v>
                </c:pt>
                <c:pt idx="70">
                  <c:v>0,04076467</c:v>
                </c:pt>
                <c:pt idx="71">
                  <c:v>0,024286034</c:v>
                </c:pt>
                <c:pt idx="72">
                  <c:v>0,010513431</c:v>
                </c:pt>
                <c:pt idx="73">
                  <c:v>-0,001228113</c:v>
                </c:pt>
                <c:pt idx="74">
                  <c:v>0,049298714</c:v>
                </c:pt>
                <c:pt idx="75">
                  <c:v>0,055510675</c:v>
                </c:pt>
                <c:pt idx="76">
                  <c:v>0,061721903</c:v>
                </c:pt>
                <c:pt idx="77">
                  <c:v>0,067932368</c:v>
                </c:pt>
                <c:pt idx="78">
                  <c:v>0,074142068</c:v>
                </c:pt>
                <c:pt idx="79">
                  <c:v>0,018153943</c:v>
                </c:pt>
                <c:pt idx="80">
                  <c:v>0,024333819</c:v>
                </c:pt>
                <c:pt idx="81">
                  <c:v>0,030502022</c:v>
                </c:pt>
                <c:pt idx="82">
                  <c:v>0,036658155</c:v>
                </c:pt>
                <c:pt idx="83">
                  <c:v>0,042802323</c:v>
                </c:pt>
                <c:pt idx="84">
                  <c:v>0,002021763</c:v>
                </c:pt>
                <c:pt idx="85">
                  <c:v>0,007729163</c:v>
                </c:pt>
                <c:pt idx="86">
                  <c:v>0,013298158</c:v>
                </c:pt>
                <c:pt idx="87">
                  <c:v>0,018723159</c:v>
                </c:pt>
                <c:pt idx="88">
                  <c:v>0,024010826</c:v>
                </c:pt>
                <c:pt idx="89">
                  <c:v>0,013949726</c:v>
                </c:pt>
                <c:pt idx="90">
                  <c:v>0,014560454</c:v>
                </c:pt>
                <c:pt idx="91">
                  <c:v>0,014578885</c:v>
                </c:pt>
                <c:pt idx="92">
                  <c:v>0,013924256</c:v>
                </c:pt>
                <c:pt idx="93">
                  <c:v>0,012713726</c:v>
                </c:pt>
                <c:pt idx="94">
                  <c:v>0,062115718</c:v>
                </c:pt>
                <c:pt idx="95">
                  <c:v>0,040764677</c:v>
                </c:pt>
                <c:pt idx="96">
                  <c:v>0,024286035</c:v>
                </c:pt>
                <c:pt idx="97">
                  <c:v>0,010513437</c:v>
                </c:pt>
                <c:pt idx="98">
                  <c:v>-0,001228111</c:v>
                </c:pt>
                <c:pt idx="99">
                  <c:v>0,049298721</c:v>
                </c:pt>
                <c:pt idx="100">
                  <c:v>0,055510673</c:v>
                </c:pt>
                <c:pt idx="101">
                  <c:v>0,061721899</c:v>
                </c:pt>
                <c:pt idx="102">
                  <c:v>0,067932366</c:v>
                </c:pt>
                <c:pt idx="103">
                  <c:v>0,074142074</c:v>
                </c:pt>
                <c:pt idx="104">
                  <c:v>0,018153944</c:v>
                </c:pt>
                <c:pt idx="105">
                  <c:v>0,024333818</c:v>
                </c:pt>
                <c:pt idx="106">
                  <c:v>0,030502022</c:v>
                </c:pt>
                <c:pt idx="107">
                  <c:v>0,036658159</c:v>
                </c:pt>
                <c:pt idx="108">
                  <c:v>0,042802323</c:v>
                </c:pt>
                <c:pt idx="109">
                  <c:v>0,002021764</c:v>
                </c:pt>
                <c:pt idx="110">
                  <c:v>0,007729162</c:v>
                </c:pt>
                <c:pt idx="111">
                  <c:v>0,013298154</c:v>
                </c:pt>
                <c:pt idx="112">
                  <c:v>0,018723155</c:v>
                </c:pt>
                <c:pt idx="113">
                  <c:v>0,024010826</c:v>
                </c:pt>
                <c:pt idx="114">
                  <c:v>0,013949723</c:v>
                </c:pt>
                <c:pt idx="115">
                  <c:v>0,014560466</c:v>
                </c:pt>
                <c:pt idx="116">
                  <c:v>0,014578888</c:v>
                </c:pt>
                <c:pt idx="117">
                  <c:v>0,013924253</c:v>
                </c:pt>
                <c:pt idx="118">
                  <c:v>0,012713726</c:v>
                </c:pt>
                <c:pt idx="119">
                  <c:v>0,062115699</c:v>
                </c:pt>
                <c:pt idx="120">
                  <c:v>0,040764668</c:v>
                </c:pt>
                <c:pt idx="121">
                  <c:v>0,024286028</c:v>
                </c:pt>
                <c:pt idx="122">
                  <c:v>0,010513442</c:v>
                </c:pt>
                <c:pt idx="123">
                  <c:v>-0,00122812</c:v>
                </c:pt>
                <c:pt idx="124">
                  <c:v>0,010855503</c:v>
                </c:pt>
                <c:pt idx="125">
                  <c:v>0,017067241</c:v>
                </c:pt>
                <c:pt idx="126">
                  <c:v>0,023278264</c:v>
                </c:pt>
                <c:pt idx="127">
                  <c:v>0,029488488</c:v>
                </c:pt>
                <c:pt idx="128">
                  <c:v>0,035697906</c:v>
                </c:pt>
                <c:pt idx="129">
                  <c:v>-0,015111636</c:v>
                </c:pt>
                <c:pt idx="130">
                  <c:v>-0,00893625</c:v>
                </c:pt>
                <c:pt idx="131">
                  <c:v>-0,00277133</c:v>
                </c:pt>
                <c:pt idx="132">
                  <c:v>0,003381432</c:v>
                </c:pt>
                <c:pt idx="133">
                  <c:v>0,00952185</c:v>
                </c:pt>
                <c:pt idx="134">
                  <c:v>-0,024133053</c:v>
                </c:pt>
                <c:pt idx="135">
                  <c:v>-0,0184944</c:v>
                </c:pt>
                <c:pt idx="136">
                  <c:v>-0,012971727</c:v>
                </c:pt>
                <c:pt idx="137">
                  <c:v>-0,007589391</c:v>
                </c:pt>
                <c:pt idx="138">
                  <c:v>-0,002346021</c:v>
                </c:pt>
                <c:pt idx="139">
                  <c:v>-0,003280543</c:v>
                </c:pt>
                <c:pt idx="140">
                  <c:v>-0,003178945</c:v>
                </c:pt>
                <c:pt idx="141">
                  <c:v>-0,003540691</c:v>
                </c:pt>
                <c:pt idx="142">
                  <c:v>-0,004542684</c:v>
                </c:pt>
                <c:pt idx="143">
                  <c:v>-0,006096714</c:v>
                </c:pt>
                <c:pt idx="144">
                  <c:v>0,055100007</c:v>
                </c:pt>
                <c:pt idx="145">
                  <c:v>0,032350805</c:v>
                </c:pt>
                <c:pt idx="146">
                  <c:v>0,014668732</c:v>
                </c:pt>
                <c:pt idx="147">
                  <c:v>-0,000225774</c:v>
                </c:pt>
                <c:pt idx="148">
                  <c:v>-0,013049143</c:v>
                </c:pt>
                <c:pt idx="149">
                  <c:v>0,017155534</c:v>
                </c:pt>
                <c:pt idx="150">
                  <c:v>0,023367299</c:v>
                </c:pt>
                <c:pt idx="151">
                  <c:v>0,029578336</c:v>
                </c:pt>
                <c:pt idx="152">
                  <c:v>0,035788608</c:v>
                </c:pt>
                <c:pt idx="153">
                  <c:v>0,041998075</c:v>
                </c:pt>
                <c:pt idx="154">
                  <c:v>-0,009685046</c:v>
                </c:pt>
                <c:pt idx="155">
                  <c:v>-0,003509338</c:v>
                </c:pt>
                <c:pt idx="156">
                  <c:v>0,002655951</c:v>
                </c:pt>
                <c:pt idx="157">
                  <c:v>0,008809213</c:v>
                </c:pt>
                <c:pt idx="158">
                  <c:v>0,014950193</c:v>
                </c:pt>
                <c:pt idx="159">
                  <c:v>-0,019873447</c:v>
                </c:pt>
                <c:pt idx="160">
                  <c:v>-0,014227315</c:v>
                </c:pt>
                <c:pt idx="161">
                  <c:v>-0,008698959</c:v>
                </c:pt>
                <c:pt idx="162">
                  <c:v>-0,003310749</c:v>
                </c:pt>
                <c:pt idx="163">
                  <c:v>0,001939141</c:v>
                </c:pt>
                <c:pt idx="164">
                  <c:v>-0,000458922</c:v>
                </c:pt>
                <c:pt idx="165">
                  <c:v>-0,000280566</c:v>
                </c:pt>
                <c:pt idx="166">
                  <c:v>-0,000584741</c:v>
                </c:pt>
                <c:pt idx="167">
                  <c:v>-0,001533426</c:v>
                </c:pt>
                <c:pt idx="168">
                  <c:v>-0,003034123</c:v>
                </c:pt>
                <c:pt idx="169">
                  <c:v>0,056259696</c:v>
                </c:pt>
                <c:pt idx="170">
                  <c:v>0,033738435</c:v>
                </c:pt>
                <c:pt idx="171">
                  <c:v>0,01625182</c:v>
                </c:pt>
                <c:pt idx="172">
                  <c:v>0,001538996</c:v>
                </c:pt>
                <c:pt idx="173">
                  <c:v>-0,01110961</c:v>
                </c:pt>
                <c:pt idx="174">
                  <c:v>0,021679473</c:v>
                </c:pt>
                <c:pt idx="175">
                  <c:v>0,027891247</c:v>
                </c:pt>
                <c:pt idx="176">
                  <c:v>0,034102306</c:v>
                </c:pt>
                <c:pt idx="177">
                  <c:v>0,04031259</c:v>
                </c:pt>
                <c:pt idx="178">
                  <c:v>0,046522104</c:v>
                </c:pt>
                <c:pt idx="179">
                  <c:v>-0,005783061</c:v>
                </c:pt>
                <c:pt idx="180">
                  <c:v>0,000392905</c:v>
                </c:pt>
                <c:pt idx="181">
                  <c:v>0,006558482</c:v>
                </c:pt>
                <c:pt idx="182">
                  <c:v>0,012712076</c:v>
                </c:pt>
                <c:pt idx="183">
                  <c:v>0,018853466</c:v>
                </c:pt>
                <c:pt idx="184">
                  <c:v>-0,016808404</c:v>
                </c:pt>
                <c:pt idx="185">
                  <c:v>-0,011156329</c:v>
                </c:pt>
                <c:pt idx="186">
                  <c:v>-0,005623662</c:v>
                </c:pt>
                <c:pt idx="187">
                  <c:v>-0,000231123</c:v>
                </c:pt>
                <c:pt idx="188">
                  <c:v>0,00502354</c:v>
                </c:pt>
                <c:pt idx="189">
                  <c:v>0,00156841</c:v>
                </c:pt>
                <c:pt idx="190">
                  <c:v>0,001803352</c:v>
                </c:pt>
                <c:pt idx="191">
                  <c:v>0,001541532</c:v>
                </c:pt>
                <c:pt idx="192">
                  <c:v>0,000631871</c:v>
                </c:pt>
                <c:pt idx="193">
                  <c:v>-0,000829943</c:v>
                </c:pt>
                <c:pt idx="194">
                  <c:v>0,057090363</c:v>
                </c:pt>
                <c:pt idx="195">
                  <c:v>0,034733125</c:v>
                </c:pt>
                <c:pt idx="196">
                  <c:v>0,017387352</c:v>
                </c:pt>
                <c:pt idx="197">
                  <c:v>0,00280559</c:v>
                </c:pt>
                <c:pt idx="198">
                  <c:v>-0,009716887</c:v>
                </c:pt>
                <c:pt idx="199">
                  <c:v>0,025085981</c:v>
                </c:pt>
                <c:pt idx="200">
                  <c:v>0,031297764</c:v>
                </c:pt>
                <c:pt idx="201">
                  <c:v>0,037508845</c:v>
                </c:pt>
                <c:pt idx="202">
                  <c:v>0,043719151</c:v>
                </c:pt>
                <c:pt idx="203">
                  <c:v>0,049928677</c:v>
                </c:pt>
                <c:pt idx="204">
                  <c:v>-0,002841816</c:v>
                </c:pt>
                <c:pt idx="205">
                  <c:v>0,003334376</c:v>
                </c:pt>
                <c:pt idx="206">
                  <c:v>0,009500161</c:v>
                </c:pt>
                <c:pt idx="207">
                  <c:v>0,015654011</c:v>
                </c:pt>
                <c:pt idx="208">
                  <c:v>0,021795713</c:v>
                </c:pt>
                <c:pt idx="209">
                  <c:v>-0,014496848</c:v>
                </c:pt>
                <c:pt idx="210">
                  <c:v>-0,008839948</c:v>
                </c:pt>
                <c:pt idx="211">
                  <c:v>-0,003303853</c:v>
                </c:pt>
                <c:pt idx="212">
                  <c:v>0,002092047</c:v>
                </c:pt>
                <c:pt idx="213">
                  <c:v>0,007350328</c:v>
                </c:pt>
                <c:pt idx="214">
                  <c:v>0,003095502</c:v>
                </c:pt>
                <c:pt idx="215">
                  <c:v>0,003373914</c:v>
                </c:pt>
                <c:pt idx="216">
                  <c:v>0,00314459</c:v>
                </c:pt>
                <c:pt idx="217">
                  <c:v>0,002264757</c:v>
                </c:pt>
                <c:pt idx="218">
                  <c:v>0,000832596</c:v>
                </c:pt>
                <c:pt idx="219">
                  <c:v>0,057714636</c:v>
                </c:pt>
                <c:pt idx="220">
                  <c:v>0,035481123</c:v>
                </c:pt>
                <c:pt idx="221">
                  <c:v>0,018241646</c:v>
                </c:pt>
                <c:pt idx="222">
                  <c:v>0,003758847</c:v>
                </c:pt>
                <c:pt idx="223">
                  <c:v>-0,008668269</c:v>
                </c:pt>
                <c:pt idx="224">
                  <c:v>-0,026200422</c:v>
                </c:pt>
                <c:pt idx="225">
                  <c:v>-0,019988807</c:v>
                </c:pt>
                <c:pt idx="226">
                  <c:v>-0,013777958</c:v>
                </c:pt>
                <c:pt idx="227">
                  <c:v>-0,007567936</c:v>
                </c:pt>
                <c:pt idx="228">
                  <c:v>-0,001358768</c:v>
                </c:pt>
                <c:pt idx="229">
                  <c:v>-0,046881234</c:v>
                </c:pt>
                <c:pt idx="230">
                  <c:v>-0,040707581</c:v>
                </c:pt>
                <c:pt idx="231">
                  <c:v>-0,034544844</c:v>
                </c:pt>
                <c:pt idx="232">
                  <c:v>-0,0283948</c:v>
                </c:pt>
                <c:pt idx="233">
                  <c:v>-0,0222577</c:v>
                </c:pt>
                <c:pt idx="234">
                  <c:v>-0,048998679</c:v>
                </c:pt>
                <c:pt idx="235">
                  <c:v>-0,043393557</c:v>
                </c:pt>
                <c:pt idx="236">
                  <c:v>-0,037900129</c:v>
                </c:pt>
                <c:pt idx="237">
                  <c:v>-0,032550155</c:v>
                </c:pt>
                <c:pt idx="238">
                  <c:v>-0,027343788</c:v>
                </c:pt>
                <c:pt idx="239">
                  <c:v>-0,01982469</c:v>
                </c:pt>
                <c:pt idx="240">
                  <c:v>-0,020131798</c:v>
                </c:pt>
                <c:pt idx="241">
                  <c:v>-0,020804819</c:v>
                </c:pt>
                <c:pt idx="242">
                  <c:v>-0,022100686</c:v>
                </c:pt>
                <c:pt idx="243">
                  <c:v>-0,023953181</c:v>
                </c:pt>
                <c:pt idx="244">
                  <c:v>0,048220503</c:v>
                </c:pt>
                <c:pt idx="245">
                  <c:v>0,024144018</c:v>
                </c:pt>
                <c:pt idx="246">
                  <c:v>0,005329282</c:v>
                </c:pt>
                <c:pt idx="247">
                  <c:v>-0,010614511</c:v>
                </c:pt>
                <c:pt idx="248">
                  <c:v>-0,024444181</c:v>
                </c:pt>
                <c:pt idx="249">
                  <c:v>-0,013982558</c:v>
                </c:pt>
                <c:pt idx="250">
                  <c:v>-0,007770898</c:v>
                </c:pt>
                <c:pt idx="251">
                  <c:v>-0,001559997</c:v>
                </c:pt>
                <c:pt idx="252">
                  <c:v>0,004650087</c:v>
                </c:pt>
                <c:pt idx="253">
                  <c:v>0,010859341</c:v>
                </c:pt>
                <c:pt idx="254">
                  <c:v>-0,03643212</c:v>
                </c:pt>
                <c:pt idx="255">
                  <c:v>-0,030257924</c:v>
                </c:pt>
                <c:pt idx="256">
                  <c:v>-0,024094488</c:v>
                </c:pt>
                <c:pt idx="257">
                  <c:v>-0,017943543</c:v>
                </c:pt>
                <c:pt idx="258">
                  <c:v>-0,011805354</c:v>
                </c:pt>
                <c:pt idx="259">
                  <c:v>-0,040833618</c:v>
                </c:pt>
                <c:pt idx="260">
                  <c:v>-0,035218826</c:v>
                </c:pt>
                <c:pt idx="261">
                  <c:v>-0,029716291</c:v>
                </c:pt>
                <c:pt idx="262">
                  <c:v>-0,024355916</c:v>
                </c:pt>
                <c:pt idx="263">
                  <c:v>-0,01913753</c:v>
                </c:pt>
                <c:pt idx="264">
                  <c:v>-0,014380941</c:v>
                </c:pt>
                <c:pt idx="265">
                  <c:v>-0,014560621</c:v>
                </c:pt>
                <c:pt idx="266">
                  <c:v>-0,015135562</c:v>
                </c:pt>
                <c:pt idx="267">
                  <c:v>-0,01633773</c:v>
                </c:pt>
                <c:pt idx="268">
                  <c:v>-0,018094262</c:v>
                </c:pt>
                <c:pt idx="269">
                  <c:v>0,050498872</c:v>
                </c:pt>
                <c:pt idx="270">
                  <c:v>0,026857288</c:v>
                </c:pt>
                <c:pt idx="271">
                  <c:v>0,008412687</c:v>
                </c:pt>
                <c:pt idx="272">
                  <c:v>-0,007188874</c:v>
                </c:pt>
                <c:pt idx="273">
                  <c:v>-0,020690865</c:v>
                </c:pt>
                <c:pt idx="274">
                  <c:v>-0,005175555</c:v>
                </c:pt>
                <c:pt idx="275">
                  <c:v>0,001036131</c:v>
                </c:pt>
                <c:pt idx="276">
                  <c:v>0,007247076</c:v>
                </c:pt>
                <c:pt idx="277">
                  <c:v>0,013457207</c:v>
                </c:pt>
                <c:pt idx="278">
                  <c:v>0,01966652</c:v>
                </c:pt>
                <c:pt idx="279">
                  <c:v>-0,028884989</c:v>
                </c:pt>
                <c:pt idx="280">
                  <c:v>-0,022710398</c:v>
                </c:pt>
                <c:pt idx="281">
                  <c:v>-0,016546448</c:v>
                </c:pt>
                <c:pt idx="282">
                  <c:v>-0,010394857</c:v>
                </c:pt>
                <c:pt idx="283">
                  <c:v>-0,004255879</c:v>
                </c:pt>
                <c:pt idx="284">
                  <c:v>-0,034928215</c:v>
                </c:pt>
                <c:pt idx="285">
                  <c:v>-0,029305749</c:v>
                </c:pt>
                <c:pt idx="286">
                  <c:v>-0,023796365</c:v>
                </c:pt>
                <c:pt idx="287">
                  <c:v>-0,018428367</c:v>
                </c:pt>
                <c:pt idx="288">
                  <c:v>-0,013201225</c:v>
                </c:pt>
                <c:pt idx="289">
                  <c:v>-0,010449857</c:v>
                </c:pt>
                <c:pt idx="290">
                  <c:v>-0,010533428</c:v>
                </c:pt>
                <c:pt idx="291">
                  <c:v>-0,011035072</c:v>
                </c:pt>
                <c:pt idx="292">
                  <c:v>-0,012167885</c:v>
                </c:pt>
                <c:pt idx="293">
                  <c:v>-0,013853866</c:v>
                </c:pt>
                <c:pt idx="294">
                  <c:v>0,052135277</c:v>
                </c:pt>
                <c:pt idx="295">
                  <c:v>0,028808885</c:v>
                </c:pt>
                <c:pt idx="296">
                  <c:v>0,010633156</c:v>
                </c:pt>
                <c:pt idx="297">
                  <c:v>-0,004719418</c:v>
                </c:pt>
                <c:pt idx="298">
                  <c:v>-0,017982704</c:v>
                </c:pt>
                <c:pt idx="299">
                  <c:v>0,001475395</c:v>
                </c:pt>
                <c:pt idx="300">
                  <c:v>0,0076871</c:v>
                </c:pt>
                <c:pt idx="301">
                  <c:v>0,013898076</c:v>
                </c:pt>
                <c:pt idx="302">
                  <c:v>0,020108246</c:v>
                </c:pt>
                <c:pt idx="303">
                  <c:v>0,026317608</c:v>
                </c:pt>
                <c:pt idx="304">
                  <c:v>-0,023176545</c:v>
                </c:pt>
                <c:pt idx="305">
                  <c:v>-0,017001627</c:v>
                </c:pt>
                <c:pt idx="306">
                  <c:v>-0,010837274</c:v>
                </c:pt>
                <c:pt idx="307">
                  <c:v>-0,004685204</c:v>
                </c:pt>
                <c:pt idx="308">
                  <c:v>0,001454369</c:v>
                </c:pt>
                <c:pt idx="309">
                  <c:v>-0,030456916</c:v>
                </c:pt>
                <c:pt idx="310">
                  <c:v>-0,024828145</c:v>
                </c:pt>
                <c:pt idx="311">
                  <c:v>-0,019313421</c:v>
                </c:pt>
                <c:pt idx="312">
                  <c:v>-0,013939557</c:v>
                </c:pt>
                <c:pt idx="313">
                  <c:v>-0,00870573</c:v>
                </c:pt>
                <c:pt idx="314">
                  <c:v>-0,007477488</c:v>
                </c:pt>
                <c:pt idx="315">
                  <c:v>-0,007485912</c:v>
                </c:pt>
                <c:pt idx="316">
                  <c:v>-0,007930594</c:v>
                </c:pt>
                <c:pt idx="317">
                  <c:v>-0,009009903</c:v>
                </c:pt>
                <c:pt idx="318">
                  <c:v>-0,010641741</c:v>
                </c:pt>
                <c:pt idx="319">
                  <c:v>0,053367579</c:v>
                </c:pt>
                <c:pt idx="320">
                  <c:v>0,030280119</c:v>
                </c:pt>
                <c:pt idx="321">
                  <c:v>0,012308534</c:v>
                </c:pt>
                <c:pt idx="322">
                  <c:v>-0,002854745</c:v>
                </c:pt>
                <c:pt idx="323">
                  <c:v>-0,01593637</c:v>
                </c:pt>
                <c:pt idx="324">
                  <c:v>-0,06212924</c:v>
                </c:pt>
                <c:pt idx="325">
                  <c:v>-0,055917743</c:v>
                </c:pt>
                <c:pt idx="326">
                  <c:v>-0,049707054</c:v>
                </c:pt>
                <c:pt idx="327">
                  <c:v>-0,043497246</c:v>
                </c:pt>
                <c:pt idx="328">
                  <c:v>-0,037288316</c:v>
                </c:pt>
                <c:pt idx="329">
                  <c:v>-0,077483005</c:v>
                </c:pt>
                <c:pt idx="330">
                  <c:v>-0,071310866</c:v>
                </c:pt>
                <c:pt idx="331">
                  <c:v>-0,065150188</c:v>
                </c:pt>
                <c:pt idx="332">
                  <c:v>-0,059002762</c:v>
                </c:pt>
                <c:pt idx="333">
                  <c:v>-0,052868813</c:v>
                </c:pt>
                <c:pt idx="334">
                  <c:v>-0,072842041</c:v>
                </c:pt>
                <c:pt idx="335">
                  <c:v>-0,067261335</c:v>
                </c:pt>
                <c:pt idx="336">
                  <c:v>-0,061793165</c:v>
                </c:pt>
                <c:pt idx="337">
                  <c:v>-0,056472931</c:v>
                </c:pt>
                <c:pt idx="338">
                  <c:v>-0,051301293</c:v>
                </c:pt>
                <c:pt idx="339">
                  <c:v>-0,035762016</c:v>
                </c:pt>
                <c:pt idx="340">
                  <c:v>-0,036409855</c:v>
                </c:pt>
                <c:pt idx="341">
                  <c:v>-0,037351445</c:v>
                </c:pt>
                <c:pt idx="342">
                  <c:v>-0,038909517</c:v>
                </c:pt>
                <c:pt idx="343">
                  <c:v>-0,041034057</c:v>
                </c:pt>
                <c:pt idx="344">
                  <c:v>0,041471933</c:v>
                </c:pt>
                <c:pt idx="345">
                  <c:v>0,016133594</c:v>
                </c:pt>
                <c:pt idx="346">
                  <c:v>-0,003749911</c:v>
                </c:pt>
                <c:pt idx="347">
                  <c:v>-0,020678668</c:v>
                </c:pt>
                <c:pt idx="348">
                  <c:v>-0,035448742</c:v>
                </c:pt>
                <c:pt idx="349">
                  <c:v>-0,044295602</c:v>
                </c:pt>
                <c:pt idx="350">
                  <c:v>-0,038084047</c:v>
                </c:pt>
                <c:pt idx="351">
                  <c:v>-0,031873282</c:v>
                </c:pt>
                <c:pt idx="352">
                  <c:v>-0,025663359</c:v>
                </c:pt>
                <c:pt idx="353">
                  <c:v>-0,019454323</c:v>
                </c:pt>
                <c:pt idx="354">
                  <c:v>-0,062315661</c:v>
                </c:pt>
                <c:pt idx="355">
                  <c:v>-0,056142778</c:v>
                </c:pt>
                <c:pt idx="356">
                  <c:v>-0,049981084</c:v>
                </c:pt>
                <c:pt idx="357">
                  <c:v>-0,043832367</c:v>
                </c:pt>
                <c:pt idx="358">
                  <c:v>-0,037696853</c:v>
                </c:pt>
                <c:pt idx="359">
                  <c:v>-0,061036821</c:v>
                </c:pt>
                <c:pt idx="360">
                  <c:v>-0,055444585</c:v>
                </c:pt>
                <c:pt idx="361">
                  <c:v>-0,049964108</c:v>
                </c:pt>
                <c:pt idx="362">
                  <c:v>-0,04462923</c:v>
                </c:pt>
                <c:pt idx="363">
                  <c:v>-0,039440459</c:v>
                </c:pt>
                <c:pt idx="364">
                  <c:v>-0,027864942</c:v>
                </c:pt>
                <c:pt idx="365">
                  <c:v>-0,02834947</c:v>
                </c:pt>
                <c:pt idx="366">
                  <c:v>-0,029161058</c:v>
                </c:pt>
                <c:pt idx="367">
                  <c:v>-0,030591185</c:v>
                </c:pt>
                <c:pt idx="368">
                  <c:v>-0,032582369</c:v>
                </c:pt>
                <c:pt idx="369">
                  <c:v>0,044830157</c:v>
                </c:pt>
                <c:pt idx="370">
                  <c:v>0,020114892</c:v>
                </c:pt>
                <c:pt idx="371">
                  <c:v>0,000758179</c:v>
                </c:pt>
                <c:pt idx="372">
                  <c:v>-0,015685671</c:v>
                </c:pt>
                <c:pt idx="373">
                  <c:v>-0,029993254</c:v>
                </c:pt>
                <c:pt idx="374">
                  <c:v>-0,031398178</c:v>
                </c:pt>
                <c:pt idx="375">
                  <c:v>-0,025186579</c:v>
                </c:pt>
                <c:pt idx="376">
                  <c:v>-0,01897575</c:v>
                </c:pt>
                <c:pt idx="377">
                  <c:v>-0,012765769</c:v>
                </c:pt>
                <c:pt idx="378">
                  <c:v>-0,00655664</c:v>
                </c:pt>
                <c:pt idx="379">
                  <c:v>-0,051319566</c:v>
                </c:pt>
                <c:pt idx="380">
                  <c:v>-0,045146135</c:v>
                </c:pt>
                <c:pt idx="381">
                  <c:v>-0,038983693</c:v>
                </c:pt>
                <c:pt idx="382">
                  <c:v>-0,03283404</c:v>
                </c:pt>
                <c:pt idx="383">
                  <c:v>-0,02669739</c:v>
                </c:pt>
                <c:pt idx="384">
                  <c:v>-0,052463054</c:v>
                </c:pt>
                <c:pt idx="385">
                  <c:v>-0,046861776</c:v>
                </c:pt>
                <c:pt idx="386">
                  <c:v>-0,041372142</c:v>
                </c:pt>
                <c:pt idx="387">
                  <c:v>-0,036026531</c:v>
                </c:pt>
                <c:pt idx="388">
                  <c:v>-0,030825245</c:v>
                </c:pt>
                <c:pt idx="389">
                  <c:v>-0,022136988</c:v>
                </c:pt>
                <c:pt idx="390">
                  <c:v>-0,022496368</c:v>
                </c:pt>
                <c:pt idx="391">
                  <c:v>-0,023209946</c:v>
                </c:pt>
                <c:pt idx="392">
                  <c:v>-0,024544901</c:v>
                </c:pt>
                <c:pt idx="393">
                  <c:v>-0,026437618</c:v>
                </c:pt>
                <c:pt idx="394">
                  <c:v>0,047248512</c:v>
                </c:pt>
                <c:pt idx="395">
                  <c:v>0,022987891</c:v>
                </c:pt>
                <c:pt idx="396">
                  <c:v>0,004016723</c:v>
                </c:pt>
                <c:pt idx="397">
                  <c:v>-0,012071557</c:v>
                </c:pt>
                <c:pt idx="398">
                  <c:v>-0,026039407</c:v>
                </c:pt>
                <c:pt idx="399">
                  <c:v>-0,02163366</c:v>
                </c:pt>
              </c:strCache>
            </c:strRef>
          </c:xVal>
          <c:yVal>
            <c:numRef>
              <c:f>'E-Stat1'!$C$26:$C$425</c:f>
              <c:numCache>
                <c:formatCode>General</c:formatCode>
                <c:ptCount val="400"/>
                <c:pt idx="0">
                  <c:v>4.9298707031189437E-2</c:v>
                </c:pt>
                <c:pt idx="1">
                  <c:v>5.5510675146445365E-2</c:v>
                </c:pt>
                <c:pt idx="2">
                  <c:v>6.1721901056399631E-2</c:v>
                </c:pt>
                <c:pt idx="3">
                  <c:v>6.7932364899554898E-2</c:v>
                </c:pt>
                <c:pt idx="4">
                  <c:v>7.4142066339010881E-2</c:v>
                </c:pt>
                <c:pt idx="5">
                  <c:v>1.8153942026328806E-2</c:v>
                </c:pt>
                <c:pt idx="6">
                  <c:v>2.4333820175483467E-2</c:v>
                </c:pt>
                <c:pt idx="7">
                  <c:v>3.0502014959338908E-2</c:v>
                </c:pt>
                <c:pt idx="8">
                  <c:v>3.6658161211393647E-2</c:v>
                </c:pt>
                <c:pt idx="9">
                  <c:v>4.2802326894349818E-2</c:v>
                </c:pt>
                <c:pt idx="10">
                  <c:v>2.0217776608664195E-3</c:v>
                </c:pt>
                <c:pt idx="11">
                  <c:v>7.7291667857224411E-3</c:v>
                </c:pt>
                <c:pt idx="12">
                  <c:v>1.3298154117377337E-2</c:v>
                </c:pt>
                <c:pt idx="13">
                  <c:v>1.8723169234432291E-2</c:v>
                </c:pt>
                <c:pt idx="14">
                  <c:v>2.4010832274388605E-2</c:v>
                </c:pt>
                <c:pt idx="15">
                  <c:v>1.3949722376604967E-2</c:v>
                </c:pt>
                <c:pt idx="16">
                  <c:v>1.4560467148061917E-2</c:v>
                </c:pt>
                <c:pt idx="17">
                  <c:v>1.457887494061616E-2</c:v>
                </c:pt>
                <c:pt idx="18">
                  <c:v>1.392426195287122E-2</c:v>
                </c:pt>
                <c:pt idx="19">
                  <c:v>1.2713729057326262E-2</c:v>
                </c:pt>
                <c:pt idx="20">
                  <c:v>6.2115704453244547E-2</c:v>
                </c:pt>
                <c:pt idx="21">
                  <c:v>4.0764681236099776E-2</c:v>
                </c:pt>
                <c:pt idx="22">
                  <c:v>2.4286039554032968E-2</c:v>
                </c:pt>
                <c:pt idx="23">
                  <c:v>1.0513432190169425E-2</c:v>
                </c:pt>
                <c:pt idx="24">
                  <c:v>-1.2281102724447379E-3</c:v>
                </c:pt>
                <c:pt idx="25">
                  <c:v>4.9298717784090229E-2</c:v>
                </c:pt>
                <c:pt idx="26">
                  <c:v>5.5510671027144909E-2</c:v>
                </c:pt>
                <c:pt idx="27">
                  <c:v>6.1721900222899251E-2</c:v>
                </c:pt>
                <c:pt idx="28">
                  <c:v>6.793236347265541E-2</c:v>
                </c:pt>
                <c:pt idx="29">
                  <c:v>7.4142073651211504E-2</c:v>
                </c:pt>
                <c:pt idx="30">
                  <c:v>1.8153940868028684E-2</c:v>
                </c:pt>
                <c:pt idx="31">
                  <c:v>2.4333811637683667E-2</c:v>
                </c:pt>
                <c:pt idx="32">
                  <c:v>3.0502012745337481E-2</c:v>
                </c:pt>
                <c:pt idx="33">
                  <c:v>3.6658158611095004E-2</c:v>
                </c:pt>
                <c:pt idx="34">
                  <c:v>4.2802327836350074E-2</c:v>
                </c:pt>
                <c:pt idx="35">
                  <c:v>2.0217632495658222E-3</c:v>
                </c:pt>
                <c:pt idx="36">
                  <c:v>7.7291622165223117E-3</c:v>
                </c:pt>
                <c:pt idx="37">
                  <c:v>1.329815731117634E-2</c:v>
                </c:pt>
                <c:pt idx="38">
                  <c:v>1.8723162977233088E-2</c:v>
                </c:pt>
                <c:pt idx="39">
                  <c:v>2.4010819389488347E-2</c:v>
                </c:pt>
                <c:pt idx="40">
                  <c:v>1.3949717874904621E-2</c:v>
                </c:pt>
                <c:pt idx="41">
                  <c:v>1.4560466712561393E-2</c:v>
                </c:pt>
                <c:pt idx="42">
                  <c:v>1.4578873239814882E-2</c:v>
                </c:pt>
                <c:pt idx="43">
                  <c:v>1.3924252053170605E-2</c:v>
                </c:pt>
                <c:pt idx="44">
                  <c:v>1.2713729784326944E-2</c:v>
                </c:pt>
                <c:pt idx="45">
                  <c:v>6.2115704573843189E-2</c:v>
                </c:pt>
                <c:pt idx="46">
                  <c:v>4.0764670235899914E-2</c:v>
                </c:pt>
                <c:pt idx="47">
                  <c:v>2.4286033531993212E-2</c:v>
                </c:pt>
                <c:pt idx="48">
                  <c:v>1.0513431281308883E-2</c:v>
                </c:pt>
                <c:pt idx="49">
                  <c:v>-1.2281128548536913E-3</c:v>
                </c:pt>
                <c:pt idx="50">
                  <c:v>4.9298713690289375E-2</c:v>
                </c:pt>
                <c:pt idx="51">
                  <c:v>5.5510674692346385E-2</c:v>
                </c:pt>
                <c:pt idx="52">
                  <c:v>6.1721903300700376E-2</c:v>
                </c:pt>
                <c:pt idx="53">
                  <c:v>6.7932368404155952E-2</c:v>
                </c:pt>
                <c:pt idx="54">
                  <c:v>7.4142068082410972E-2</c:v>
                </c:pt>
                <c:pt idx="55">
                  <c:v>1.8153943304628939E-2</c:v>
                </c:pt>
                <c:pt idx="56">
                  <c:v>2.4333819078984575E-2</c:v>
                </c:pt>
                <c:pt idx="57">
                  <c:v>3.0502021835438597E-2</c:v>
                </c:pt>
                <c:pt idx="58">
                  <c:v>3.6658155270094639E-2</c:v>
                </c:pt>
                <c:pt idx="59">
                  <c:v>4.2802322768450196E-2</c:v>
                </c:pt>
                <c:pt idx="60">
                  <c:v>2.0217630460663827E-3</c:v>
                </c:pt>
                <c:pt idx="61">
                  <c:v>7.7291627518221162E-3</c:v>
                </c:pt>
                <c:pt idx="62">
                  <c:v>1.3298158184376518E-2</c:v>
                </c:pt>
                <c:pt idx="63">
                  <c:v>1.8723158687231845E-2</c:v>
                </c:pt>
                <c:pt idx="64">
                  <c:v>2.401082576368907E-2</c:v>
                </c:pt>
                <c:pt idx="65">
                  <c:v>1.3949726158704934E-2</c:v>
                </c:pt>
                <c:pt idx="66">
                  <c:v>1.4560453500861215E-2</c:v>
                </c:pt>
                <c:pt idx="67">
                  <c:v>1.4578885195215108E-2</c:v>
                </c:pt>
                <c:pt idx="68">
                  <c:v>1.3924256479771913E-2</c:v>
                </c:pt>
                <c:pt idx="69">
                  <c:v>1.2713726330527919E-2</c:v>
                </c:pt>
                <c:pt idx="70">
                  <c:v>6.2115718319244451E-2</c:v>
                </c:pt>
                <c:pt idx="71">
                  <c:v>4.0764676996499105E-2</c:v>
                </c:pt>
                <c:pt idx="72">
                  <c:v>2.428603478702307E-2</c:v>
                </c:pt>
                <c:pt idx="73">
                  <c:v>1.0513437410800464E-2</c:v>
                </c:pt>
                <c:pt idx="74">
                  <c:v>-1.2281110207243984E-3</c:v>
                </c:pt>
                <c:pt idx="75">
                  <c:v>4.9298721008089075E-2</c:v>
                </c:pt>
                <c:pt idx="76">
                  <c:v>5.5510672526844829E-2</c:v>
                </c:pt>
                <c:pt idx="77">
                  <c:v>6.1721898528800168E-2</c:v>
                </c:pt>
                <c:pt idx="78">
                  <c:v>6.7932365812655604E-2</c:v>
                </c:pt>
                <c:pt idx="79">
                  <c:v>7.4142073761212401E-2</c:v>
                </c:pt>
                <c:pt idx="80">
                  <c:v>1.8153943979427822E-2</c:v>
                </c:pt>
                <c:pt idx="81">
                  <c:v>2.4333817893184673E-2</c:v>
                </c:pt>
                <c:pt idx="82">
                  <c:v>3.0502021776138477E-2</c:v>
                </c:pt>
                <c:pt idx="83">
                  <c:v>3.66581586469934E-2</c:v>
                </c:pt>
                <c:pt idx="84">
                  <c:v>4.2802323124250918E-2</c:v>
                </c:pt>
                <c:pt idx="85">
                  <c:v>2.0217639011672617E-3</c:v>
                </c:pt>
                <c:pt idx="86">
                  <c:v>7.7291620995225685E-3</c:v>
                </c:pt>
                <c:pt idx="87">
                  <c:v>1.3298153667076207E-2</c:v>
                </c:pt>
                <c:pt idx="88">
                  <c:v>1.8723155092732924E-2</c:v>
                </c:pt>
                <c:pt idx="89">
                  <c:v>2.4010825759688714E-2</c:v>
                </c:pt>
                <c:pt idx="90">
                  <c:v>1.3949723346904364E-2</c:v>
                </c:pt>
                <c:pt idx="91">
                  <c:v>1.4560465524160904E-2</c:v>
                </c:pt>
                <c:pt idx="92">
                  <c:v>1.457888842691446E-2</c:v>
                </c:pt>
                <c:pt idx="93">
                  <c:v>1.3924252713870544E-2</c:v>
                </c:pt>
                <c:pt idx="94">
                  <c:v>1.2713725560226763E-2</c:v>
                </c:pt>
                <c:pt idx="95">
                  <c:v>6.2115699074443143E-2</c:v>
                </c:pt>
                <c:pt idx="96">
                  <c:v>4.0764667885699879E-2</c:v>
                </c:pt>
                <c:pt idx="97">
                  <c:v>2.4286028070424237E-2</c:v>
                </c:pt>
                <c:pt idx="98">
                  <c:v>1.0513442021450103E-2</c:v>
                </c:pt>
                <c:pt idx="99">
                  <c:v>-1.2281198616950206E-3</c:v>
                </c:pt>
                <c:pt idx="100">
                  <c:v>1.085550253209E-2</c:v>
                </c:pt>
                <c:pt idx="101">
                  <c:v>1.7067240784145454E-2</c:v>
                </c:pt>
                <c:pt idx="102">
                  <c:v>2.3278263724598958E-2</c:v>
                </c:pt>
                <c:pt idx="103">
                  <c:v>2.9488487768855265E-2</c:v>
                </c:pt>
                <c:pt idx="104">
                  <c:v>3.569790635821235E-2</c:v>
                </c:pt>
                <c:pt idx="105">
                  <c:v>-1.5111635622471198E-2</c:v>
                </c:pt>
                <c:pt idx="106">
                  <c:v>-8.9362495059166491E-3</c:v>
                </c:pt>
                <c:pt idx="107">
                  <c:v>-2.7713295138624972E-3</c:v>
                </c:pt>
                <c:pt idx="108">
                  <c:v>3.3814315534943518E-3</c:v>
                </c:pt>
                <c:pt idx="109">
                  <c:v>9.5218504115504032E-3</c:v>
                </c:pt>
                <c:pt idx="110">
                  <c:v>-2.4133052831134094E-2</c:v>
                </c:pt>
                <c:pt idx="111">
                  <c:v>-1.8494399891077151E-2</c:v>
                </c:pt>
                <c:pt idx="112">
                  <c:v>-1.2971726682422968E-2</c:v>
                </c:pt>
                <c:pt idx="113">
                  <c:v>-7.589391477766938E-3</c:v>
                </c:pt>
                <c:pt idx="114">
                  <c:v>-2.3460206847119025E-3</c:v>
                </c:pt>
                <c:pt idx="115">
                  <c:v>-3.2805426612956268E-3</c:v>
                </c:pt>
                <c:pt idx="116">
                  <c:v>-3.1789446122392206E-3</c:v>
                </c:pt>
                <c:pt idx="117">
                  <c:v>-3.5406906054848974E-3</c:v>
                </c:pt>
                <c:pt idx="118">
                  <c:v>-4.5426840514295463E-3</c:v>
                </c:pt>
                <c:pt idx="119">
                  <c:v>-6.0967138325729309E-3</c:v>
                </c:pt>
                <c:pt idx="120">
                  <c:v>5.5100007232143255E-2</c:v>
                </c:pt>
                <c:pt idx="121">
                  <c:v>3.2350805241399883E-2</c:v>
                </c:pt>
                <c:pt idx="122">
                  <c:v>1.4668732256673422E-2</c:v>
                </c:pt>
                <c:pt idx="123">
                  <c:v>-2.2577449268013083E-4</c:v>
                </c:pt>
                <c:pt idx="124">
                  <c:v>-1.3049142737184383E-2</c:v>
                </c:pt>
                <c:pt idx="125">
                  <c:v>1.7155534231989122E-2</c:v>
                </c:pt>
                <c:pt idx="126">
                  <c:v>2.3367298880344833E-2</c:v>
                </c:pt>
                <c:pt idx="127">
                  <c:v>2.9578336313500486E-2</c:v>
                </c:pt>
                <c:pt idx="128">
                  <c:v>3.5788608475455064E-2</c:v>
                </c:pt>
                <c:pt idx="129">
                  <c:v>4.1998074931111518E-2</c:v>
                </c:pt>
                <c:pt idx="130">
                  <c:v>-9.6850456827723974E-3</c:v>
                </c:pt>
                <c:pt idx="131">
                  <c:v>-3.5093376605157545E-3</c:v>
                </c:pt>
                <c:pt idx="132">
                  <c:v>2.6559510805377329E-3</c:v>
                </c:pt>
                <c:pt idx="133">
                  <c:v>8.809213368294877E-3</c:v>
                </c:pt>
                <c:pt idx="134">
                  <c:v>1.4950193139849688E-2</c:v>
                </c:pt>
                <c:pt idx="135">
                  <c:v>-1.9873447119632459E-2</c:v>
                </c:pt>
                <c:pt idx="136">
                  <c:v>-1.422731469777716E-2</c:v>
                </c:pt>
                <c:pt idx="137">
                  <c:v>-8.6989585331238573E-3</c:v>
                </c:pt>
                <c:pt idx="138">
                  <c:v>-3.3107490610664314E-3</c:v>
                </c:pt>
                <c:pt idx="139">
                  <c:v>1.9391413634881616E-3</c:v>
                </c:pt>
                <c:pt idx="140">
                  <c:v>-4.5892231609556688E-4</c:v>
                </c:pt>
                <c:pt idx="141">
                  <c:v>-2.8056646593910273E-4</c:v>
                </c:pt>
                <c:pt idx="142">
                  <c:v>-5.8474138828401578E-4</c:v>
                </c:pt>
                <c:pt idx="143">
                  <c:v>-1.5334256499279775E-3</c:v>
                </c:pt>
                <c:pt idx="144">
                  <c:v>-3.0341232658734896E-3</c:v>
                </c:pt>
                <c:pt idx="145">
                  <c:v>5.6259696131943926E-2</c:v>
                </c:pt>
                <c:pt idx="146">
                  <c:v>3.3738435227199659E-2</c:v>
                </c:pt>
                <c:pt idx="147">
                  <c:v>1.6251819973923887E-2</c:v>
                </c:pt>
                <c:pt idx="148">
                  <c:v>1.5389959641805007E-3</c:v>
                </c:pt>
                <c:pt idx="149">
                  <c:v>-1.1109609514164731E-2</c:v>
                </c:pt>
                <c:pt idx="150">
                  <c:v>2.1679472863089799E-2</c:v>
                </c:pt>
                <c:pt idx="151">
                  <c:v>2.7891246982946427E-2</c:v>
                </c:pt>
                <c:pt idx="152">
                  <c:v>3.410230550109894E-2</c:v>
                </c:pt>
                <c:pt idx="153">
                  <c:v>4.0312590381656577E-2</c:v>
                </c:pt>
                <c:pt idx="154">
                  <c:v>4.6522103964411698E-2</c:v>
                </c:pt>
                <c:pt idx="155">
                  <c:v>-5.7830611010718513E-3</c:v>
                </c:pt>
                <c:pt idx="156">
                  <c:v>3.9290453778484391E-4</c:v>
                </c:pt>
                <c:pt idx="157">
                  <c:v>6.5584824126379004E-3</c:v>
                </c:pt>
                <c:pt idx="158">
                  <c:v>1.271207615799419E-2</c:v>
                </c:pt>
                <c:pt idx="159">
                  <c:v>1.8853466153750276E-2</c:v>
                </c:pt>
                <c:pt idx="160">
                  <c:v>-1.6808403643732817E-2</c:v>
                </c:pt>
                <c:pt idx="161">
                  <c:v>-1.115632913437814E-2</c:v>
                </c:pt>
                <c:pt idx="162">
                  <c:v>-5.6236620178236052E-3</c:v>
                </c:pt>
                <c:pt idx="163">
                  <c:v>-2.3112294126725885E-4</c:v>
                </c:pt>
                <c:pt idx="164">
                  <c:v>5.0235399412894566E-3</c:v>
                </c:pt>
                <c:pt idx="165">
                  <c:v>1.5684102038058256E-3</c:v>
                </c:pt>
                <c:pt idx="166">
                  <c:v>1.8033521747611303E-3</c:v>
                </c:pt>
                <c:pt idx="167">
                  <c:v>1.5415320943148458E-3</c:v>
                </c:pt>
                <c:pt idx="168">
                  <c:v>6.3187121257080037E-4</c:v>
                </c:pt>
                <c:pt idx="169">
                  <c:v>-8.2994268147373873E-4</c:v>
                </c:pt>
                <c:pt idx="170">
                  <c:v>5.7090362934843597E-2</c:v>
                </c:pt>
                <c:pt idx="171">
                  <c:v>3.4733124897700307E-2</c:v>
                </c:pt>
                <c:pt idx="172">
                  <c:v>1.7387352437832959E-2</c:v>
                </c:pt>
                <c:pt idx="173">
                  <c:v>2.8055904115298347E-3</c:v>
                </c:pt>
                <c:pt idx="174">
                  <c:v>-9.7168865740435706E-3</c:v>
                </c:pt>
                <c:pt idx="175">
                  <c:v>2.5085981371189447E-2</c:v>
                </c:pt>
                <c:pt idx="176">
                  <c:v>3.1297763903145537E-2</c:v>
                </c:pt>
                <c:pt idx="177">
                  <c:v>3.7508845170000527E-2</c:v>
                </c:pt>
                <c:pt idx="178">
                  <c:v>4.3719151016455626E-2</c:v>
                </c:pt>
                <c:pt idx="179">
                  <c:v>4.992867697651171E-2</c:v>
                </c:pt>
                <c:pt idx="180">
                  <c:v>-2.8418161658709806E-3</c:v>
                </c:pt>
                <c:pt idx="181">
                  <c:v>3.334375884383789E-3</c:v>
                </c:pt>
                <c:pt idx="182">
                  <c:v>9.5001612991385542E-3</c:v>
                </c:pt>
                <c:pt idx="183">
                  <c:v>1.5654010663094908E-2</c:v>
                </c:pt>
                <c:pt idx="184">
                  <c:v>2.1795713034750364E-2</c:v>
                </c:pt>
                <c:pt idx="185">
                  <c:v>-1.4496847901433796E-2</c:v>
                </c:pt>
                <c:pt idx="186">
                  <c:v>-8.8399476779770225E-3</c:v>
                </c:pt>
                <c:pt idx="187">
                  <c:v>-3.3038526571225191E-3</c:v>
                </c:pt>
                <c:pt idx="188">
                  <c:v>2.0920466139333627E-3</c:v>
                </c:pt>
                <c:pt idx="189">
                  <c:v>7.350328233588499E-3</c:v>
                </c:pt>
                <c:pt idx="190">
                  <c:v>3.0955023262055903E-3</c:v>
                </c:pt>
                <c:pt idx="191">
                  <c:v>3.3739137716608525E-3</c:v>
                </c:pt>
                <c:pt idx="192">
                  <c:v>3.1445899035151825E-3</c:v>
                </c:pt>
                <c:pt idx="193">
                  <c:v>2.2647573485716777E-3</c:v>
                </c:pt>
                <c:pt idx="194">
                  <c:v>8.3259637132648834E-4</c:v>
                </c:pt>
                <c:pt idx="195">
                  <c:v>5.7714635691644034E-2</c:v>
                </c:pt>
                <c:pt idx="196">
                  <c:v>3.5481123201000386E-2</c:v>
                </c:pt>
                <c:pt idx="197">
                  <c:v>1.8241646456923277E-2</c:v>
                </c:pt>
                <c:pt idx="198">
                  <c:v>3.7588465466598109E-3</c:v>
                </c:pt>
                <c:pt idx="199">
                  <c:v>-8.6682687793242508E-3</c:v>
                </c:pt>
                <c:pt idx="200">
                  <c:v>-2.6200422252710354E-2</c:v>
                </c:pt>
                <c:pt idx="201">
                  <c:v>-1.9988807197155012E-2</c:v>
                </c:pt>
                <c:pt idx="202">
                  <c:v>-1.3777957669500296E-2</c:v>
                </c:pt>
                <c:pt idx="203">
                  <c:v>-7.56793627444452E-3</c:v>
                </c:pt>
                <c:pt idx="204">
                  <c:v>-1.3587683912881232E-3</c:v>
                </c:pt>
                <c:pt idx="205">
                  <c:v>-4.6881234031872054E-2</c:v>
                </c:pt>
                <c:pt idx="206">
                  <c:v>-4.0707581010716254E-2</c:v>
                </c:pt>
                <c:pt idx="207">
                  <c:v>-3.4544843838462569E-2</c:v>
                </c:pt>
                <c:pt idx="208">
                  <c:v>-2.8394800407305354E-2</c:v>
                </c:pt>
                <c:pt idx="209">
                  <c:v>-2.2257699843450496E-2</c:v>
                </c:pt>
                <c:pt idx="210">
                  <c:v>-4.899867856863338E-2</c:v>
                </c:pt>
                <c:pt idx="211">
                  <c:v>-4.3393557225776647E-2</c:v>
                </c:pt>
                <c:pt idx="212">
                  <c:v>-3.7900129088022538E-2</c:v>
                </c:pt>
                <c:pt idx="213">
                  <c:v>-3.255015543896711E-2</c:v>
                </c:pt>
                <c:pt idx="214">
                  <c:v>-2.7343787609511949E-2</c:v>
                </c:pt>
                <c:pt idx="215">
                  <c:v>-1.9824689944595519E-2</c:v>
                </c:pt>
                <c:pt idx="216">
                  <c:v>-2.0131798165838433E-2</c:v>
                </c:pt>
                <c:pt idx="217">
                  <c:v>-2.0804819085284976E-2</c:v>
                </c:pt>
                <c:pt idx="218">
                  <c:v>-2.2100686248929691E-2</c:v>
                </c:pt>
                <c:pt idx="219">
                  <c:v>-2.3953181293872916E-2</c:v>
                </c:pt>
                <c:pt idx="220">
                  <c:v>4.8220503080143473E-2</c:v>
                </c:pt>
                <c:pt idx="221">
                  <c:v>2.4144017514698746E-2</c:v>
                </c:pt>
                <c:pt idx="222">
                  <c:v>5.3292821109636179E-3</c:v>
                </c:pt>
                <c:pt idx="223">
                  <c:v>-1.0614510961341139E-2</c:v>
                </c:pt>
                <c:pt idx="224">
                  <c:v>-2.4444181490913763E-2</c:v>
                </c:pt>
                <c:pt idx="225">
                  <c:v>-1.3982557534809814E-2</c:v>
                </c:pt>
                <c:pt idx="226">
                  <c:v>-7.7708977386539146E-3</c:v>
                </c:pt>
                <c:pt idx="227">
                  <c:v>-1.5599965856001319E-3</c:v>
                </c:pt>
                <c:pt idx="228">
                  <c:v>4.6500874818562465E-3</c:v>
                </c:pt>
                <c:pt idx="229">
                  <c:v>1.0859340897811265E-2</c:v>
                </c:pt>
                <c:pt idx="230">
                  <c:v>-3.6432120102471544E-2</c:v>
                </c:pt>
                <c:pt idx="231">
                  <c:v>-3.0257923912916596E-2</c:v>
                </c:pt>
                <c:pt idx="232">
                  <c:v>-2.4094487904962492E-2</c:v>
                </c:pt>
                <c:pt idx="233">
                  <c:v>-1.7943542685506131E-2</c:v>
                </c:pt>
                <c:pt idx="234">
                  <c:v>-1.1805353614549929E-2</c:v>
                </c:pt>
                <c:pt idx="235">
                  <c:v>-4.0833618359433999E-2</c:v>
                </c:pt>
                <c:pt idx="236">
                  <c:v>-3.5218826210178023E-2</c:v>
                </c:pt>
                <c:pt idx="237">
                  <c:v>-2.9716290677722412E-2</c:v>
                </c:pt>
                <c:pt idx="238">
                  <c:v>-2.4355915693368146E-2</c:v>
                </c:pt>
                <c:pt idx="239">
                  <c:v>-1.9137529939211362E-2</c:v>
                </c:pt>
                <c:pt idx="240">
                  <c:v>-1.43809405631945E-2</c:v>
                </c:pt>
                <c:pt idx="241">
                  <c:v>-1.4560621348438829E-2</c:v>
                </c:pt>
                <c:pt idx="242">
                  <c:v>-1.5135562384084977E-2</c:v>
                </c:pt>
                <c:pt idx="243">
                  <c:v>-1.6337730083828106E-2</c:v>
                </c:pt>
                <c:pt idx="244">
                  <c:v>-1.8094262074672685E-2</c:v>
                </c:pt>
                <c:pt idx="245">
                  <c:v>5.0498871526343692E-2</c:v>
                </c:pt>
                <c:pt idx="246">
                  <c:v>2.685728821419886E-2</c:v>
                </c:pt>
                <c:pt idx="247">
                  <c:v>8.4126874557028941E-3</c:v>
                </c:pt>
                <c:pt idx="248">
                  <c:v>-7.1888736936802644E-3</c:v>
                </c:pt>
                <c:pt idx="249">
                  <c:v>-2.0690865063444974E-2</c:v>
                </c:pt>
                <c:pt idx="250">
                  <c:v>-5.1755545602105713E-3</c:v>
                </c:pt>
                <c:pt idx="251">
                  <c:v>1.0361306703448037E-3</c:v>
                </c:pt>
                <c:pt idx="252">
                  <c:v>7.2470755699001188E-3</c:v>
                </c:pt>
                <c:pt idx="253">
                  <c:v>1.3457207089656364E-2</c:v>
                </c:pt>
                <c:pt idx="254">
                  <c:v>1.9666520244411956E-2</c:v>
                </c:pt>
                <c:pt idx="255">
                  <c:v>-2.8884988989471339E-2</c:v>
                </c:pt>
                <c:pt idx="256">
                  <c:v>-2.2710398115316721E-2</c:v>
                </c:pt>
                <c:pt idx="257">
                  <c:v>-1.6546448111661505E-2</c:v>
                </c:pt>
                <c:pt idx="258">
                  <c:v>-1.0394856681704923E-2</c:v>
                </c:pt>
                <c:pt idx="259">
                  <c:v>-4.2558789044502277E-3</c:v>
                </c:pt>
                <c:pt idx="260">
                  <c:v>-3.4928215429133047E-2</c:v>
                </c:pt>
                <c:pt idx="261">
                  <c:v>-2.9305749278178084E-2</c:v>
                </c:pt>
                <c:pt idx="262">
                  <c:v>-2.3796365143724074E-2</c:v>
                </c:pt>
                <c:pt idx="263">
                  <c:v>-1.8428366719867029E-2</c:v>
                </c:pt>
                <c:pt idx="264">
                  <c:v>-1.3201224827811942E-2</c:v>
                </c:pt>
                <c:pt idx="265">
                  <c:v>-1.0449856954295456E-2</c:v>
                </c:pt>
                <c:pt idx="266">
                  <c:v>-1.053342758653919E-2</c:v>
                </c:pt>
                <c:pt idx="267">
                  <c:v>-1.103507212828525E-2</c:v>
                </c:pt>
                <c:pt idx="268">
                  <c:v>-1.2167885408029377E-2</c:v>
                </c:pt>
                <c:pt idx="269">
                  <c:v>-1.3853865771972451E-2</c:v>
                </c:pt>
                <c:pt idx="270">
                  <c:v>5.2135276756743565E-2</c:v>
                </c:pt>
                <c:pt idx="271">
                  <c:v>2.8808885364599135E-2</c:v>
                </c:pt>
                <c:pt idx="272">
                  <c:v>1.0633155977362918E-2</c:v>
                </c:pt>
                <c:pt idx="273">
                  <c:v>-4.7194182583307764E-3</c:v>
                </c:pt>
                <c:pt idx="274">
                  <c:v>-1.7982703989764204E-2</c:v>
                </c:pt>
                <c:pt idx="275">
                  <c:v>1.4753952996890973E-3</c:v>
                </c:pt>
                <c:pt idx="276">
                  <c:v>7.6870995897451166E-3</c:v>
                </c:pt>
                <c:pt idx="277">
                  <c:v>1.3898076295600248E-2</c:v>
                </c:pt>
                <c:pt idx="278">
                  <c:v>2.0108245787856305E-2</c:v>
                </c:pt>
                <c:pt idx="279">
                  <c:v>2.631760823091156E-2</c:v>
                </c:pt>
                <c:pt idx="280">
                  <c:v>-2.3176544631471785E-2</c:v>
                </c:pt>
                <c:pt idx="281">
                  <c:v>-1.7001626781516066E-2</c:v>
                </c:pt>
                <c:pt idx="282">
                  <c:v>-1.0837274275161235E-2</c:v>
                </c:pt>
                <c:pt idx="283">
                  <c:v>-4.6852040652058946E-3</c:v>
                </c:pt>
                <c:pt idx="284">
                  <c:v>1.4543689348496258E-3</c:v>
                </c:pt>
                <c:pt idx="285">
                  <c:v>-3.0456916113633881E-2</c:v>
                </c:pt>
                <c:pt idx="286">
                  <c:v>-2.4828145312676853E-2</c:v>
                </c:pt>
                <c:pt idx="287">
                  <c:v>-1.931342088522392E-2</c:v>
                </c:pt>
                <c:pt idx="288">
                  <c:v>-1.393955650366685E-2</c:v>
                </c:pt>
                <c:pt idx="289">
                  <c:v>-8.7057302021111838E-3</c:v>
                </c:pt>
                <c:pt idx="290">
                  <c:v>-7.4774878803953726E-3</c:v>
                </c:pt>
                <c:pt idx="291">
                  <c:v>-7.4859123579393838E-3</c:v>
                </c:pt>
                <c:pt idx="292">
                  <c:v>-7.9305944112846305E-3</c:v>
                </c:pt>
                <c:pt idx="293">
                  <c:v>-9.009903498329308E-3</c:v>
                </c:pt>
                <c:pt idx="294">
                  <c:v>-1.064174126847206E-2</c:v>
                </c:pt>
                <c:pt idx="295">
                  <c:v>5.336757926294311E-2</c:v>
                </c:pt>
                <c:pt idx="296">
                  <c:v>3.0280118644400389E-2</c:v>
                </c:pt>
                <c:pt idx="297">
                  <c:v>1.2308534346603395E-2</c:v>
                </c:pt>
                <c:pt idx="298">
                  <c:v>-2.8547449152203086E-3</c:v>
                </c:pt>
                <c:pt idx="299">
                  <c:v>-1.5936370092873631E-2</c:v>
                </c:pt>
                <c:pt idx="300">
                  <c:v>-6.2129240180009759E-2</c:v>
                </c:pt>
                <c:pt idx="301">
                  <c:v>-5.5917742808453852E-2</c:v>
                </c:pt>
                <c:pt idx="302">
                  <c:v>-4.9707054380700555E-2</c:v>
                </c:pt>
                <c:pt idx="303">
                  <c:v>-4.3497245699043674E-2</c:v>
                </c:pt>
                <c:pt idx="304">
                  <c:v>-3.7288316029387758E-2</c:v>
                </c:pt>
                <c:pt idx="305">
                  <c:v>-7.7483005075771771E-2</c:v>
                </c:pt>
                <c:pt idx="306">
                  <c:v>-7.1310866231316439E-2</c:v>
                </c:pt>
                <c:pt idx="307">
                  <c:v>-6.5150188438360956E-2</c:v>
                </c:pt>
                <c:pt idx="308">
                  <c:v>-5.9002762143006038E-2</c:v>
                </c:pt>
                <c:pt idx="309">
                  <c:v>-5.2868812893850148E-2</c:v>
                </c:pt>
                <c:pt idx="310">
                  <c:v>-7.2842041229332466E-2</c:v>
                </c:pt>
                <c:pt idx="311">
                  <c:v>-6.7261335045477821E-2</c:v>
                </c:pt>
                <c:pt idx="312">
                  <c:v>-6.1793165480823475E-2</c:v>
                </c:pt>
                <c:pt idx="313">
                  <c:v>-5.6472930532367016E-2</c:v>
                </c:pt>
                <c:pt idx="314">
                  <c:v>-5.1301292715111302E-2</c:v>
                </c:pt>
                <c:pt idx="315">
                  <c:v>-3.5762015595395269E-2</c:v>
                </c:pt>
                <c:pt idx="316">
                  <c:v>-3.6409855353838338E-2</c:v>
                </c:pt>
                <c:pt idx="317">
                  <c:v>-3.7351445136383887E-2</c:v>
                </c:pt>
                <c:pt idx="318">
                  <c:v>-3.8909516824128687E-2</c:v>
                </c:pt>
                <c:pt idx="319">
                  <c:v>-4.1034057392272061E-2</c:v>
                </c:pt>
                <c:pt idx="320">
                  <c:v>4.1471932612344276E-2</c:v>
                </c:pt>
                <c:pt idx="321">
                  <c:v>1.6133593916888955E-2</c:v>
                </c:pt>
                <c:pt idx="322">
                  <c:v>-3.7499109177865364E-3</c:v>
                </c:pt>
                <c:pt idx="323">
                  <c:v>-2.0678668448679716E-2</c:v>
                </c:pt>
                <c:pt idx="324">
                  <c:v>-3.5448741755404356E-2</c:v>
                </c:pt>
                <c:pt idx="325">
                  <c:v>-4.4295602127009559E-2</c:v>
                </c:pt>
                <c:pt idx="326">
                  <c:v>-3.8084046806954319E-2</c:v>
                </c:pt>
                <c:pt idx="327">
                  <c:v>-3.1873282363600097E-2</c:v>
                </c:pt>
                <c:pt idx="328">
                  <c:v>-2.5663359183644374E-2</c:v>
                </c:pt>
                <c:pt idx="329">
                  <c:v>-1.9454323266788975E-2</c:v>
                </c:pt>
                <c:pt idx="330">
                  <c:v>-6.231566078197126E-2</c:v>
                </c:pt>
                <c:pt idx="331">
                  <c:v>-5.6142778486716338E-2</c:v>
                </c:pt>
                <c:pt idx="332">
                  <c:v>-4.9981084427361822E-2</c:v>
                </c:pt>
                <c:pt idx="333">
                  <c:v>-4.383236722190631E-2</c:v>
                </c:pt>
                <c:pt idx="334">
                  <c:v>-3.7696853324950652E-2</c:v>
                </c:pt>
                <c:pt idx="335">
                  <c:v>-6.1036820995433061E-2</c:v>
                </c:pt>
                <c:pt idx="336">
                  <c:v>-5.5444585026878102E-2</c:v>
                </c:pt>
                <c:pt idx="337">
                  <c:v>-4.996410841732235E-2</c:v>
                </c:pt>
                <c:pt idx="338">
                  <c:v>-4.4629229583867058E-2</c:v>
                </c:pt>
                <c:pt idx="339">
                  <c:v>-3.9440459324911359E-2</c:v>
                </c:pt>
                <c:pt idx="340">
                  <c:v>-2.7864942422695549E-2</c:v>
                </c:pt>
                <c:pt idx="341">
                  <c:v>-2.8349469763739421E-2</c:v>
                </c:pt>
                <c:pt idx="342">
                  <c:v>-2.9161057684884639E-2</c:v>
                </c:pt>
                <c:pt idx="343">
                  <c:v>-3.0591185424528433E-2</c:v>
                </c:pt>
                <c:pt idx="344">
                  <c:v>-3.2582369336472183E-2</c:v>
                </c:pt>
                <c:pt idx="345">
                  <c:v>4.4830157286543937E-2</c:v>
                </c:pt>
                <c:pt idx="346">
                  <c:v>2.0114892261299033E-2</c:v>
                </c:pt>
                <c:pt idx="347">
                  <c:v>7.5817942011369155E-4</c:v>
                </c:pt>
                <c:pt idx="348">
                  <c:v>-1.5685670929370232E-2</c:v>
                </c:pt>
                <c:pt idx="349">
                  <c:v>-2.9993254060023844E-2</c:v>
                </c:pt>
                <c:pt idx="350">
                  <c:v>-3.1398177772409497E-2</c:v>
                </c:pt>
                <c:pt idx="351">
                  <c:v>-2.5186578749053723E-2</c:v>
                </c:pt>
                <c:pt idx="352">
                  <c:v>-1.8975750269000002E-2</c:v>
                </c:pt>
                <c:pt idx="353">
                  <c:v>-1.2765769102843549E-2</c:v>
                </c:pt>
                <c:pt idx="354">
                  <c:v>-6.5566402651882072E-3</c:v>
                </c:pt>
                <c:pt idx="355">
                  <c:v>-5.131956620547129E-2</c:v>
                </c:pt>
                <c:pt idx="356">
                  <c:v>-4.5146134593515796E-2</c:v>
                </c:pt>
                <c:pt idx="357">
                  <c:v>-3.8983693458062518E-2</c:v>
                </c:pt>
                <c:pt idx="358">
                  <c:v>-3.2834040439706058E-2</c:v>
                </c:pt>
                <c:pt idx="359">
                  <c:v>-2.6697390362649287E-2</c:v>
                </c:pt>
                <c:pt idx="360">
                  <c:v>-5.2463054128633502E-2</c:v>
                </c:pt>
                <c:pt idx="361">
                  <c:v>-4.6861775701477981E-2</c:v>
                </c:pt>
                <c:pt idx="362">
                  <c:v>-4.1372141987123356E-2</c:v>
                </c:pt>
                <c:pt idx="363">
                  <c:v>-3.6026530848467075E-2</c:v>
                </c:pt>
                <c:pt idx="364">
                  <c:v>-3.0825245083111241E-2</c:v>
                </c:pt>
                <c:pt idx="365">
                  <c:v>-2.2136988384895417E-2</c:v>
                </c:pt>
                <c:pt idx="366">
                  <c:v>-2.2496368230939368E-2</c:v>
                </c:pt>
                <c:pt idx="367">
                  <c:v>-2.3209945724984138E-2</c:v>
                </c:pt>
                <c:pt idx="368">
                  <c:v>-2.4544901354428106E-2</c:v>
                </c:pt>
                <c:pt idx="369">
                  <c:v>-2.6437618383772232E-2</c:v>
                </c:pt>
                <c:pt idx="370">
                  <c:v>4.7248511674043314E-2</c:v>
                </c:pt>
                <c:pt idx="371">
                  <c:v>2.2987890803999989E-2</c:v>
                </c:pt>
                <c:pt idx="372">
                  <c:v>4.016722845303633E-3</c:v>
                </c:pt>
                <c:pt idx="373">
                  <c:v>-1.207155695720985E-2</c:v>
                </c:pt>
                <c:pt idx="374">
                  <c:v>-2.6039407329864872E-2</c:v>
                </c:pt>
                <c:pt idx="375">
                  <c:v>-2.1633659876711064E-2</c:v>
                </c:pt>
                <c:pt idx="376">
                  <c:v>-1.5422026520854004E-2</c:v>
                </c:pt>
                <c:pt idx="377">
                  <c:v>-9.2111558573009233E-3</c:v>
                </c:pt>
                <c:pt idx="378">
                  <c:v>-3.0011101486451253E-3</c:v>
                </c:pt>
                <c:pt idx="379">
                  <c:v>3.2080829777108022E-3</c:v>
                </c:pt>
                <c:pt idx="380">
                  <c:v>-4.2978323689371933E-2</c:v>
                </c:pt>
                <c:pt idx="381">
                  <c:v>-3.6804464043616036E-2</c:v>
                </c:pt>
                <c:pt idx="382">
                  <c:v>-3.0641468869662347E-2</c:v>
                </c:pt>
                <c:pt idx="383">
                  <c:v>-2.4491102980606527E-2</c:v>
                </c:pt>
                <c:pt idx="384">
                  <c:v>-1.8353586309350689E-2</c:v>
                </c:pt>
                <c:pt idx="385">
                  <c:v>-4.5950382544234003E-2</c:v>
                </c:pt>
                <c:pt idx="386">
                  <c:v>-4.0341769694277829E-2</c:v>
                </c:pt>
                <c:pt idx="387">
                  <c:v>-3.4844966561323076E-2</c:v>
                </c:pt>
                <c:pt idx="388">
                  <c:v>-2.9491136695966702E-2</c:v>
                </c:pt>
                <c:pt idx="389">
                  <c:v>-2.42802920675107E-2</c:v>
                </c:pt>
                <c:pt idx="390">
                  <c:v>-1.7791324805095599E-2</c:v>
                </c:pt>
                <c:pt idx="391">
                  <c:v>-1.8051548445239263E-2</c:v>
                </c:pt>
                <c:pt idx="392">
                  <c:v>-1.868836885708447E-2</c:v>
                </c:pt>
                <c:pt idx="393">
                  <c:v>-1.9949530588228015E-2</c:v>
                </c:pt>
                <c:pt idx="394">
                  <c:v>-2.1766401828573478E-2</c:v>
                </c:pt>
                <c:pt idx="395">
                  <c:v>4.9073166978343963E-2</c:v>
                </c:pt>
                <c:pt idx="396">
                  <c:v>2.5158921198499939E-2</c:v>
                </c:pt>
                <c:pt idx="397">
                  <c:v>6.4821390479234964E-3</c:v>
                </c:pt>
                <c:pt idx="398">
                  <c:v>-9.334177832950985E-3</c:v>
                </c:pt>
                <c:pt idx="399">
                  <c:v>-2.3041841692194254E-2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46-A042-8583-E36E45D9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347247"/>
        <c:axId val="2083674623"/>
      </c:scatterChart>
      <c:valAx>
        <c:axId val="2084347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2</a:t>
                </a:r>
              </a:p>
            </c:rich>
          </c:tx>
          <c:overlay val="0"/>
        </c:title>
        <c:majorTickMark val="out"/>
        <c:minorTickMark val="none"/>
        <c:tickLblPos val="nextTo"/>
        <c:crossAx val="2083674623"/>
        <c:crosses val="autoZero"/>
        <c:crossBetween val="midCat"/>
      </c:valAx>
      <c:valAx>
        <c:axId val="20836746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43472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DATA!$D$2:$D$401</c:f>
              <c:numCache>
                <c:formatCode>0.00</c:formatCode>
                <c:ptCount val="400"/>
                <c:pt idx="0">
                  <c:v>12.8519664309355</c:v>
                </c:pt>
                <c:pt idx="1">
                  <c:v>12.8519644448038</c:v>
                </c:pt>
                <c:pt idx="2">
                  <c:v>12.8519617164668</c:v>
                </c:pt>
                <c:pt idx="3">
                  <c:v>12.851958226062999</c:v>
                </c:pt>
                <c:pt idx="4">
                  <c:v>12.851953973255499</c:v>
                </c:pt>
                <c:pt idx="5">
                  <c:v>12.116853772320701</c:v>
                </c:pt>
                <c:pt idx="6">
                  <c:v>12.116819696222899</c:v>
                </c:pt>
                <c:pt idx="7">
                  <c:v>12.116773936759801</c:v>
                </c:pt>
                <c:pt idx="8">
                  <c:v>12.116716128764899</c:v>
                </c:pt>
                <c:pt idx="9">
                  <c:v>12.1166463402009</c:v>
                </c:pt>
                <c:pt idx="10">
                  <c:v>11.3967537143453</c:v>
                </c:pt>
                <c:pt idx="11">
                  <c:v>11.3962471492232</c:v>
                </c:pt>
                <c:pt idx="12">
                  <c:v>11.395602182307901</c:v>
                </c:pt>
                <c:pt idx="13">
                  <c:v>11.394813243178</c:v>
                </c:pt>
                <c:pt idx="14">
                  <c:v>11.393886951971</c:v>
                </c:pt>
                <c:pt idx="15">
                  <c:v>10.7047137654511</c:v>
                </c:pt>
                <c:pt idx="16">
                  <c:v>10.699110555975601</c:v>
                </c:pt>
                <c:pt idx="17">
                  <c:v>10.692915009521201</c:v>
                </c:pt>
                <c:pt idx="18">
                  <c:v>10.6860464422865</c:v>
                </c:pt>
                <c:pt idx="19">
                  <c:v>10.678621955143999</c:v>
                </c:pt>
                <c:pt idx="20">
                  <c:v>10.048911853917801</c:v>
                </c:pt>
                <c:pt idx="21">
                  <c:v>10.0213468764537</c:v>
                </c:pt>
                <c:pt idx="22">
                  <c:v>9.9986542805246792</c:v>
                </c:pt>
                <c:pt idx="23">
                  <c:v>9.9786677189138597</c:v>
                </c:pt>
                <c:pt idx="24">
                  <c:v>9.9607122222042896</c:v>
                </c:pt>
                <c:pt idx="25">
                  <c:v>12.851966441688401</c:v>
                </c:pt>
                <c:pt idx="26">
                  <c:v>12.851964440684499</c:v>
                </c:pt>
                <c:pt idx="27">
                  <c:v>12.851961715633299</c:v>
                </c:pt>
                <c:pt idx="28">
                  <c:v>12.8519582246361</c:v>
                </c:pt>
                <c:pt idx="29">
                  <c:v>12.8519539805677</c:v>
                </c:pt>
                <c:pt idx="30">
                  <c:v>12.1168537711624</c:v>
                </c:pt>
                <c:pt idx="31">
                  <c:v>12.1168196876851</c:v>
                </c:pt>
                <c:pt idx="32">
                  <c:v>12.116773934545799</c:v>
                </c:pt>
                <c:pt idx="33">
                  <c:v>12.116716126164601</c:v>
                </c:pt>
                <c:pt idx="34">
                  <c:v>12.1166463411429</c:v>
                </c:pt>
                <c:pt idx="35">
                  <c:v>11.396753699933999</c:v>
                </c:pt>
                <c:pt idx="36">
                  <c:v>11.396247144654</c:v>
                </c:pt>
                <c:pt idx="37">
                  <c:v>11.3956021855017</c:v>
                </c:pt>
                <c:pt idx="38">
                  <c:v>11.3948132369208</c:v>
                </c:pt>
                <c:pt idx="39">
                  <c:v>11.3938869390861</c:v>
                </c:pt>
                <c:pt idx="40">
                  <c:v>10.704713760949399</c:v>
                </c:pt>
                <c:pt idx="41">
                  <c:v>10.6991105555401</c:v>
                </c:pt>
                <c:pt idx="42">
                  <c:v>10.6929150078204</c:v>
                </c:pt>
                <c:pt idx="43">
                  <c:v>10.686046432386799</c:v>
                </c:pt>
                <c:pt idx="44">
                  <c:v>10.678621955871</c:v>
                </c:pt>
                <c:pt idx="45">
                  <c:v>10.048911854038399</c:v>
                </c:pt>
                <c:pt idx="46">
                  <c:v>10.0213468654535</c:v>
                </c:pt>
                <c:pt idx="47">
                  <c:v>9.9986542745026394</c:v>
                </c:pt>
                <c:pt idx="48">
                  <c:v>9.9786677180049992</c:v>
                </c:pt>
                <c:pt idx="49">
                  <c:v>9.9607122196218807</c:v>
                </c:pt>
                <c:pt idx="50">
                  <c:v>12.8519664375946</c:v>
                </c:pt>
                <c:pt idx="51">
                  <c:v>12.851964444349701</c:v>
                </c:pt>
                <c:pt idx="52">
                  <c:v>12.851961718711101</c:v>
                </c:pt>
                <c:pt idx="53">
                  <c:v>12.8519582295676</c:v>
                </c:pt>
                <c:pt idx="54">
                  <c:v>12.851953974998899</c:v>
                </c:pt>
                <c:pt idx="55">
                  <c:v>12.116853773599001</c:v>
                </c:pt>
                <c:pt idx="56">
                  <c:v>12.1168196951264</c:v>
                </c:pt>
                <c:pt idx="57">
                  <c:v>12.1167739436359</c:v>
                </c:pt>
                <c:pt idx="58">
                  <c:v>12.1167161228236</c:v>
                </c:pt>
                <c:pt idx="59">
                  <c:v>12.116646336075</c:v>
                </c:pt>
                <c:pt idx="60">
                  <c:v>11.3967536997305</c:v>
                </c:pt>
                <c:pt idx="61">
                  <c:v>11.396247145189299</c:v>
                </c:pt>
                <c:pt idx="62">
                  <c:v>11.3956021863749</c:v>
                </c:pt>
                <c:pt idx="63">
                  <c:v>11.394813232630799</c:v>
                </c:pt>
                <c:pt idx="64">
                  <c:v>11.3938869454603</c:v>
                </c:pt>
                <c:pt idx="65">
                  <c:v>10.7047137692332</c:v>
                </c:pt>
                <c:pt idx="66">
                  <c:v>10.6991105423284</c:v>
                </c:pt>
                <c:pt idx="67">
                  <c:v>10.6929150197758</c:v>
                </c:pt>
                <c:pt idx="68">
                  <c:v>10.686046436813401</c:v>
                </c:pt>
                <c:pt idx="69">
                  <c:v>10.678621952417201</c:v>
                </c:pt>
                <c:pt idx="70">
                  <c:v>10.048911867783801</c:v>
                </c:pt>
                <c:pt idx="71">
                  <c:v>10.021346872214099</c:v>
                </c:pt>
                <c:pt idx="72">
                  <c:v>9.9986542757576693</c:v>
                </c:pt>
                <c:pt idx="73">
                  <c:v>9.9786677241344908</c:v>
                </c:pt>
                <c:pt idx="74">
                  <c:v>9.96071222145601</c:v>
                </c:pt>
                <c:pt idx="75">
                  <c:v>12.851966444912399</c:v>
                </c:pt>
                <c:pt idx="76">
                  <c:v>12.851964442184199</c:v>
                </c:pt>
                <c:pt idx="77">
                  <c:v>12.8519617139392</c:v>
                </c:pt>
                <c:pt idx="78">
                  <c:v>12.8519582269761</c:v>
                </c:pt>
                <c:pt idx="79">
                  <c:v>12.851953980677701</c:v>
                </c:pt>
                <c:pt idx="80">
                  <c:v>12.1168537742738</c:v>
                </c:pt>
                <c:pt idx="81">
                  <c:v>12.116819693940601</c:v>
                </c:pt>
                <c:pt idx="82">
                  <c:v>12.1167739435766</c:v>
                </c:pt>
                <c:pt idx="83">
                  <c:v>12.116716126200499</c:v>
                </c:pt>
                <c:pt idx="84">
                  <c:v>12.116646336430801</c:v>
                </c:pt>
                <c:pt idx="85">
                  <c:v>11.396753700585601</c:v>
                </c:pt>
                <c:pt idx="86">
                  <c:v>11.396247144537</c:v>
                </c:pt>
                <c:pt idx="87">
                  <c:v>11.395602181857599</c:v>
                </c:pt>
                <c:pt idx="88">
                  <c:v>11.3948132290363</c:v>
                </c:pt>
                <c:pt idx="89">
                  <c:v>11.3938869454563</c:v>
                </c:pt>
                <c:pt idx="90">
                  <c:v>10.704713766421399</c:v>
                </c:pt>
                <c:pt idx="91">
                  <c:v>10.6991105543517</c:v>
                </c:pt>
                <c:pt idx="92">
                  <c:v>10.692915023007499</c:v>
                </c:pt>
                <c:pt idx="93">
                  <c:v>10.686046433047499</c:v>
                </c:pt>
                <c:pt idx="94">
                  <c:v>10.6786219516469</c:v>
                </c:pt>
                <c:pt idx="95">
                  <c:v>10.048911848538999</c:v>
                </c:pt>
                <c:pt idx="96">
                  <c:v>10.0213468631033</c:v>
                </c:pt>
                <c:pt idx="97">
                  <c:v>9.9986542690410705</c:v>
                </c:pt>
                <c:pt idx="98">
                  <c:v>9.9786677287451404</c:v>
                </c:pt>
                <c:pt idx="99">
                  <c:v>9.9607122126150394</c:v>
                </c:pt>
                <c:pt idx="100">
                  <c:v>12.8135232264364</c:v>
                </c:pt>
                <c:pt idx="101">
                  <c:v>12.8135210104415</c:v>
                </c:pt>
                <c:pt idx="102">
                  <c:v>12.813518079134999</c:v>
                </c:pt>
                <c:pt idx="103">
                  <c:v>12.8135143489323</c:v>
                </c:pt>
                <c:pt idx="104">
                  <c:v>12.813509813274701</c:v>
                </c:pt>
                <c:pt idx="105">
                  <c:v>12.083588194671901</c:v>
                </c:pt>
                <c:pt idx="106">
                  <c:v>12.083549626541499</c:v>
                </c:pt>
                <c:pt idx="107">
                  <c:v>12.083500592286599</c:v>
                </c:pt>
                <c:pt idx="108">
                  <c:v>12.083439399107</c:v>
                </c:pt>
                <c:pt idx="109">
                  <c:v>12.0833658637181</c:v>
                </c:pt>
                <c:pt idx="110">
                  <c:v>11.370598883853299</c:v>
                </c:pt>
                <c:pt idx="111">
                  <c:v>11.3700235825464</c:v>
                </c:pt>
                <c:pt idx="112">
                  <c:v>11.3693323015081</c:v>
                </c:pt>
                <c:pt idx="113">
                  <c:v>11.3685006824658</c:v>
                </c:pt>
                <c:pt idx="114">
                  <c:v>11.367530099011899</c:v>
                </c:pt>
                <c:pt idx="115">
                  <c:v>10.687483500413199</c:v>
                </c:pt>
                <c:pt idx="116">
                  <c:v>10.6813711442153</c:v>
                </c:pt>
                <c:pt idx="117">
                  <c:v>10.6747954439751</c:v>
                </c:pt>
                <c:pt idx="118">
                  <c:v>10.667579496282199</c:v>
                </c:pt>
                <c:pt idx="119">
                  <c:v>10.6598115122541</c:v>
                </c:pt>
                <c:pt idx="120">
                  <c:v>10.0418961566967</c:v>
                </c:pt>
                <c:pt idx="121">
                  <c:v>10.012933000459</c:v>
                </c:pt>
                <c:pt idx="122">
                  <c:v>9.9890369732273196</c:v>
                </c:pt>
                <c:pt idx="123">
                  <c:v>9.9679285122310102</c:v>
                </c:pt>
                <c:pt idx="124">
                  <c:v>9.94889118973955</c:v>
                </c:pt>
                <c:pt idx="125">
                  <c:v>12.819823258136299</c:v>
                </c:pt>
                <c:pt idx="126">
                  <c:v>12.819821068537699</c:v>
                </c:pt>
                <c:pt idx="127">
                  <c:v>12.819818151723901</c:v>
                </c:pt>
                <c:pt idx="128">
                  <c:v>12.819814469638899</c:v>
                </c:pt>
                <c:pt idx="129">
                  <c:v>12.8198099818476</c:v>
                </c:pt>
                <c:pt idx="130">
                  <c:v>12.089014784611599</c:v>
                </c:pt>
                <c:pt idx="131">
                  <c:v>12.0889765383869</c:v>
                </c:pt>
                <c:pt idx="132">
                  <c:v>12.088927872880999</c:v>
                </c:pt>
                <c:pt idx="133">
                  <c:v>12.088867180921801</c:v>
                </c:pt>
                <c:pt idx="134">
                  <c:v>12.0887942064464</c:v>
                </c:pt>
                <c:pt idx="135">
                  <c:v>11.374858489564801</c:v>
                </c:pt>
                <c:pt idx="136">
                  <c:v>11.3742906677397</c:v>
                </c:pt>
                <c:pt idx="137">
                  <c:v>11.373605069657399</c:v>
                </c:pt>
                <c:pt idx="138">
                  <c:v>11.372779324882501</c:v>
                </c:pt>
                <c:pt idx="139">
                  <c:v>11.3718152610601</c:v>
                </c:pt>
                <c:pt idx="140">
                  <c:v>10.690305120758399</c:v>
                </c:pt>
                <c:pt idx="141">
                  <c:v>10.6842695223616</c:v>
                </c:pt>
                <c:pt idx="142">
                  <c:v>10.677751393192301</c:v>
                </c:pt>
                <c:pt idx="143">
                  <c:v>10.670588754683701</c:v>
                </c:pt>
                <c:pt idx="144">
                  <c:v>10.662874102820799</c:v>
                </c:pt>
                <c:pt idx="145">
                  <c:v>10.0430558455965</c:v>
                </c:pt>
                <c:pt idx="146">
                  <c:v>10.0143206304448</c:v>
                </c:pt>
                <c:pt idx="147">
                  <c:v>9.9906200609445701</c:v>
                </c:pt>
                <c:pt idx="148">
                  <c:v>9.9696932826878708</c:v>
                </c:pt>
                <c:pt idx="149">
                  <c:v>9.9508307229625697</c:v>
                </c:pt>
                <c:pt idx="150">
                  <c:v>12.8243471967674</c:v>
                </c:pt>
                <c:pt idx="151">
                  <c:v>12.824345016640301</c:v>
                </c:pt>
                <c:pt idx="152">
                  <c:v>12.824342120911499</c:v>
                </c:pt>
                <c:pt idx="153">
                  <c:v>12.824338451545101</c:v>
                </c:pt>
                <c:pt idx="154">
                  <c:v>12.8243340108809</c:v>
                </c:pt>
                <c:pt idx="155">
                  <c:v>12.0929167691933</c:v>
                </c:pt>
                <c:pt idx="156">
                  <c:v>12.092878780585201</c:v>
                </c:pt>
                <c:pt idx="157">
                  <c:v>12.0928304042131</c:v>
                </c:pt>
                <c:pt idx="158">
                  <c:v>12.0927700437115</c:v>
                </c:pt>
                <c:pt idx="159">
                  <c:v>12.0926974794603</c:v>
                </c:pt>
                <c:pt idx="160">
                  <c:v>11.3779235330407</c:v>
                </c:pt>
                <c:pt idx="161">
                  <c:v>11.377361653303099</c:v>
                </c:pt>
                <c:pt idx="162">
                  <c:v>11.3766803661727</c:v>
                </c:pt>
                <c:pt idx="163">
                  <c:v>11.3758589510023</c:v>
                </c:pt>
                <c:pt idx="164">
                  <c:v>11.374899659637901</c:v>
                </c:pt>
                <c:pt idx="165">
                  <c:v>10.692332453278301</c:v>
                </c:pt>
                <c:pt idx="166">
                  <c:v>10.6863534410023</c:v>
                </c:pt>
                <c:pt idx="167">
                  <c:v>10.6798776666749</c:v>
                </c:pt>
                <c:pt idx="168">
                  <c:v>10.6727540515462</c:v>
                </c:pt>
                <c:pt idx="169">
                  <c:v>10.665078283405199</c:v>
                </c:pt>
                <c:pt idx="170">
                  <c:v>10.0438865123994</c:v>
                </c:pt>
                <c:pt idx="171">
                  <c:v>10.015315320115301</c:v>
                </c:pt>
                <c:pt idx="172">
                  <c:v>9.9917555934084792</c:v>
                </c:pt>
                <c:pt idx="173">
                  <c:v>9.9709598771352201</c:v>
                </c:pt>
                <c:pt idx="174">
                  <c:v>9.9522234459026908</c:v>
                </c:pt>
                <c:pt idx="175">
                  <c:v>12.8277537052755</c:v>
                </c:pt>
                <c:pt idx="176">
                  <c:v>12.8277515335605</c:v>
                </c:pt>
                <c:pt idx="177">
                  <c:v>12.827748660580401</c:v>
                </c:pt>
                <c:pt idx="178">
                  <c:v>12.8277450121799</c:v>
                </c:pt>
                <c:pt idx="179">
                  <c:v>12.827740583893</c:v>
                </c:pt>
                <c:pt idx="180">
                  <c:v>12.095858014128501</c:v>
                </c:pt>
                <c:pt idx="181">
                  <c:v>12.0958202519318</c:v>
                </c:pt>
                <c:pt idx="182">
                  <c:v>12.0957720830996</c:v>
                </c:pt>
                <c:pt idx="183">
                  <c:v>12.095711978216601</c:v>
                </c:pt>
                <c:pt idx="184">
                  <c:v>12.0956397263413</c:v>
                </c:pt>
                <c:pt idx="185">
                  <c:v>11.380235088782999</c:v>
                </c:pt>
                <c:pt idx="186">
                  <c:v>11.3796780347595</c:v>
                </c:pt>
                <c:pt idx="187">
                  <c:v>11.379000175533401</c:v>
                </c:pt>
                <c:pt idx="188">
                  <c:v>11.378182120557501</c:v>
                </c:pt>
                <c:pt idx="189">
                  <c:v>11.3772264479302</c:v>
                </c:pt>
                <c:pt idx="190">
                  <c:v>10.6938595454007</c:v>
                </c:pt>
                <c:pt idx="191">
                  <c:v>10.6879240025992</c:v>
                </c:pt>
                <c:pt idx="192">
                  <c:v>10.6814807244841</c:v>
                </c:pt>
                <c:pt idx="193">
                  <c:v>10.6743869376822</c:v>
                </c:pt>
                <c:pt idx="194">
                  <c:v>10.666740822457999</c:v>
                </c:pt>
                <c:pt idx="195">
                  <c:v>10.0445107851562</c:v>
                </c:pt>
                <c:pt idx="196">
                  <c:v>10.016063318418601</c:v>
                </c:pt>
                <c:pt idx="197">
                  <c:v>9.9926098874275695</c:v>
                </c:pt>
                <c:pt idx="198">
                  <c:v>9.9719131332703501</c:v>
                </c:pt>
                <c:pt idx="199">
                  <c:v>9.9532720636974101</c:v>
                </c:pt>
                <c:pt idx="200">
                  <c:v>12.7764673016516</c:v>
                </c:pt>
                <c:pt idx="201">
                  <c:v>12.776464962460199</c:v>
                </c:pt>
                <c:pt idx="202">
                  <c:v>12.7764618577409</c:v>
                </c:pt>
                <c:pt idx="203">
                  <c:v>12.776457924889</c:v>
                </c:pt>
                <c:pt idx="204">
                  <c:v>12.7764531385252</c:v>
                </c:pt>
                <c:pt idx="205">
                  <c:v>12.0518185962625</c:v>
                </c:pt>
                <c:pt idx="206">
                  <c:v>12.0517782950367</c:v>
                </c:pt>
                <c:pt idx="207">
                  <c:v>12.051727077961999</c:v>
                </c:pt>
                <c:pt idx="208">
                  <c:v>12.0516631671462</c:v>
                </c:pt>
                <c:pt idx="209">
                  <c:v>12.051586313463099</c:v>
                </c:pt>
                <c:pt idx="210">
                  <c:v>11.3457332581158</c:v>
                </c:pt>
                <c:pt idx="211">
                  <c:v>11.345124425211701</c:v>
                </c:pt>
                <c:pt idx="212">
                  <c:v>11.344403899102501</c:v>
                </c:pt>
                <c:pt idx="213">
                  <c:v>11.3435399185046</c:v>
                </c:pt>
                <c:pt idx="214">
                  <c:v>11.342532332087099</c:v>
                </c:pt>
                <c:pt idx="215">
                  <c:v>10.670939353129899</c:v>
                </c:pt>
                <c:pt idx="216">
                  <c:v>10.6644182906617</c:v>
                </c:pt>
                <c:pt idx="217">
                  <c:v>10.6575313154953</c:v>
                </c:pt>
                <c:pt idx="218">
                  <c:v>10.650021494084699</c:v>
                </c:pt>
                <c:pt idx="219">
                  <c:v>10.6419550447928</c:v>
                </c:pt>
                <c:pt idx="220">
                  <c:v>10.0350166525447</c:v>
                </c:pt>
                <c:pt idx="221">
                  <c:v>10.004726212732299</c:v>
                </c:pt>
                <c:pt idx="222">
                  <c:v>9.9796975230816098</c:v>
                </c:pt>
                <c:pt idx="223">
                  <c:v>9.9575397757623492</c:v>
                </c:pt>
                <c:pt idx="224">
                  <c:v>9.9374961509858206</c:v>
                </c:pt>
                <c:pt idx="225">
                  <c:v>12.7886851663695</c:v>
                </c:pt>
                <c:pt idx="226">
                  <c:v>12.7886828719187</c:v>
                </c:pt>
                <c:pt idx="227">
                  <c:v>12.7886798188248</c:v>
                </c:pt>
                <c:pt idx="228">
                  <c:v>12.788675948645301</c:v>
                </c:pt>
                <c:pt idx="229">
                  <c:v>12.7886712478143</c:v>
                </c:pt>
                <c:pt idx="230">
                  <c:v>12.0622677101919</c:v>
                </c:pt>
                <c:pt idx="231">
                  <c:v>12.062227952134499</c:v>
                </c:pt>
                <c:pt idx="232">
                  <c:v>12.062177433895499</c:v>
                </c:pt>
                <c:pt idx="233">
                  <c:v>12.062114424868</c:v>
                </c:pt>
                <c:pt idx="234">
                  <c:v>12.062038659692</c:v>
                </c:pt>
                <c:pt idx="235">
                  <c:v>11.353898318324999</c:v>
                </c:pt>
                <c:pt idx="236">
                  <c:v>11.353299156227299</c:v>
                </c:pt>
                <c:pt idx="237">
                  <c:v>11.352587737512801</c:v>
                </c:pt>
                <c:pt idx="238">
                  <c:v>11.351734158250199</c:v>
                </c:pt>
                <c:pt idx="239">
                  <c:v>11.3507385897574</c:v>
                </c:pt>
                <c:pt idx="240">
                  <c:v>10.6763831025113</c:v>
                </c:pt>
                <c:pt idx="241">
                  <c:v>10.6699894674791</c:v>
                </c:pt>
                <c:pt idx="242">
                  <c:v>10.6632005721965</c:v>
                </c:pt>
                <c:pt idx="243">
                  <c:v>10.655784450249801</c:v>
                </c:pt>
                <c:pt idx="244">
                  <c:v>10.647813964012</c:v>
                </c:pt>
                <c:pt idx="245">
                  <c:v>10.0372950209909</c:v>
                </c:pt>
                <c:pt idx="246">
                  <c:v>10.007439483431799</c:v>
                </c:pt>
                <c:pt idx="247">
                  <c:v>9.9827809284263491</c:v>
                </c:pt>
                <c:pt idx="248">
                  <c:v>9.96096541303001</c:v>
                </c:pt>
                <c:pt idx="249">
                  <c:v>9.9412494674132894</c:v>
                </c:pt>
                <c:pt idx="250">
                  <c:v>12.7974921693441</c:v>
                </c:pt>
                <c:pt idx="251">
                  <c:v>12.797489900327699</c:v>
                </c:pt>
                <c:pt idx="252">
                  <c:v>12.7974868909803</c:v>
                </c:pt>
                <c:pt idx="253">
                  <c:v>12.797483068253101</c:v>
                </c:pt>
                <c:pt idx="254">
                  <c:v>12.7974784271609</c:v>
                </c:pt>
                <c:pt idx="255">
                  <c:v>12.0698148413049</c:v>
                </c:pt>
                <c:pt idx="256">
                  <c:v>12.069775477932099</c:v>
                </c:pt>
                <c:pt idx="257">
                  <c:v>12.0697254736888</c:v>
                </c:pt>
                <c:pt idx="258">
                  <c:v>12.069663110871801</c:v>
                </c:pt>
                <c:pt idx="259">
                  <c:v>12.0695881344021</c:v>
                </c:pt>
                <c:pt idx="260">
                  <c:v>11.3598037212553</c:v>
                </c:pt>
                <c:pt idx="261">
                  <c:v>11.359212233159299</c:v>
                </c:pt>
                <c:pt idx="262">
                  <c:v>11.358507663046799</c:v>
                </c:pt>
                <c:pt idx="263">
                  <c:v>11.3576617072237</c:v>
                </c:pt>
                <c:pt idx="264">
                  <c:v>11.356674894868799</c:v>
                </c:pt>
                <c:pt idx="265">
                  <c:v>10.680314186120199</c:v>
                </c:pt>
                <c:pt idx="266">
                  <c:v>10.674016661241</c:v>
                </c:pt>
                <c:pt idx="267">
                  <c:v>10.667301062452299</c:v>
                </c:pt>
                <c:pt idx="268">
                  <c:v>10.659954294925599</c:v>
                </c:pt>
                <c:pt idx="269">
                  <c:v>10.6520543603147</c:v>
                </c:pt>
                <c:pt idx="270">
                  <c:v>10.0389314262213</c:v>
                </c:pt>
                <c:pt idx="271">
                  <c:v>10.0093910805822</c:v>
                </c:pt>
                <c:pt idx="272">
                  <c:v>9.9850013969480091</c:v>
                </c:pt>
                <c:pt idx="273">
                  <c:v>9.9634348684653595</c:v>
                </c:pt>
                <c:pt idx="274">
                  <c:v>9.9439576284869702</c:v>
                </c:pt>
                <c:pt idx="275">
                  <c:v>12.804143119203999</c:v>
                </c:pt>
                <c:pt idx="276">
                  <c:v>12.804140869247099</c:v>
                </c:pt>
                <c:pt idx="277">
                  <c:v>12.804137891706</c:v>
                </c:pt>
                <c:pt idx="278">
                  <c:v>12.804134106951301</c:v>
                </c:pt>
                <c:pt idx="279">
                  <c:v>12.8041295151474</c:v>
                </c:pt>
                <c:pt idx="280">
                  <c:v>12.0755232856629</c:v>
                </c:pt>
                <c:pt idx="281">
                  <c:v>12.0754842492659</c:v>
                </c:pt>
                <c:pt idx="282">
                  <c:v>12.0754346475253</c:v>
                </c:pt>
                <c:pt idx="283">
                  <c:v>12.0753727634883</c:v>
                </c:pt>
                <c:pt idx="284">
                  <c:v>12.0752983822414</c:v>
                </c:pt>
                <c:pt idx="285">
                  <c:v>11.364275020570799</c:v>
                </c:pt>
                <c:pt idx="286">
                  <c:v>11.363689837124801</c:v>
                </c:pt>
                <c:pt idx="287">
                  <c:v>11.362990607305299</c:v>
                </c:pt>
                <c:pt idx="288">
                  <c:v>11.3621505174399</c:v>
                </c:pt>
                <c:pt idx="289">
                  <c:v>11.3611703894945</c:v>
                </c:pt>
                <c:pt idx="290">
                  <c:v>10.683286555194099</c:v>
                </c:pt>
                <c:pt idx="291">
                  <c:v>10.677064176469599</c:v>
                </c:pt>
                <c:pt idx="292">
                  <c:v>10.6704055401693</c:v>
                </c:pt>
                <c:pt idx="293">
                  <c:v>10.663112276835299</c:v>
                </c:pt>
                <c:pt idx="294">
                  <c:v>10.655266484818201</c:v>
                </c:pt>
                <c:pt idx="295">
                  <c:v>10.040163728727499</c:v>
                </c:pt>
                <c:pt idx="296">
                  <c:v>10.010862313862001</c:v>
                </c:pt>
                <c:pt idx="297">
                  <c:v>9.9866767753172496</c:v>
                </c:pt>
                <c:pt idx="298">
                  <c:v>9.96529954180847</c:v>
                </c:pt>
                <c:pt idx="299">
                  <c:v>9.9460039623838608</c:v>
                </c:pt>
                <c:pt idx="300">
                  <c:v>12.740538483724301</c:v>
                </c:pt>
                <c:pt idx="301">
                  <c:v>12.740536026848901</c:v>
                </c:pt>
                <c:pt idx="302">
                  <c:v>12.7405327610297</c:v>
                </c:pt>
                <c:pt idx="303">
                  <c:v>12.740528615464401</c:v>
                </c:pt>
                <c:pt idx="304">
                  <c:v>12.740523590887101</c:v>
                </c:pt>
                <c:pt idx="305">
                  <c:v>12.0212168252186</c:v>
                </c:pt>
                <c:pt idx="306">
                  <c:v>12.021175009816099</c:v>
                </c:pt>
                <c:pt idx="307">
                  <c:v>12.021121733362101</c:v>
                </c:pt>
                <c:pt idx="308">
                  <c:v>12.0210552054105</c:v>
                </c:pt>
                <c:pt idx="309">
                  <c:v>12.0209752004127</c:v>
                </c:pt>
                <c:pt idx="310">
                  <c:v>11.321889895455101</c:v>
                </c:pt>
                <c:pt idx="311">
                  <c:v>11.321256647392</c:v>
                </c:pt>
                <c:pt idx="312">
                  <c:v>11.3205108627097</c:v>
                </c:pt>
                <c:pt idx="313">
                  <c:v>11.3196171434112</c:v>
                </c:pt>
                <c:pt idx="314">
                  <c:v>11.3185748269815</c:v>
                </c:pt>
                <c:pt idx="315">
                  <c:v>10.6550020274791</c:v>
                </c:pt>
                <c:pt idx="316">
                  <c:v>10.648140233473701</c:v>
                </c:pt>
                <c:pt idx="317">
                  <c:v>10.640984689444201</c:v>
                </c:pt>
                <c:pt idx="318">
                  <c:v>10.6332126635095</c:v>
                </c:pt>
                <c:pt idx="319">
                  <c:v>10.624874168694401</c:v>
                </c:pt>
                <c:pt idx="320">
                  <c:v>10.028268082076901</c:v>
                </c:pt>
                <c:pt idx="321">
                  <c:v>9.9967157891344893</c:v>
                </c:pt>
                <c:pt idx="322">
                  <c:v>9.9706183300528597</c:v>
                </c:pt>
                <c:pt idx="323">
                  <c:v>9.9474756182750106</c:v>
                </c:pt>
                <c:pt idx="324">
                  <c:v>9.92649159072133</c:v>
                </c:pt>
                <c:pt idx="325">
                  <c:v>12.758372121777301</c:v>
                </c:pt>
                <c:pt idx="326">
                  <c:v>12.7583697228504</c:v>
                </c:pt>
                <c:pt idx="327">
                  <c:v>12.7583665330468</c:v>
                </c:pt>
                <c:pt idx="328">
                  <c:v>12.7583625019798</c:v>
                </c:pt>
                <c:pt idx="329">
                  <c:v>12.758357583649699</c:v>
                </c:pt>
                <c:pt idx="330">
                  <c:v>12.036384169512401</c:v>
                </c:pt>
                <c:pt idx="331">
                  <c:v>12.0363430975607</c:v>
                </c:pt>
                <c:pt idx="332">
                  <c:v>12.0362908373731</c:v>
                </c:pt>
                <c:pt idx="333">
                  <c:v>12.036225600331599</c:v>
                </c:pt>
                <c:pt idx="334">
                  <c:v>12.036147159981599</c:v>
                </c:pt>
                <c:pt idx="335">
                  <c:v>11.333695115689</c:v>
                </c:pt>
                <c:pt idx="336">
                  <c:v>11.333073397410599</c:v>
                </c:pt>
                <c:pt idx="337">
                  <c:v>11.332339919773201</c:v>
                </c:pt>
                <c:pt idx="338">
                  <c:v>11.3314608443597</c:v>
                </c:pt>
                <c:pt idx="339">
                  <c:v>11.3304356603717</c:v>
                </c:pt>
                <c:pt idx="340">
                  <c:v>10.662899100651799</c:v>
                </c:pt>
                <c:pt idx="341">
                  <c:v>10.656200619063799</c:v>
                </c:pt>
                <c:pt idx="342">
                  <c:v>10.6491750768957</c:v>
                </c:pt>
                <c:pt idx="343">
                  <c:v>10.6415309949091</c:v>
                </c:pt>
                <c:pt idx="344">
                  <c:v>10.633325856750201</c:v>
                </c:pt>
                <c:pt idx="345">
                  <c:v>10.0316263067511</c:v>
                </c:pt>
                <c:pt idx="346">
                  <c:v>10.000697087478899</c:v>
                </c:pt>
                <c:pt idx="347">
                  <c:v>9.9751264203907599</c:v>
                </c:pt>
                <c:pt idx="348">
                  <c:v>9.9524686157943201</c:v>
                </c:pt>
                <c:pt idx="349">
                  <c:v>9.9319470784167105</c:v>
                </c:pt>
                <c:pt idx="350">
                  <c:v>12.771269546131901</c:v>
                </c:pt>
                <c:pt idx="351">
                  <c:v>12.771267190908301</c:v>
                </c:pt>
                <c:pt idx="352">
                  <c:v>12.7712640651414</c:v>
                </c:pt>
                <c:pt idx="353">
                  <c:v>12.771260092060601</c:v>
                </c:pt>
                <c:pt idx="354">
                  <c:v>12.7712552666513</c:v>
                </c:pt>
                <c:pt idx="355">
                  <c:v>12.047380264088901</c:v>
                </c:pt>
                <c:pt idx="356">
                  <c:v>12.0473397414539</c:v>
                </c:pt>
                <c:pt idx="357">
                  <c:v>12.047288228342399</c:v>
                </c:pt>
                <c:pt idx="358">
                  <c:v>12.0472239271138</c:v>
                </c:pt>
                <c:pt idx="359">
                  <c:v>12.047146622943901</c:v>
                </c:pt>
                <c:pt idx="360">
                  <c:v>11.3422688825558</c:v>
                </c:pt>
                <c:pt idx="361">
                  <c:v>11.341656206735999</c:v>
                </c:pt>
                <c:pt idx="362">
                  <c:v>11.3409318862034</c:v>
                </c:pt>
                <c:pt idx="363">
                  <c:v>11.3400635430951</c:v>
                </c:pt>
                <c:pt idx="364">
                  <c:v>11.3390508746135</c:v>
                </c:pt>
                <c:pt idx="365">
                  <c:v>10.668627054689599</c:v>
                </c:pt>
                <c:pt idx="366">
                  <c:v>10.6620537205966</c:v>
                </c:pt>
                <c:pt idx="367">
                  <c:v>10.655126188855601</c:v>
                </c:pt>
                <c:pt idx="368">
                  <c:v>10.647577278979201</c:v>
                </c:pt>
                <c:pt idx="369">
                  <c:v>10.639470607702901</c:v>
                </c:pt>
                <c:pt idx="370">
                  <c:v>10.0340446611386</c:v>
                </c:pt>
                <c:pt idx="371">
                  <c:v>10.0035700860216</c:v>
                </c:pt>
                <c:pt idx="372">
                  <c:v>9.9783849638159499</c:v>
                </c:pt>
                <c:pt idx="373">
                  <c:v>9.9560827297664805</c:v>
                </c:pt>
                <c:pt idx="374">
                  <c:v>9.9359009251468695</c:v>
                </c:pt>
                <c:pt idx="375">
                  <c:v>12.781034064027599</c:v>
                </c:pt>
                <c:pt idx="376">
                  <c:v>12.7810317431365</c:v>
                </c:pt>
                <c:pt idx="377">
                  <c:v>12.781028659553099</c:v>
                </c:pt>
                <c:pt idx="378">
                  <c:v>12.781024751014799</c:v>
                </c:pt>
                <c:pt idx="379">
                  <c:v>12.781019989894199</c:v>
                </c:pt>
                <c:pt idx="380">
                  <c:v>12.055721506605</c:v>
                </c:pt>
                <c:pt idx="381">
                  <c:v>12.0556814120038</c:v>
                </c:pt>
                <c:pt idx="382">
                  <c:v>12.055630452930799</c:v>
                </c:pt>
                <c:pt idx="383">
                  <c:v>12.055566864572899</c:v>
                </c:pt>
                <c:pt idx="384">
                  <c:v>12.055490426997199</c:v>
                </c:pt>
                <c:pt idx="385">
                  <c:v>11.348781554140199</c:v>
                </c:pt>
                <c:pt idx="386">
                  <c:v>11.3481762127432</c:v>
                </c:pt>
                <c:pt idx="387">
                  <c:v>11.3474590616292</c:v>
                </c:pt>
                <c:pt idx="388">
                  <c:v>11.346598937247601</c:v>
                </c:pt>
                <c:pt idx="389">
                  <c:v>11.345595827629101</c:v>
                </c:pt>
                <c:pt idx="390">
                  <c:v>10.672972718269399</c:v>
                </c:pt>
                <c:pt idx="391">
                  <c:v>10.6664985403823</c:v>
                </c:pt>
                <c:pt idx="392">
                  <c:v>10.6596477657235</c:v>
                </c:pt>
                <c:pt idx="393">
                  <c:v>10.652172649745401</c:v>
                </c:pt>
                <c:pt idx="394">
                  <c:v>10.644141824258099</c:v>
                </c:pt>
                <c:pt idx="395">
                  <c:v>10.0358693164429</c:v>
                </c:pt>
                <c:pt idx="396">
                  <c:v>10.0057411164161</c:v>
                </c:pt>
                <c:pt idx="397">
                  <c:v>9.9808503800185697</c:v>
                </c:pt>
                <c:pt idx="398">
                  <c:v>9.9588201088907393</c:v>
                </c:pt>
                <c:pt idx="399">
                  <c:v>9.9388984907845401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B4-D44D-83B7-E149116A0FE3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'E-Stat1'!$B$26:$B$425</c:f>
              <c:numCache>
                <c:formatCode>General</c:formatCode>
                <c:ptCount val="400"/>
                <c:pt idx="0">
                  <c:v>12.80266772390431</c:v>
                </c:pt>
                <c:pt idx="1">
                  <c:v>12.796453769657354</c:v>
                </c:pt>
                <c:pt idx="2">
                  <c:v>12.7902398154104</c:v>
                </c:pt>
                <c:pt idx="3">
                  <c:v>12.784025861163444</c:v>
                </c:pt>
                <c:pt idx="4">
                  <c:v>12.777811906916488</c:v>
                </c:pt>
                <c:pt idx="5">
                  <c:v>12.098699830294372</c:v>
                </c:pt>
                <c:pt idx="6">
                  <c:v>12.092485876047416</c:v>
                </c:pt>
                <c:pt idx="7">
                  <c:v>12.086271921800462</c:v>
                </c:pt>
                <c:pt idx="8">
                  <c:v>12.080057967553506</c:v>
                </c:pt>
                <c:pt idx="9">
                  <c:v>12.07384401330655</c:v>
                </c:pt>
                <c:pt idx="10">
                  <c:v>11.394731936684433</c:v>
                </c:pt>
                <c:pt idx="11">
                  <c:v>11.388517982437477</c:v>
                </c:pt>
                <c:pt idx="12">
                  <c:v>11.382304028190523</c:v>
                </c:pt>
                <c:pt idx="13">
                  <c:v>11.376090073943567</c:v>
                </c:pt>
                <c:pt idx="14">
                  <c:v>11.369876119696611</c:v>
                </c:pt>
                <c:pt idx="15">
                  <c:v>10.690764043074495</c:v>
                </c:pt>
                <c:pt idx="16">
                  <c:v>10.684550088827539</c:v>
                </c:pt>
                <c:pt idx="17">
                  <c:v>10.678336134580585</c:v>
                </c:pt>
                <c:pt idx="18">
                  <c:v>10.672122180333629</c:v>
                </c:pt>
                <c:pt idx="19">
                  <c:v>10.665908226086673</c:v>
                </c:pt>
                <c:pt idx="20">
                  <c:v>9.9867961494645563</c:v>
                </c:pt>
                <c:pt idx="21">
                  <c:v>9.9805821952176004</c:v>
                </c:pt>
                <c:pt idx="22">
                  <c:v>9.9743682409706462</c:v>
                </c:pt>
                <c:pt idx="23">
                  <c:v>9.9681542867236903</c:v>
                </c:pt>
                <c:pt idx="24">
                  <c:v>9.9619403324767344</c:v>
                </c:pt>
                <c:pt idx="25">
                  <c:v>12.80266772390431</c:v>
                </c:pt>
                <c:pt idx="26">
                  <c:v>12.796453769657354</c:v>
                </c:pt>
                <c:pt idx="27">
                  <c:v>12.7902398154104</c:v>
                </c:pt>
                <c:pt idx="28">
                  <c:v>12.784025861163444</c:v>
                </c:pt>
                <c:pt idx="29">
                  <c:v>12.777811906916488</c:v>
                </c:pt>
                <c:pt idx="30">
                  <c:v>12.098699830294372</c:v>
                </c:pt>
                <c:pt idx="31">
                  <c:v>12.092485876047416</c:v>
                </c:pt>
                <c:pt idx="32">
                  <c:v>12.086271921800462</c:v>
                </c:pt>
                <c:pt idx="33">
                  <c:v>12.080057967553506</c:v>
                </c:pt>
                <c:pt idx="34">
                  <c:v>12.07384401330655</c:v>
                </c:pt>
                <c:pt idx="35">
                  <c:v>11.394731936684433</c:v>
                </c:pt>
                <c:pt idx="36">
                  <c:v>11.388517982437477</c:v>
                </c:pt>
                <c:pt idx="37">
                  <c:v>11.382304028190523</c:v>
                </c:pt>
                <c:pt idx="38">
                  <c:v>11.376090073943567</c:v>
                </c:pt>
                <c:pt idx="39">
                  <c:v>11.369876119696611</c:v>
                </c:pt>
                <c:pt idx="40">
                  <c:v>10.690764043074495</c:v>
                </c:pt>
                <c:pt idx="41">
                  <c:v>10.684550088827539</c:v>
                </c:pt>
                <c:pt idx="42">
                  <c:v>10.678336134580585</c:v>
                </c:pt>
                <c:pt idx="43">
                  <c:v>10.672122180333629</c:v>
                </c:pt>
                <c:pt idx="44">
                  <c:v>10.665908226086673</c:v>
                </c:pt>
                <c:pt idx="45">
                  <c:v>9.9867961494645563</c:v>
                </c:pt>
                <c:pt idx="46">
                  <c:v>9.9805821952176004</c:v>
                </c:pt>
                <c:pt idx="47">
                  <c:v>9.9743682409706462</c:v>
                </c:pt>
                <c:pt idx="48">
                  <c:v>9.9681542867236903</c:v>
                </c:pt>
                <c:pt idx="49">
                  <c:v>9.9619403324767344</c:v>
                </c:pt>
                <c:pt idx="50">
                  <c:v>12.80266772390431</c:v>
                </c:pt>
                <c:pt idx="51">
                  <c:v>12.796453769657354</c:v>
                </c:pt>
                <c:pt idx="52">
                  <c:v>12.7902398154104</c:v>
                </c:pt>
                <c:pt idx="53">
                  <c:v>12.784025861163444</c:v>
                </c:pt>
                <c:pt idx="54">
                  <c:v>12.777811906916488</c:v>
                </c:pt>
                <c:pt idx="55">
                  <c:v>12.098699830294372</c:v>
                </c:pt>
                <c:pt idx="56">
                  <c:v>12.092485876047416</c:v>
                </c:pt>
                <c:pt idx="57">
                  <c:v>12.086271921800462</c:v>
                </c:pt>
                <c:pt idx="58">
                  <c:v>12.080057967553506</c:v>
                </c:pt>
                <c:pt idx="59">
                  <c:v>12.07384401330655</c:v>
                </c:pt>
                <c:pt idx="60">
                  <c:v>11.394731936684433</c:v>
                </c:pt>
                <c:pt idx="61">
                  <c:v>11.388517982437477</c:v>
                </c:pt>
                <c:pt idx="62">
                  <c:v>11.382304028190523</c:v>
                </c:pt>
                <c:pt idx="63">
                  <c:v>11.376090073943567</c:v>
                </c:pt>
                <c:pt idx="64">
                  <c:v>11.369876119696611</c:v>
                </c:pt>
                <c:pt idx="65">
                  <c:v>10.690764043074495</c:v>
                </c:pt>
                <c:pt idx="66">
                  <c:v>10.684550088827539</c:v>
                </c:pt>
                <c:pt idx="67">
                  <c:v>10.678336134580585</c:v>
                </c:pt>
                <c:pt idx="68">
                  <c:v>10.672122180333629</c:v>
                </c:pt>
                <c:pt idx="69">
                  <c:v>10.665908226086673</c:v>
                </c:pt>
                <c:pt idx="70">
                  <c:v>9.9867961494645563</c:v>
                </c:pt>
                <c:pt idx="71">
                  <c:v>9.9805821952176004</c:v>
                </c:pt>
                <c:pt idx="72">
                  <c:v>9.9743682409706462</c:v>
                </c:pt>
                <c:pt idx="73">
                  <c:v>9.9681542867236903</c:v>
                </c:pt>
                <c:pt idx="74">
                  <c:v>9.9619403324767344</c:v>
                </c:pt>
                <c:pt idx="75">
                  <c:v>12.80266772390431</c:v>
                </c:pt>
                <c:pt idx="76">
                  <c:v>12.796453769657354</c:v>
                </c:pt>
                <c:pt idx="77">
                  <c:v>12.7902398154104</c:v>
                </c:pt>
                <c:pt idx="78">
                  <c:v>12.784025861163444</c:v>
                </c:pt>
                <c:pt idx="79">
                  <c:v>12.777811906916488</c:v>
                </c:pt>
                <c:pt idx="80">
                  <c:v>12.098699830294372</c:v>
                </c:pt>
                <c:pt idx="81">
                  <c:v>12.092485876047416</c:v>
                </c:pt>
                <c:pt idx="82">
                  <c:v>12.086271921800462</c:v>
                </c:pt>
                <c:pt idx="83">
                  <c:v>12.080057967553506</c:v>
                </c:pt>
                <c:pt idx="84">
                  <c:v>12.07384401330655</c:v>
                </c:pt>
                <c:pt idx="85">
                  <c:v>11.394731936684433</c:v>
                </c:pt>
                <c:pt idx="86">
                  <c:v>11.388517982437477</c:v>
                </c:pt>
                <c:pt idx="87">
                  <c:v>11.382304028190523</c:v>
                </c:pt>
                <c:pt idx="88">
                  <c:v>11.376090073943567</c:v>
                </c:pt>
                <c:pt idx="89">
                  <c:v>11.369876119696611</c:v>
                </c:pt>
                <c:pt idx="90">
                  <c:v>10.690764043074495</c:v>
                </c:pt>
                <c:pt idx="91">
                  <c:v>10.684550088827539</c:v>
                </c:pt>
                <c:pt idx="92">
                  <c:v>10.678336134580585</c:v>
                </c:pt>
                <c:pt idx="93">
                  <c:v>10.672122180333629</c:v>
                </c:pt>
                <c:pt idx="94">
                  <c:v>10.665908226086673</c:v>
                </c:pt>
                <c:pt idx="95">
                  <c:v>9.9867961494645563</c:v>
                </c:pt>
                <c:pt idx="96">
                  <c:v>9.9805821952176004</c:v>
                </c:pt>
                <c:pt idx="97">
                  <c:v>9.9743682409706462</c:v>
                </c:pt>
                <c:pt idx="98">
                  <c:v>9.9681542867236903</c:v>
                </c:pt>
                <c:pt idx="99">
                  <c:v>9.9619403324767344</c:v>
                </c:pt>
                <c:pt idx="100">
                  <c:v>12.80266772390431</c:v>
                </c:pt>
                <c:pt idx="101">
                  <c:v>12.796453769657354</c:v>
                </c:pt>
                <c:pt idx="102">
                  <c:v>12.7902398154104</c:v>
                </c:pt>
                <c:pt idx="103">
                  <c:v>12.784025861163444</c:v>
                </c:pt>
                <c:pt idx="104">
                  <c:v>12.777811906916488</c:v>
                </c:pt>
                <c:pt idx="105">
                  <c:v>12.098699830294372</c:v>
                </c:pt>
                <c:pt idx="106">
                  <c:v>12.092485876047416</c:v>
                </c:pt>
                <c:pt idx="107">
                  <c:v>12.086271921800462</c:v>
                </c:pt>
                <c:pt idx="108">
                  <c:v>12.080057967553506</c:v>
                </c:pt>
                <c:pt idx="109">
                  <c:v>12.07384401330655</c:v>
                </c:pt>
                <c:pt idx="110">
                  <c:v>11.394731936684433</c:v>
                </c:pt>
                <c:pt idx="111">
                  <c:v>11.388517982437477</c:v>
                </c:pt>
                <c:pt idx="112">
                  <c:v>11.382304028190523</c:v>
                </c:pt>
                <c:pt idx="113">
                  <c:v>11.376090073943567</c:v>
                </c:pt>
                <c:pt idx="114">
                  <c:v>11.369876119696611</c:v>
                </c:pt>
                <c:pt idx="115">
                  <c:v>10.690764043074495</c:v>
                </c:pt>
                <c:pt idx="116">
                  <c:v>10.684550088827539</c:v>
                </c:pt>
                <c:pt idx="117">
                  <c:v>10.678336134580585</c:v>
                </c:pt>
                <c:pt idx="118">
                  <c:v>10.672122180333629</c:v>
                </c:pt>
                <c:pt idx="119">
                  <c:v>10.665908226086673</c:v>
                </c:pt>
                <c:pt idx="120">
                  <c:v>9.9867961494645563</c:v>
                </c:pt>
                <c:pt idx="121">
                  <c:v>9.9805821952176004</c:v>
                </c:pt>
                <c:pt idx="122">
                  <c:v>9.9743682409706462</c:v>
                </c:pt>
                <c:pt idx="123">
                  <c:v>9.9681542867236903</c:v>
                </c:pt>
                <c:pt idx="124">
                  <c:v>9.9619403324767344</c:v>
                </c:pt>
                <c:pt idx="125">
                  <c:v>12.80266772390431</c:v>
                </c:pt>
                <c:pt idx="126">
                  <c:v>12.796453769657354</c:v>
                </c:pt>
                <c:pt idx="127">
                  <c:v>12.7902398154104</c:v>
                </c:pt>
                <c:pt idx="128">
                  <c:v>12.784025861163444</c:v>
                </c:pt>
                <c:pt idx="129">
                  <c:v>12.777811906916488</c:v>
                </c:pt>
                <c:pt idx="130">
                  <c:v>12.098699830294372</c:v>
                </c:pt>
                <c:pt idx="131">
                  <c:v>12.092485876047416</c:v>
                </c:pt>
                <c:pt idx="132">
                  <c:v>12.086271921800462</c:v>
                </c:pt>
                <c:pt idx="133">
                  <c:v>12.080057967553506</c:v>
                </c:pt>
                <c:pt idx="134">
                  <c:v>12.07384401330655</c:v>
                </c:pt>
                <c:pt idx="135">
                  <c:v>11.394731936684433</c:v>
                </c:pt>
                <c:pt idx="136">
                  <c:v>11.388517982437477</c:v>
                </c:pt>
                <c:pt idx="137">
                  <c:v>11.382304028190523</c:v>
                </c:pt>
                <c:pt idx="138">
                  <c:v>11.376090073943567</c:v>
                </c:pt>
                <c:pt idx="139">
                  <c:v>11.369876119696611</c:v>
                </c:pt>
                <c:pt idx="140">
                  <c:v>10.690764043074495</c:v>
                </c:pt>
                <c:pt idx="141">
                  <c:v>10.684550088827539</c:v>
                </c:pt>
                <c:pt idx="142">
                  <c:v>10.678336134580585</c:v>
                </c:pt>
                <c:pt idx="143">
                  <c:v>10.672122180333629</c:v>
                </c:pt>
                <c:pt idx="144">
                  <c:v>10.665908226086673</c:v>
                </c:pt>
                <c:pt idx="145">
                  <c:v>9.9867961494645563</c:v>
                </c:pt>
                <c:pt idx="146">
                  <c:v>9.9805821952176004</c:v>
                </c:pt>
                <c:pt idx="147">
                  <c:v>9.9743682409706462</c:v>
                </c:pt>
                <c:pt idx="148">
                  <c:v>9.9681542867236903</c:v>
                </c:pt>
                <c:pt idx="149">
                  <c:v>9.9619403324767344</c:v>
                </c:pt>
                <c:pt idx="150">
                  <c:v>12.80266772390431</c:v>
                </c:pt>
                <c:pt idx="151">
                  <c:v>12.796453769657354</c:v>
                </c:pt>
                <c:pt idx="152">
                  <c:v>12.7902398154104</c:v>
                </c:pt>
                <c:pt idx="153">
                  <c:v>12.784025861163444</c:v>
                </c:pt>
                <c:pt idx="154">
                  <c:v>12.777811906916488</c:v>
                </c:pt>
                <c:pt idx="155">
                  <c:v>12.098699830294372</c:v>
                </c:pt>
                <c:pt idx="156">
                  <c:v>12.092485876047416</c:v>
                </c:pt>
                <c:pt idx="157">
                  <c:v>12.086271921800462</c:v>
                </c:pt>
                <c:pt idx="158">
                  <c:v>12.080057967553506</c:v>
                </c:pt>
                <c:pt idx="159">
                  <c:v>12.07384401330655</c:v>
                </c:pt>
                <c:pt idx="160">
                  <c:v>11.394731936684433</c:v>
                </c:pt>
                <c:pt idx="161">
                  <c:v>11.388517982437477</c:v>
                </c:pt>
                <c:pt idx="162">
                  <c:v>11.382304028190523</c:v>
                </c:pt>
                <c:pt idx="163">
                  <c:v>11.376090073943567</c:v>
                </c:pt>
                <c:pt idx="164">
                  <c:v>11.369876119696611</c:v>
                </c:pt>
                <c:pt idx="165">
                  <c:v>10.690764043074495</c:v>
                </c:pt>
                <c:pt idx="166">
                  <c:v>10.684550088827539</c:v>
                </c:pt>
                <c:pt idx="167">
                  <c:v>10.678336134580585</c:v>
                </c:pt>
                <c:pt idx="168">
                  <c:v>10.672122180333629</c:v>
                </c:pt>
                <c:pt idx="169">
                  <c:v>10.665908226086673</c:v>
                </c:pt>
                <c:pt idx="170">
                  <c:v>9.9867961494645563</c:v>
                </c:pt>
                <c:pt idx="171">
                  <c:v>9.9805821952176004</c:v>
                </c:pt>
                <c:pt idx="172">
                  <c:v>9.9743682409706462</c:v>
                </c:pt>
                <c:pt idx="173">
                  <c:v>9.9681542867236903</c:v>
                </c:pt>
                <c:pt idx="174">
                  <c:v>9.9619403324767344</c:v>
                </c:pt>
                <c:pt idx="175">
                  <c:v>12.80266772390431</c:v>
                </c:pt>
                <c:pt idx="176">
                  <c:v>12.796453769657354</c:v>
                </c:pt>
                <c:pt idx="177">
                  <c:v>12.7902398154104</c:v>
                </c:pt>
                <c:pt idx="178">
                  <c:v>12.784025861163444</c:v>
                </c:pt>
                <c:pt idx="179">
                  <c:v>12.777811906916488</c:v>
                </c:pt>
                <c:pt idx="180">
                  <c:v>12.098699830294372</c:v>
                </c:pt>
                <c:pt idx="181">
                  <c:v>12.092485876047416</c:v>
                </c:pt>
                <c:pt idx="182">
                  <c:v>12.086271921800462</c:v>
                </c:pt>
                <c:pt idx="183">
                  <c:v>12.080057967553506</c:v>
                </c:pt>
                <c:pt idx="184">
                  <c:v>12.07384401330655</c:v>
                </c:pt>
                <c:pt idx="185">
                  <c:v>11.394731936684433</c:v>
                </c:pt>
                <c:pt idx="186">
                  <c:v>11.388517982437477</c:v>
                </c:pt>
                <c:pt idx="187">
                  <c:v>11.382304028190523</c:v>
                </c:pt>
                <c:pt idx="188">
                  <c:v>11.376090073943567</c:v>
                </c:pt>
                <c:pt idx="189">
                  <c:v>11.369876119696611</c:v>
                </c:pt>
                <c:pt idx="190">
                  <c:v>10.690764043074495</c:v>
                </c:pt>
                <c:pt idx="191">
                  <c:v>10.684550088827539</c:v>
                </c:pt>
                <c:pt idx="192">
                  <c:v>10.678336134580585</c:v>
                </c:pt>
                <c:pt idx="193">
                  <c:v>10.672122180333629</c:v>
                </c:pt>
                <c:pt idx="194">
                  <c:v>10.665908226086673</c:v>
                </c:pt>
                <c:pt idx="195">
                  <c:v>9.9867961494645563</c:v>
                </c:pt>
                <c:pt idx="196">
                  <c:v>9.9805821952176004</c:v>
                </c:pt>
                <c:pt idx="197">
                  <c:v>9.9743682409706462</c:v>
                </c:pt>
                <c:pt idx="198">
                  <c:v>9.9681542867236903</c:v>
                </c:pt>
                <c:pt idx="199">
                  <c:v>9.9619403324767344</c:v>
                </c:pt>
                <c:pt idx="200">
                  <c:v>12.80266772390431</c:v>
                </c:pt>
                <c:pt idx="201">
                  <c:v>12.796453769657354</c:v>
                </c:pt>
                <c:pt idx="202">
                  <c:v>12.7902398154104</c:v>
                </c:pt>
                <c:pt idx="203">
                  <c:v>12.784025861163444</c:v>
                </c:pt>
                <c:pt idx="204">
                  <c:v>12.777811906916488</c:v>
                </c:pt>
                <c:pt idx="205">
                  <c:v>12.098699830294372</c:v>
                </c:pt>
                <c:pt idx="206">
                  <c:v>12.092485876047416</c:v>
                </c:pt>
                <c:pt idx="207">
                  <c:v>12.086271921800462</c:v>
                </c:pt>
                <c:pt idx="208">
                  <c:v>12.080057967553506</c:v>
                </c:pt>
                <c:pt idx="209">
                  <c:v>12.07384401330655</c:v>
                </c:pt>
                <c:pt idx="210">
                  <c:v>11.394731936684433</c:v>
                </c:pt>
                <c:pt idx="211">
                  <c:v>11.388517982437477</c:v>
                </c:pt>
                <c:pt idx="212">
                  <c:v>11.382304028190523</c:v>
                </c:pt>
                <c:pt idx="213">
                  <c:v>11.376090073943567</c:v>
                </c:pt>
                <c:pt idx="214">
                  <c:v>11.369876119696611</c:v>
                </c:pt>
                <c:pt idx="215">
                  <c:v>10.690764043074495</c:v>
                </c:pt>
                <c:pt idx="216">
                  <c:v>10.684550088827539</c:v>
                </c:pt>
                <c:pt idx="217">
                  <c:v>10.678336134580585</c:v>
                </c:pt>
                <c:pt idx="218">
                  <c:v>10.672122180333629</c:v>
                </c:pt>
                <c:pt idx="219">
                  <c:v>10.665908226086673</c:v>
                </c:pt>
                <c:pt idx="220">
                  <c:v>9.9867961494645563</c:v>
                </c:pt>
                <c:pt idx="221">
                  <c:v>9.9805821952176004</c:v>
                </c:pt>
                <c:pt idx="222">
                  <c:v>9.9743682409706462</c:v>
                </c:pt>
                <c:pt idx="223">
                  <c:v>9.9681542867236903</c:v>
                </c:pt>
                <c:pt idx="224">
                  <c:v>9.9619403324767344</c:v>
                </c:pt>
                <c:pt idx="225">
                  <c:v>12.80266772390431</c:v>
                </c:pt>
                <c:pt idx="226">
                  <c:v>12.796453769657354</c:v>
                </c:pt>
                <c:pt idx="227">
                  <c:v>12.7902398154104</c:v>
                </c:pt>
                <c:pt idx="228">
                  <c:v>12.784025861163444</c:v>
                </c:pt>
                <c:pt idx="229">
                  <c:v>12.777811906916488</c:v>
                </c:pt>
                <c:pt idx="230">
                  <c:v>12.098699830294372</c:v>
                </c:pt>
                <c:pt idx="231">
                  <c:v>12.092485876047416</c:v>
                </c:pt>
                <c:pt idx="232">
                  <c:v>12.086271921800462</c:v>
                </c:pt>
                <c:pt idx="233">
                  <c:v>12.080057967553506</c:v>
                </c:pt>
                <c:pt idx="234">
                  <c:v>12.07384401330655</c:v>
                </c:pt>
                <c:pt idx="235">
                  <c:v>11.394731936684433</c:v>
                </c:pt>
                <c:pt idx="236">
                  <c:v>11.388517982437477</c:v>
                </c:pt>
                <c:pt idx="237">
                  <c:v>11.382304028190523</c:v>
                </c:pt>
                <c:pt idx="238">
                  <c:v>11.376090073943567</c:v>
                </c:pt>
                <c:pt idx="239">
                  <c:v>11.369876119696611</c:v>
                </c:pt>
                <c:pt idx="240">
                  <c:v>10.690764043074495</c:v>
                </c:pt>
                <c:pt idx="241">
                  <c:v>10.684550088827539</c:v>
                </c:pt>
                <c:pt idx="242">
                  <c:v>10.678336134580585</c:v>
                </c:pt>
                <c:pt idx="243">
                  <c:v>10.672122180333629</c:v>
                </c:pt>
                <c:pt idx="244">
                  <c:v>10.665908226086673</c:v>
                </c:pt>
                <c:pt idx="245">
                  <c:v>9.9867961494645563</c:v>
                </c:pt>
                <c:pt idx="246">
                  <c:v>9.9805821952176004</c:v>
                </c:pt>
                <c:pt idx="247">
                  <c:v>9.9743682409706462</c:v>
                </c:pt>
                <c:pt idx="248">
                  <c:v>9.9681542867236903</c:v>
                </c:pt>
                <c:pt idx="249">
                  <c:v>9.9619403324767344</c:v>
                </c:pt>
                <c:pt idx="250">
                  <c:v>12.80266772390431</c:v>
                </c:pt>
                <c:pt idx="251">
                  <c:v>12.796453769657354</c:v>
                </c:pt>
                <c:pt idx="252">
                  <c:v>12.7902398154104</c:v>
                </c:pt>
                <c:pt idx="253">
                  <c:v>12.784025861163444</c:v>
                </c:pt>
                <c:pt idx="254">
                  <c:v>12.777811906916488</c:v>
                </c:pt>
                <c:pt idx="255">
                  <c:v>12.098699830294372</c:v>
                </c:pt>
                <c:pt idx="256">
                  <c:v>12.092485876047416</c:v>
                </c:pt>
                <c:pt idx="257">
                  <c:v>12.086271921800462</c:v>
                </c:pt>
                <c:pt idx="258">
                  <c:v>12.080057967553506</c:v>
                </c:pt>
                <c:pt idx="259">
                  <c:v>12.07384401330655</c:v>
                </c:pt>
                <c:pt idx="260">
                  <c:v>11.394731936684433</c:v>
                </c:pt>
                <c:pt idx="261">
                  <c:v>11.388517982437477</c:v>
                </c:pt>
                <c:pt idx="262">
                  <c:v>11.382304028190523</c:v>
                </c:pt>
                <c:pt idx="263">
                  <c:v>11.376090073943567</c:v>
                </c:pt>
                <c:pt idx="264">
                  <c:v>11.369876119696611</c:v>
                </c:pt>
                <c:pt idx="265">
                  <c:v>10.690764043074495</c:v>
                </c:pt>
                <c:pt idx="266">
                  <c:v>10.684550088827539</c:v>
                </c:pt>
                <c:pt idx="267">
                  <c:v>10.678336134580585</c:v>
                </c:pt>
                <c:pt idx="268">
                  <c:v>10.672122180333629</c:v>
                </c:pt>
                <c:pt idx="269">
                  <c:v>10.665908226086673</c:v>
                </c:pt>
                <c:pt idx="270">
                  <c:v>9.9867961494645563</c:v>
                </c:pt>
                <c:pt idx="271">
                  <c:v>9.9805821952176004</c:v>
                </c:pt>
                <c:pt idx="272">
                  <c:v>9.9743682409706462</c:v>
                </c:pt>
                <c:pt idx="273">
                  <c:v>9.9681542867236903</c:v>
                </c:pt>
                <c:pt idx="274">
                  <c:v>9.9619403324767344</c:v>
                </c:pt>
                <c:pt idx="275">
                  <c:v>12.80266772390431</c:v>
                </c:pt>
                <c:pt idx="276">
                  <c:v>12.796453769657354</c:v>
                </c:pt>
                <c:pt idx="277">
                  <c:v>12.7902398154104</c:v>
                </c:pt>
                <c:pt idx="278">
                  <c:v>12.784025861163444</c:v>
                </c:pt>
                <c:pt idx="279">
                  <c:v>12.777811906916488</c:v>
                </c:pt>
                <c:pt idx="280">
                  <c:v>12.098699830294372</c:v>
                </c:pt>
                <c:pt idx="281">
                  <c:v>12.092485876047416</c:v>
                </c:pt>
                <c:pt idx="282">
                  <c:v>12.086271921800462</c:v>
                </c:pt>
                <c:pt idx="283">
                  <c:v>12.080057967553506</c:v>
                </c:pt>
                <c:pt idx="284">
                  <c:v>12.07384401330655</c:v>
                </c:pt>
                <c:pt idx="285">
                  <c:v>11.394731936684433</c:v>
                </c:pt>
                <c:pt idx="286">
                  <c:v>11.388517982437477</c:v>
                </c:pt>
                <c:pt idx="287">
                  <c:v>11.382304028190523</c:v>
                </c:pt>
                <c:pt idx="288">
                  <c:v>11.376090073943567</c:v>
                </c:pt>
                <c:pt idx="289">
                  <c:v>11.369876119696611</c:v>
                </c:pt>
                <c:pt idx="290">
                  <c:v>10.690764043074495</c:v>
                </c:pt>
                <c:pt idx="291">
                  <c:v>10.684550088827539</c:v>
                </c:pt>
                <c:pt idx="292">
                  <c:v>10.678336134580585</c:v>
                </c:pt>
                <c:pt idx="293">
                  <c:v>10.672122180333629</c:v>
                </c:pt>
                <c:pt idx="294">
                  <c:v>10.665908226086673</c:v>
                </c:pt>
                <c:pt idx="295">
                  <c:v>9.9867961494645563</c:v>
                </c:pt>
                <c:pt idx="296">
                  <c:v>9.9805821952176004</c:v>
                </c:pt>
                <c:pt idx="297">
                  <c:v>9.9743682409706462</c:v>
                </c:pt>
                <c:pt idx="298">
                  <c:v>9.9681542867236903</c:v>
                </c:pt>
                <c:pt idx="299">
                  <c:v>9.9619403324767344</c:v>
                </c:pt>
                <c:pt idx="300">
                  <c:v>12.80266772390431</c:v>
                </c:pt>
                <c:pt idx="301">
                  <c:v>12.796453769657354</c:v>
                </c:pt>
                <c:pt idx="302">
                  <c:v>12.7902398154104</c:v>
                </c:pt>
                <c:pt idx="303">
                  <c:v>12.784025861163444</c:v>
                </c:pt>
                <c:pt idx="304">
                  <c:v>12.777811906916488</c:v>
                </c:pt>
                <c:pt idx="305">
                  <c:v>12.098699830294372</c:v>
                </c:pt>
                <c:pt idx="306">
                  <c:v>12.092485876047416</c:v>
                </c:pt>
                <c:pt idx="307">
                  <c:v>12.086271921800462</c:v>
                </c:pt>
                <c:pt idx="308">
                  <c:v>12.080057967553506</c:v>
                </c:pt>
                <c:pt idx="309">
                  <c:v>12.07384401330655</c:v>
                </c:pt>
                <c:pt idx="310">
                  <c:v>11.394731936684433</c:v>
                </c:pt>
                <c:pt idx="311">
                  <c:v>11.388517982437477</c:v>
                </c:pt>
                <c:pt idx="312">
                  <c:v>11.382304028190523</c:v>
                </c:pt>
                <c:pt idx="313">
                  <c:v>11.376090073943567</c:v>
                </c:pt>
                <c:pt idx="314">
                  <c:v>11.369876119696611</c:v>
                </c:pt>
                <c:pt idx="315">
                  <c:v>10.690764043074495</c:v>
                </c:pt>
                <c:pt idx="316">
                  <c:v>10.684550088827539</c:v>
                </c:pt>
                <c:pt idx="317">
                  <c:v>10.678336134580585</c:v>
                </c:pt>
                <c:pt idx="318">
                  <c:v>10.672122180333629</c:v>
                </c:pt>
                <c:pt idx="319">
                  <c:v>10.665908226086673</c:v>
                </c:pt>
                <c:pt idx="320">
                  <c:v>9.9867961494645563</c:v>
                </c:pt>
                <c:pt idx="321">
                  <c:v>9.9805821952176004</c:v>
                </c:pt>
                <c:pt idx="322">
                  <c:v>9.9743682409706462</c:v>
                </c:pt>
                <c:pt idx="323">
                  <c:v>9.9681542867236903</c:v>
                </c:pt>
                <c:pt idx="324">
                  <c:v>9.9619403324767344</c:v>
                </c:pt>
                <c:pt idx="325">
                  <c:v>12.80266772390431</c:v>
                </c:pt>
                <c:pt idx="326">
                  <c:v>12.796453769657354</c:v>
                </c:pt>
                <c:pt idx="327">
                  <c:v>12.7902398154104</c:v>
                </c:pt>
                <c:pt idx="328">
                  <c:v>12.784025861163444</c:v>
                </c:pt>
                <c:pt idx="329">
                  <c:v>12.777811906916488</c:v>
                </c:pt>
                <c:pt idx="330">
                  <c:v>12.098699830294372</c:v>
                </c:pt>
                <c:pt idx="331">
                  <c:v>12.092485876047416</c:v>
                </c:pt>
                <c:pt idx="332">
                  <c:v>12.086271921800462</c:v>
                </c:pt>
                <c:pt idx="333">
                  <c:v>12.080057967553506</c:v>
                </c:pt>
                <c:pt idx="334">
                  <c:v>12.07384401330655</c:v>
                </c:pt>
                <c:pt idx="335">
                  <c:v>11.394731936684433</c:v>
                </c:pt>
                <c:pt idx="336">
                  <c:v>11.388517982437477</c:v>
                </c:pt>
                <c:pt idx="337">
                  <c:v>11.382304028190523</c:v>
                </c:pt>
                <c:pt idx="338">
                  <c:v>11.376090073943567</c:v>
                </c:pt>
                <c:pt idx="339">
                  <c:v>11.369876119696611</c:v>
                </c:pt>
                <c:pt idx="340">
                  <c:v>10.690764043074495</c:v>
                </c:pt>
                <c:pt idx="341">
                  <c:v>10.684550088827539</c:v>
                </c:pt>
                <c:pt idx="342">
                  <c:v>10.678336134580585</c:v>
                </c:pt>
                <c:pt idx="343">
                  <c:v>10.672122180333629</c:v>
                </c:pt>
                <c:pt idx="344">
                  <c:v>10.665908226086673</c:v>
                </c:pt>
                <c:pt idx="345">
                  <c:v>9.9867961494645563</c:v>
                </c:pt>
                <c:pt idx="346">
                  <c:v>9.9805821952176004</c:v>
                </c:pt>
                <c:pt idx="347">
                  <c:v>9.9743682409706462</c:v>
                </c:pt>
                <c:pt idx="348">
                  <c:v>9.9681542867236903</c:v>
                </c:pt>
                <c:pt idx="349">
                  <c:v>9.9619403324767344</c:v>
                </c:pt>
                <c:pt idx="350">
                  <c:v>12.80266772390431</c:v>
                </c:pt>
                <c:pt idx="351">
                  <c:v>12.796453769657354</c:v>
                </c:pt>
                <c:pt idx="352">
                  <c:v>12.7902398154104</c:v>
                </c:pt>
                <c:pt idx="353">
                  <c:v>12.784025861163444</c:v>
                </c:pt>
                <c:pt idx="354">
                  <c:v>12.777811906916488</c:v>
                </c:pt>
                <c:pt idx="355">
                  <c:v>12.098699830294372</c:v>
                </c:pt>
                <c:pt idx="356">
                  <c:v>12.092485876047416</c:v>
                </c:pt>
                <c:pt idx="357">
                  <c:v>12.086271921800462</c:v>
                </c:pt>
                <c:pt idx="358">
                  <c:v>12.080057967553506</c:v>
                </c:pt>
                <c:pt idx="359">
                  <c:v>12.07384401330655</c:v>
                </c:pt>
                <c:pt idx="360">
                  <c:v>11.394731936684433</c:v>
                </c:pt>
                <c:pt idx="361">
                  <c:v>11.388517982437477</c:v>
                </c:pt>
                <c:pt idx="362">
                  <c:v>11.382304028190523</c:v>
                </c:pt>
                <c:pt idx="363">
                  <c:v>11.376090073943567</c:v>
                </c:pt>
                <c:pt idx="364">
                  <c:v>11.369876119696611</c:v>
                </c:pt>
                <c:pt idx="365">
                  <c:v>10.690764043074495</c:v>
                </c:pt>
                <c:pt idx="366">
                  <c:v>10.684550088827539</c:v>
                </c:pt>
                <c:pt idx="367">
                  <c:v>10.678336134580585</c:v>
                </c:pt>
                <c:pt idx="368">
                  <c:v>10.672122180333629</c:v>
                </c:pt>
                <c:pt idx="369">
                  <c:v>10.665908226086673</c:v>
                </c:pt>
                <c:pt idx="370">
                  <c:v>9.9867961494645563</c:v>
                </c:pt>
                <c:pt idx="371">
                  <c:v>9.9805821952176004</c:v>
                </c:pt>
                <c:pt idx="372">
                  <c:v>9.9743682409706462</c:v>
                </c:pt>
                <c:pt idx="373">
                  <c:v>9.9681542867236903</c:v>
                </c:pt>
                <c:pt idx="374">
                  <c:v>9.9619403324767344</c:v>
                </c:pt>
                <c:pt idx="375">
                  <c:v>12.80266772390431</c:v>
                </c:pt>
                <c:pt idx="376">
                  <c:v>12.796453769657354</c:v>
                </c:pt>
                <c:pt idx="377">
                  <c:v>12.7902398154104</c:v>
                </c:pt>
                <c:pt idx="378">
                  <c:v>12.784025861163444</c:v>
                </c:pt>
                <c:pt idx="379">
                  <c:v>12.777811906916488</c:v>
                </c:pt>
                <c:pt idx="380">
                  <c:v>12.098699830294372</c:v>
                </c:pt>
                <c:pt idx="381">
                  <c:v>12.092485876047416</c:v>
                </c:pt>
                <c:pt idx="382">
                  <c:v>12.086271921800462</c:v>
                </c:pt>
                <c:pt idx="383">
                  <c:v>12.080057967553506</c:v>
                </c:pt>
                <c:pt idx="384">
                  <c:v>12.07384401330655</c:v>
                </c:pt>
                <c:pt idx="385">
                  <c:v>11.394731936684433</c:v>
                </c:pt>
                <c:pt idx="386">
                  <c:v>11.388517982437477</c:v>
                </c:pt>
                <c:pt idx="387">
                  <c:v>11.382304028190523</c:v>
                </c:pt>
                <c:pt idx="388">
                  <c:v>11.376090073943567</c:v>
                </c:pt>
                <c:pt idx="389">
                  <c:v>11.369876119696611</c:v>
                </c:pt>
                <c:pt idx="390">
                  <c:v>10.690764043074495</c:v>
                </c:pt>
                <c:pt idx="391">
                  <c:v>10.684550088827539</c:v>
                </c:pt>
                <c:pt idx="392">
                  <c:v>10.678336134580585</c:v>
                </c:pt>
                <c:pt idx="393">
                  <c:v>10.672122180333629</c:v>
                </c:pt>
                <c:pt idx="394">
                  <c:v>10.665908226086673</c:v>
                </c:pt>
                <c:pt idx="395">
                  <c:v>9.9867961494645563</c:v>
                </c:pt>
                <c:pt idx="396">
                  <c:v>9.9805821952176004</c:v>
                </c:pt>
                <c:pt idx="397">
                  <c:v>9.9743682409706462</c:v>
                </c:pt>
                <c:pt idx="398">
                  <c:v>9.9681542867236903</c:v>
                </c:pt>
                <c:pt idx="399">
                  <c:v>9.9619403324767344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B4-D44D-83B7-E149116A0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315023"/>
        <c:axId val="2084316671"/>
      </c:scatterChart>
      <c:valAx>
        <c:axId val="2084315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4316671"/>
        <c:crosses val="autoZero"/>
        <c:crossBetween val="midCat"/>
      </c:valAx>
      <c:valAx>
        <c:axId val="2084316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843150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strRef>
              <c:f>'E-Stat1'!$C$2:$C$401</c:f>
              <c:strCache>
                <c:ptCount val="400"/>
                <c:pt idx="9">
                  <c:v>SS</c:v>
                </c:pt>
                <c:pt idx="10">
                  <c:v>396,4875268</c:v>
                </c:pt>
                <c:pt idx="11">
                  <c:v>0,378086943</c:v>
                </c:pt>
                <c:pt idx="12">
                  <c:v>396,8656137</c:v>
                </c:pt>
                <c:pt idx="14">
                  <c:v>Standard Error</c:v>
                </c:pt>
                <c:pt idx="15">
                  <c:v>0,008930854</c:v>
                </c:pt>
                <c:pt idx="16">
                  <c:v>0,010910775</c:v>
                </c:pt>
                <c:pt idx="17">
                  <c:v>0,002182155</c:v>
                </c:pt>
                <c:pt idx="23">
                  <c:v>Residuals</c:v>
                </c:pt>
                <c:pt idx="24">
                  <c:v>0,049298707</c:v>
                </c:pt>
                <c:pt idx="25">
                  <c:v>0,055510675</c:v>
                </c:pt>
                <c:pt idx="26">
                  <c:v>0,061721901</c:v>
                </c:pt>
                <c:pt idx="27">
                  <c:v>0,067932365</c:v>
                </c:pt>
                <c:pt idx="28">
                  <c:v>0,074142066</c:v>
                </c:pt>
                <c:pt idx="29">
                  <c:v>0,018153942</c:v>
                </c:pt>
                <c:pt idx="30">
                  <c:v>0,02433382</c:v>
                </c:pt>
                <c:pt idx="31">
                  <c:v>0,030502015</c:v>
                </c:pt>
                <c:pt idx="32">
                  <c:v>0,036658161</c:v>
                </c:pt>
                <c:pt idx="33">
                  <c:v>0,042802327</c:v>
                </c:pt>
                <c:pt idx="34">
                  <c:v>0,002021778</c:v>
                </c:pt>
                <c:pt idx="35">
                  <c:v>0,007729167</c:v>
                </c:pt>
                <c:pt idx="36">
                  <c:v>0,013298154</c:v>
                </c:pt>
                <c:pt idx="37">
                  <c:v>0,018723169</c:v>
                </c:pt>
                <c:pt idx="38">
                  <c:v>0,024010832</c:v>
                </c:pt>
                <c:pt idx="39">
                  <c:v>0,013949722</c:v>
                </c:pt>
                <c:pt idx="40">
                  <c:v>0,014560467</c:v>
                </c:pt>
                <c:pt idx="41">
                  <c:v>0,014578875</c:v>
                </c:pt>
                <c:pt idx="42">
                  <c:v>0,013924262</c:v>
                </c:pt>
                <c:pt idx="43">
                  <c:v>0,012713729</c:v>
                </c:pt>
                <c:pt idx="44">
                  <c:v>0,062115704</c:v>
                </c:pt>
                <c:pt idx="45">
                  <c:v>0,040764681</c:v>
                </c:pt>
                <c:pt idx="46">
                  <c:v>0,02428604</c:v>
                </c:pt>
                <c:pt idx="47">
                  <c:v>0,010513432</c:v>
                </c:pt>
                <c:pt idx="48">
                  <c:v>-0,00122811</c:v>
                </c:pt>
                <c:pt idx="49">
                  <c:v>0,049298718</c:v>
                </c:pt>
                <c:pt idx="50">
                  <c:v>0,055510671</c:v>
                </c:pt>
                <c:pt idx="51">
                  <c:v>0,0617219</c:v>
                </c:pt>
                <c:pt idx="52">
                  <c:v>0,067932363</c:v>
                </c:pt>
                <c:pt idx="53">
                  <c:v>0,074142074</c:v>
                </c:pt>
                <c:pt idx="54">
                  <c:v>0,018153941</c:v>
                </c:pt>
                <c:pt idx="55">
                  <c:v>0,024333812</c:v>
                </c:pt>
                <c:pt idx="56">
                  <c:v>0,030502013</c:v>
                </c:pt>
                <c:pt idx="57">
                  <c:v>0,036658159</c:v>
                </c:pt>
                <c:pt idx="58">
                  <c:v>0,042802328</c:v>
                </c:pt>
                <c:pt idx="59">
                  <c:v>0,002021763</c:v>
                </c:pt>
                <c:pt idx="60">
                  <c:v>0,007729162</c:v>
                </c:pt>
                <c:pt idx="61">
                  <c:v>0,013298157</c:v>
                </c:pt>
                <c:pt idx="62">
                  <c:v>0,018723163</c:v>
                </c:pt>
                <c:pt idx="63">
                  <c:v>0,024010819</c:v>
                </c:pt>
                <c:pt idx="64">
                  <c:v>0,013949718</c:v>
                </c:pt>
                <c:pt idx="65">
                  <c:v>0,014560467</c:v>
                </c:pt>
                <c:pt idx="66">
                  <c:v>0,014578873</c:v>
                </c:pt>
                <c:pt idx="67">
                  <c:v>0,013924252</c:v>
                </c:pt>
                <c:pt idx="68">
                  <c:v>0,01271373</c:v>
                </c:pt>
                <c:pt idx="69">
                  <c:v>0,062115705</c:v>
                </c:pt>
                <c:pt idx="70">
                  <c:v>0,04076467</c:v>
                </c:pt>
                <c:pt idx="71">
                  <c:v>0,024286034</c:v>
                </c:pt>
                <c:pt idx="72">
                  <c:v>0,010513431</c:v>
                </c:pt>
                <c:pt idx="73">
                  <c:v>-0,001228113</c:v>
                </c:pt>
                <c:pt idx="74">
                  <c:v>0,049298714</c:v>
                </c:pt>
                <c:pt idx="75">
                  <c:v>0,055510675</c:v>
                </c:pt>
                <c:pt idx="76">
                  <c:v>0,061721903</c:v>
                </c:pt>
                <c:pt idx="77">
                  <c:v>0,067932368</c:v>
                </c:pt>
                <c:pt idx="78">
                  <c:v>0,074142068</c:v>
                </c:pt>
                <c:pt idx="79">
                  <c:v>0,018153943</c:v>
                </c:pt>
                <c:pt idx="80">
                  <c:v>0,024333819</c:v>
                </c:pt>
                <c:pt idx="81">
                  <c:v>0,030502022</c:v>
                </c:pt>
                <c:pt idx="82">
                  <c:v>0,036658155</c:v>
                </c:pt>
                <c:pt idx="83">
                  <c:v>0,042802323</c:v>
                </c:pt>
                <c:pt idx="84">
                  <c:v>0,002021763</c:v>
                </c:pt>
                <c:pt idx="85">
                  <c:v>0,007729163</c:v>
                </c:pt>
                <c:pt idx="86">
                  <c:v>0,013298158</c:v>
                </c:pt>
                <c:pt idx="87">
                  <c:v>0,018723159</c:v>
                </c:pt>
                <c:pt idx="88">
                  <c:v>0,024010826</c:v>
                </c:pt>
                <c:pt idx="89">
                  <c:v>0,013949726</c:v>
                </c:pt>
                <c:pt idx="90">
                  <c:v>0,014560454</c:v>
                </c:pt>
                <c:pt idx="91">
                  <c:v>0,014578885</c:v>
                </c:pt>
                <c:pt idx="92">
                  <c:v>0,013924256</c:v>
                </c:pt>
                <c:pt idx="93">
                  <c:v>0,012713726</c:v>
                </c:pt>
                <c:pt idx="94">
                  <c:v>0,062115718</c:v>
                </c:pt>
                <c:pt idx="95">
                  <c:v>0,040764677</c:v>
                </c:pt>
                <c:pt idx="96">
                  <c:v>0,024286035</c:v>
                </c:pt>
                <c:pt idx="97">
                  <c:v>0,010513437</c:v>
                </c:pt>
                <c:pt idx="98">
                  <c:v>-0,001228111</c:v>
                </c:pt>
                <c:pt idx="99">
                  <c:v>0,049298721</c:v>
                </c:pt>
                <c:pt idx="100">
                  <c:v>0,055510673</c:v>
                </c:pt>
                <c:pt idx="101">
                  <c:v>0,061721899</c:v>
                </c:pt>
                <c:pt idx="102">
                  <c:v>0,067932366</c:v>
                </c:pt>
                <c:pt idx="103">
                  <c:v>0,074142074</c:v>
                </c:pt>
                <c:pt idx="104">
                  <c:v>0,018153944</c:v>
                </c:pt>
                <c:pt idx="105">
                  <c:v>0,024333818</c:v>
                </c:pt>
                <c:pt idx="106">
                  <c:v>0,030502022</c:v>
                </c:pt>
                <c:pt idx="107">
                  <c:v>0,036658159</c:v>
                </c:pt>
                <c:pt idx="108">
                  <c:v>0,042802323</c:v>
                </c:pt>
                <c:pt idx="109">
                  <c:v>0,002021764</c:v>
                </c:pt>
                <c:pt idx="110">
                  <c:v>0,007729162</c:v>
                </c:pt>
                <c:pt idx="111">
                  <c:v>0,013298154</c:v>
                </c:pt>
                <c:pt idx="112">
                  <c:v>0,018723155</c:v>
                </c:pt>
                <c:pt idx="113">
                  <c:v>0,024010826</c:v>
                </c:pt>
                <c:pt idx="114">
                  <c:v>0,013949723</c:v>
                </c:pt>
                <c:pt idx="115">
                  <c:v>0,014560466</c:v>
                </c:pt>
                <c:pt idx="116">
                  <c:v>0,014578888</c:v>
                </c:pt>
                <c:pt idx="117">
                  <c:v>0,013924253</c:v>
                </c:pt>
                <c:pt idx="118">
                  <c:v>0,012713726</c:v>
                </c:pt>
                <c:pt idx="119">
                  <c:v>0,062115699</c:v>
                </c:pt>
                <c:pt idx="120">
                  <c:v>0,040764668</c:v>
                </c:pt>
                <c:pt idx="121">
                  <c:v>0,024286028</c:v>
                </c:pt>
                <c:pt idx="122">
                  <c:v>0,010513442</c:v>
                </c:pt>
                <c:pt idx="123">
                  <c:v>-0,00122812</c:v>
                </c:pt>
                <c:pt idx="124">
                  <c:v>0,010855503</c:v>
                </c:pt>
                <c:pt idx="125">
                  <c:v>0,017067241</c:v>
                </c:pt>
                <c:pt idx="126">
                  <c:v>0,023278264</c:v>
                </c:pt>
                <c:pt idx="127">
                  <c:v>0,029488488</c:v>
                </c:pt>
                <c:pt idx="128">
                  <c:v>0,035697906</c:v>
                </c:pt>
                <c:pt idx="129">
                  <c:v>-0,015111636</c:v>
                </c:pt>
                <c:pt idx="130">
                  <c:v>-0,00893625</c:v>
                </c:pt>
                <c:pt idx="131">
                  <c:v>-0,00277133</c:v>
                </c:pt>
                <c:pt idx="132">
                  <c:v>0,003381432</c:v>
                </c:pt>
                <c:pt idx="133">
                  <c:v>0,00952185</c:v>
                </c:pt>
                <c:pt idx="134">
                  <c:v>-0,024133053</c:v>
                </c:pt>
                <c:pt idx="135">
                  <c:v>-0,0184944</c:v>
                </c:pt>
                <c:pt idx="136">
                  <c:v>-0,012971727</c:v>
                </c:pt>
                <c:pt idx="137">
                  <c:v>-0,007589391</c:v>
                </c:pt>
                <c:pt idx="138">
                  <c:v>-0,002346021</c:v>
                </c:pt>
                <c:pt idx="139">
                  <c:v>-0,003280543</c:v>
                </c:pt>
                <c:pt idx="140">
                  <c:v>-0,003178945</c:v>
                </c:pt>
                <c:pt idx="141">
                  <c:v>-0,003540691</c:v>
                </c:pt>
                <c:pt idx="142">
                  <c:v>-0,004542684</c:v>
                </c:pt>
                <c:pt idx="143">
                  <c:v>-0,006096714</c:v>
                </c:pt>
                <c:pt idx="144">
                  <c:v>0,055100007</c:v>
                </c:pt>
                <c:pt idx="145">
                  <c:v>0,032350805</c:v>
                </c:pt>
                <c:pt idx="146">
                  <c:v>0,014668732</c:v>
                </c:pt>
                <c:pt idx="147">
                  <c:v>-0,000225774</c:v>
                </c:pt>
                <c:pt idx="148">
                  <c:v>-0,013049143</c:v>
                </c:pt>
                <c:pt idx="149">
                  <c:v>0,017155534</c:v>
                </c:pt>
                <c:pt idx="150">
                  <c:v>0,023367299</c:v>
                </c:pt>
                <c:pt idx="151">
                  <c:v>0,029578336</c:v>
                </c:pt>
                <c:pt idx="152">
                  <c:v>0,035788608</c:v>
                </c:pt>
                <c:pt idx="153">
                  <c:v>0,041998075</c:v>
                </c:pt>
                <c:pt idx="154">
                  <c:v>-0,009685046</c:v>
                </c:pt>
                <c:pt idx="155">
                  <c:v>-0,003509338</c:v>
                </c:pt>
                <c:pt idx="156">
                  <c:v>0,002655951</c:v>
                </c:pt>
                <c:pt idx="157">
                  <c:v>0,008809213</c:v>
                </c:pt>
                <c:pt idx="158">
                  <c:v>0,014950193</c:v>
                </c:pt>
                <c:pt idx="159">
                  <c:v>-0,019873447</c:v>
                </c:pt>
                <c:pt idx="160">
                  <c:v>-0,014227315</c:v>
                </c:pt>
                <c:pt idx="161">
                  <c:v>-0,008698959</c:v>
                </c:pt>
                <c:pt idx="162">
                  <c:v>-0,003310749</c:v>
                </c:pt>
                <c:pt idx="163">
                  <c:v>0,001939141</c:v>
                </c:pt>
                <c:pt idx="164">
                  <c:v>-0,000458922</c:v>
                </c:pt>
                <c:pt idx="165">
                  <c:v>-0,000280566</c:v>
                </c:pt>
                <c:pt idx="166">
                  <c:v>-0,000584741</c:v>
                </c:pt>
                <c:pt idx="167">
                  <c:v>-0,001533426</c:v>
                </c:pt>
                <c:pt idx="168">
                  <c:v>-0,003034123</c:v>
                </c:pt>
                <c:pt idx="169">
                  <c:v>0,056259696</c:v>
                </c:pt>
                <c:pt idx="170">
                  <c:v>0,033738435</c:v>
                </c:pt>
                <c:pt idx="171">
                  <c:v>0,01625182</c:v>
                </c:pt>
                <c:pt idx="172">
                  <c:v>0,001538996</c:v>
                </c:pt>
                <c:pt idx="173">
                  <c:v>-0,01110961</c:v>
                </c:pt>
                <c:pt idx="174">
                  <c:v>0,021679473</c:v>
                </c:pt>
                <c:pt idx="175">
                  <c:v>0,027891247</c:v>
                </c:pt>
                <c:pt idx="176">
                  <c:v>0,034102306</c:v>
                </c:pt>
                <c:pt idx="177">
                  <c:v>0,04031259</c:v>
                </c:pt>
                <c:pt idx="178">
                  <c:v>0,046522104</c:v>
                </c:pt>
                <c:pt idx="179">
                  <c:v>-0,005783061</c:v>
                </c:pt>
                <c:pt idx="180">
                  <c:v>0,000392905</c:v>
                </c:pt>
                <c:pt idx="181">
                  <c:v>0,006558482</c:v>
                </c:pt>
                <c:pt idx="182">
                  <c:v>0,012712076</c:v>
                </c:pt>
                <c:pt idx="183">
                  <c:v>0,018853466</c:v>
                </c:pt>
                <c:pt idx="184">
                  <c:v>-0,016808404</c:v>
                </c:pt>
                <c:pt idx="185">
                  <c:v>-0,011156329</c:v>
                </c:pt>
                <c:pt idx="186">
                  <c:v>-0,005623662</c:v>
                </c:pt>
                <c:pt idx="187">
                  <c:v>-0,000231123</c:v>
                </c:pt>
                <c:pt idx="188">
                  <c:v>0,00502354</c:v>
                </c:pt>
                <c:pt idx="189">
                  <c:v>0,00156841</c:v>
                </c:pt>
                <c:pt idx="190">
                  <c:v>0,001803352</c:v>
                </c:pt>
                <c:pt idx="191">
                  <c:v>0,001541532</c:v>
                </c:pt>
                <c:pt idx="192">
                  <c:v>0,000631871</c:v>
                </c:pt>
                <c:pt idx="193">
                  <c:v>-0,000829943</c:v>
                </c:pt>
                <c:pt idx="194">
                  <c:v>0,057090363</c:v>
                </c:pt>
                <c:pt idx="195">
                  <c:v>0,034733125</c:v>
                </c:pt>
                <c:pt idx="196">
                  <c:v>0,017387352</c:v>
                </c:pt>
                <c:pt idx="197">
                  <c:v>0,00280559</c:v>
                </c:pt>
                <c:pt idx="198">
                  <c:v>-0,009716887</c:v>
                </c:pt>
                <c:pt idx="199">
                  <c:v>0,025085981</c:v>
                </c:pt>
                <c:pt idx="200">
                  <c:v>0,031297764</c:v>
                </c:pt>
                <c:pt idx="201">
                  <c:v>0,037508845</c:v>
                </c:pt>
                <c:pt idx="202">
                  <c:v>0,043719151</c:v>
                </c:pt>
                <c:pt idx="203">
                  <c:v>0,049928677</c:v>
                </c:pt>
                <c:pt idx="204">
                  <c:v>-0,002841816</c:v>
                </c:pt>
                <c:pt idx="205">
                  <c:v>0,003334376</c:v>
                </c:pt>
                <c:pt idx="206">
                  <c:v>0,009500161</c:v>
                </c:pt>
                <c:pt idx="207">
                  <c:v>0,015654011</c:v>
                </c:pt>
                <c:pt idx="208">
                  <c:v>0,021795713</c:v>
                </c:pt>
                <c:pt idx="209">
                  <c:v>-0,014496848</c:v>
                </c:pt>
                <c:pt idx="210">
                  <c:v>-0,008839948</c:v>
                </c:pt>
                <c:pt idx="211">
                  <c:v>-0,003303853</c:v>
                </c:pt>
                <c:pt idx="212">
                  <c:v>0,002092047</c:v>
                </c:pt>
                <c:pt idx="213">
                  <c:v>0,007350328</c:v>
                </c:pt>
                <c:pt idx="214">
                  <c:v>0,003095502</c:v>
                </c:pt>
                <c:pt idx="215">
                  <c:v>0,003373914</c:v>
                </c:pt>
                <c:pt idx="216">
                  <c:v>0,00314459</c:v>
                </c:pt>
                <c:pt idx="217">
                  <c:v>0,002264757</c:v>
                </c:pt>
                <c:pt idx="218">
                  <c:v>0,000832596</c:v>
                </c:pt>
                <c:pt idx="219">
                  <c:v>0,057714636</c:v>
                </c:pt>
                <c:pt idx="220">
                  <c:v>0,035481123</c:v>
                </c:pt>
                <c:pt idx="221">
                  <c:v>0,018241646</c:v>
                </c:pt>
                <c:pt idx="222">
                  <c:v>0,003758847</c:v>
                </c:pt>
                <c:pt idx="223">
                  <c:v>-0,008668269</c:v>
                </c:pt>
                <c:pt idx="224">
                  <c:v>-0,026200422</c:v>
                </c:pt>
                <c:pt idx="225">
                  <c:v>-0,019988807</c:v>
                </c:pt>
                <c:pt idx="226">
                  <c:v>-0,013777958</c:v>
                </c:pt>
                <c:pt idx="227">
                  <c:v>-0,007567936</c:v>
                </c:pt>
                <c:pt idx="228">
                  <c:v>-0,001358768</c:v>
                </c:pt>
                <c:pt idx="229">
                  <c:v>-0,046881234</c:v>
                </c:pt>
                <c:pt idx="230">
                  <c:v>-0,040707581</c:v>
                </c:pt>
                <c:pt idx="231">
                  <c:v>-0,034544844</c:v>
                </c:pt>
                <c:pt idx="232">
                  <c:v>-0,0283948</c:v>
                </c:pt>
                <c:pt idx="233">
                  <c:v>-0,0222577</c:v>
                </c:pt>
                <c:pt idx="234">
                  <c:v>-0,048998679</c:v>
                </c:pt>
                <c:pt idx="235">
                  <c:v>-0,043393557</c:v>
                </c:pt>
                <c:pt idx="236">
                  <c:v>-0,037900129</c:v>
                </c:pt>
                <c:pt idx="237">
                  <c:v>-0,032550155</c:v>
                </c:pt>
                <c:pt idx="238">
                  <c:v>-0,027343788</c:v>
                </c:pt>
                <c:pt idx="239">
                  <c:v>-0,01982469</c:v>
                </c:pt>
                <c:pt idx="240">
                  <c:v>-0,020131798</c:v>
                </c:pt>
                <c:pt idx="241">
                  <c:v>-0,020804819</c:v>
                </c:pt>
                <c:pt idx="242">
                  <c:v>-0,022100686</c:v>
                </c:pt>
                <c:pt idx="243">
                  <c:v>-0,023953181</c:v>
                </c:pt>
                <c:pt idx="244">
                  <c:v>0,048220503</c:v>
                </c:pt>
                <c:pt idx="245">
                  <c:v>0,024144018</c:v>
                </c:pt>
                <c:pt idx="246">
                  <c:v>0,005329282</c:v>
                </c:pt>
                <c:pt idx="247">
                  <c:v>-0,010614511</c:v>
                </c:pt>
                <c:pt idx="248">
                  <c:v>-0,024444181</c:v>
                </c:pt>
                <c:pt idx="249">
                  <c:v>-0,013982558</c:v>
                </c:pt>
                <c:pt idx="250">
                  <c:v>-0,007770898</c:v>
                </c:pt>
                <c:pt idx="251">
                  <c:v>-0,001559997</c:v>
                </c:pt>
                <c:pt idx="252">
                  <c:v>0,004650087</c:v>
                </c:pt>
                <c:pt idx="253">
                  <c:v>0,010859341</c:v>
                </c:pt>
                <c:pt idx="254">
                  <c:v>-0,03643212</c:v>
                </c:pt>
                <c:pt idx="255">
                  <c:v>-0,030257924</c:v>
                </c:pt>
                <c:pt idx="256">
                  <c:v>-0,024094488</c:v>
                </c:pt>
                <c:pt idx="257">
                  <c:v>-0,017943543</c:v>
                </c:pt>
                <c:pt idx="258">
                  <c:v>-0,011805354</c:v>
                </c:pt>
                <c:pt idx="259">
                  <c:v>-0,040833618</c:v>
                </c:pt>
                <c:pt idx="260">
                  <c:v>-0,035218826</c:v>
                </c:pt>
                <c:pt idx="261">
                  <c:v>-0,029716291</c:v>
                </c:pt>
                <c:pt idx="262">
                  <c:v>-0,024355916</c:v>
                </c:pt>
                <c:pt idx="263">
                  <c:v>-0,01913753</c:v>
                </c:pt>
                <c:pt idx="264">
                  <c:v>-0,014380941</c:v>
                </c:pt>
                <c:pt idx="265">
                  <c:v>-0,014560621</c:v>
                </c:pt>
                <c:pt idx="266">
                  <c:v>-0,015135562</c:v>
                </c:pt>
                <c:pt idx="267">
                  <c:v>-0,01633773</c:v>
                </c:pt>
                <c:pt idx="268">
                  <c:v>-0,018094262</c:v>
                </c:pt>
                <c:pt idx="269">
                  <c:v>0,050498872</c:v>
                </c:pt>
                <c:pt idx="270">
                  <c:v>0,026857288</c:v>
                </c:pt>
                <c:pt idx="271">
                  <c:v>0,008412687</c:v>
                </c:pt>
                <c:pt idx="272">
                  <c:v>-0,007188874</c:v>
                </c:pt>
                <c:pt idx="273">
                  <c:v>-0,020690865</c:v>
                </c:pt>
                <c:pt idx="274">
                  <c:v>-0,005175555</c:v>
                </c:pt>
                <c:pt idx="275">
                  <c:v>0,001036131</c:v>
                </c:pt>
                <c:pt idx="276">
                  <c:v>0,007247076</c:v>
                </c:pt>
                <c:pt idx="277">
                  <c:v>0,013457207</c:v>
                </c:pt>
                <c:pt idx="278">
                  <c:v>0,01966652</c:v>
                </c:pt>
                <c:pt idx="279">
                  <c:v>-0,028884989</c:v>
                </c:pt>
                <c:pt idx="280">
                  <c:v>-0,022710398</c:v>
                </c:pt>
                <c:pt idx="281">
                  <c:v>-0,016546448</c:v>
                </c:pt>
                <c:pt idx="282">
                  <c:v>-0,010394857</c:v>
                </c:pt>
                <c:pt idx="283">
                  <c:v>-0,004255879</c:v>
                </c:pt>
                <c:pt idx="284">
                  <c:v>-0,034928215</c:v>
                </c:pt>
                <c:pt idx="285">
                  <c:v>-0,029305749</c:v>
                </c:pt>
                <c:pt idx="286">
                  <c:v>-0,023796365</c:v>
                </c:pt>
                <c:pt idx="287">
                  <c:v>-0,018428367</c:v>
                </c:pt>
                <c:pt idx="288">
                  <c:v>-0,013201225</c:v>
                </c:pt>
                <c:pt idx="289">
                  <c:v>-0,010449857</c:v>
                </c:pt>
                <c:pt idx="290">
                  <c:v>-0,010533428</c:v>
                </c:pt>
                <c:pt idx="291">
                  <c:v>-0,011035072</c:v>
                </c:pt>
                <c:pt idx="292">
                  <c:v>-0,012167885</c:v>
                </c:pt>
                <c:pt idx="293">
                  <c:v>-0,013853866</c:v>
                </c:pt>
                <c:pt idx="294">
                  <c:v>0,052135277</c:v>
                </c:pt>
                <c:pt idx="295">
                  <c:v>0,028808885</c:v>
                </c:pt>
                <c:pt idx="296">
                  <c:v>0,010633156</c:v>
                </c:pt>
                <c:pt idx="297">
                  <c:v>-0,004719418</c:v>
                </c:pt>
                <c:pt idx="298">
                  <c:v>-0,017982704</c:v>
                </c:pt>
                <c:pt idx="299">
                  <c:v>0,001475395</c:v>
                </c:pt>
                <c:pt idx="300">
                  <c:v>0,0076871</c:v>
                </c:pt>
                <c:pt idx="301">
                  <c:v>0,013898076</c:v>
                </c:pt>
                <c:pt idx="302">
                  <c:v>0,020108246</c:v>
                </c:pt>
                <c:pt idx="303">
                  <c:v>0,026317608</c:v>
                </c:pt>
                <c:pt idx="304">
                  <c:v>-0,023176545</c:v>
                </c:pt>
                <c:pt idx="305">
                  <c:v>-0,017001627</c:v>
                </c:pt>
                <c:pt idx="306">
                  <c:v>-0,010837274</c:v>
                </c:pt>
                <c:pt idx="307">
                  <c:v>-0,004685204</c:v>
                </c:pt>
                <c:pt idx="308">
                  <c:v>0,001454369</c:v>
                </c:pt>
                <c:pt idx="309">
                  <c:v>-0,030456916</c:v>
                </c:pt>
                <c:pt idx="310">
                  <c:v>-0,024828145</c:v>
                </c:pt>
                <c:pt idx="311">
                  <c:v>-0,019313421</c:v>
                </c:pt>
                <c:pt idx="312">
                  <c:v>-0,013939557</c:v>
                </c:pt>
                <c:pt idx="313">
                  <c:v>-0,00870573</c:v>
                </c:pt>
                <c:pt idx="314">
                  <c:v>-0,007477488</c:v>
                </c:pt>
                <c:pt idx="315">
                  <c:v>-0,007485912</c:v>
                </c:pt>
                <c:pt idx="316">
                  <c:v>-0,007930594</c:v>
                </c:pt>
                <c:pt idx="317">
                  <c:v>-0,009009903</c:v>
                </c:pt>
                <c:pt idx="318">
                  <c:v>-0,010641741</c:v>
                </c:pt>
                <c:pt idx="319">
                  <c:v>0,053367579</c:v>
                </c:pt>
                <c:pt idx="320">
                  <c:v>0,030280119</c:v>
                </c:pt>
                <c:pt idx="321">
                  <c:v>0,012308534</c:v>
                </c:pt>
                <c:pt idx="322">
                  <c:v>-0,002854745</c:v>
                </c:pt>
                <c:pt idx="323">
                  <c:v>-0,01593637</c:v>
                </c:pt>
                <c:pt idx="324">
                  <c:v>-0,06212924</c:v>
                </c:pt>
                <c:pt idx="325">
                  <c:v>-0,055917743</c:v>
                </c:pt>
                <c:pt idx="326">
                  <c:v>-0,049707054</c:v>
                </c:pt>
                <c:pt idx="327">
                  <c:v>-0,043497246</c:v>
                </c:pt>
                <c:pt idx="328">
                  <c:v>-0,037288316</c:v>
                </c:pt>
                <c:pt idx="329">
                  <c:v>-0,077483005</c:v>
                </c:pt>
                <c:pt idx="330">
                  <c:v>-0,071310866</c:v>
                </c:pt>
                <c:pt idx="331">
                  <c:v>-0,065150188</c:v>
                </c:pt>
                <c:pt idx="332">
                  <c:v>-0,059002762</c:v>
                </c:pt>
                <c:pt idx="333">
                  <c:v>-0,052868813</c:v>
                </c:pt>
                <c:pt idx="334">
                  <c:v>-0,072842041</c:v>
                </c:pt>
                <c:pt idx="335">
                  <c:v>-0,067261335</c:v>
                </c:pt>
                <c:pt idx="336">
                  <c:v>-0,061793165</c:v>
                </c:pt>
                <c:pt idx="337">
                  <c:v>-0,056472931</c:v>
                </c:pt>
                <c:pt idx="338">
                  <c:v>-0,051301293</c:v>
                </c:pt>
                <c:pt idx="339">
                  <c:v>-0,035762016</c:v>
                </c:pt>
                <c:pt idx="340">
                  <c:v>-0,036409855</c:v>
                </c:pt>
                <c:pt idx="341">
                  <c:v>-0,037351445</c:v>
                </c:pt>
                <c:pt idx="342">
                  <c:v>-0,038909517</c:v>
                </c:pt>
                <c:pt idx="343">
                  <c:v>-0,041034057</c:v>
                </c:pt>
                <c:pt idx="344">
                  <c:v>0,041471933</c:v>
                </c:pt>
                <c:pt idx="345">
                  <c:v>0,016133594</c:v>
                </c:pt>
                <c:pt idx="346">
                  <c:v>-0,003749911</c:v>
                </c:pt>
                <c:pt idx="347">
                  <c:v>-0,020678668</c:v>
                </c:pt>
                <c:pt idx="348">
                  <c:v>-0,035448742</c:v>
                </c:pt>
                <c:pt idx="349">
                  <c:v>-0,044295602</c:v>
                </c:pt>
                <c:pt idx="350">
                  <c:v>-0,038084047</c:v>
                </c:pt>
                <c:pt idx="351">
                  <c:v>-0,031873282</c:v>
                </c:pt>
                <c:pt idx="352">
                  <c:v>-0,025663359</c:v>
                </c:pt>
                <c:pt idx="353">
                  <c:v>-0,019454323</c:v>
                </c:pt>
                <c:pt idx="354">
                  <c:v>-0,062315661</c:v>
                </c:pt>
                <c:pt idx="355">
                  <c:v>-0,056142778</c:v>
                </c:pt>
                <c:pt idx="356">
                  <c:v>-0,049981084</c:v>
                </c:pt>
                <c:pt idx="357">
                  <c:v>-0,043832367</c:v>
                </c:pt>
                <c:pt idx="358">
                  <c:v>-0,037696853</c:v>
                </c:pt>
                <c:pt idx="359">
                  <c:v>-0,061036821</c:v>
                </c:pt>
                <c:pt idx="360">
                  <c:v>-0,055444585</c:v>
                </c:pt>
                <c:pt idx="361">
                  <c:v>-0,049964108</c:v>
                </c:pt>
                <c:pt idx="362">
                  <c:v>-0,04462923</c:v>
                </c:pt>
                <c:pt idx="363">
                  <c:v>-0,039440459</c:v>
                </c:pt>
                <c:pt idx="364">
                  <c:v>-0,027864942</c:v>
                </c:pt>
                <c:pt idx="365">
                  <c:v>-0,02834947</c:v>
                </c:pt>
                <c:pt idx="366">
                  <c:v>-0,029161058</c:v>
                </c:pt>
                <c:pt idx="367">
                  <c:v>-0,030591185</c:v>
                </c:pt>
                <c:pt idx="368">
                  <c:v>-0,032582369</c:v>
                </c:pt>
                <c:pt idx="369">
                  <c:v>0,044830157</c:v>
                </c:pt>
                <c:pt idx="370">
                  <c:v>0,020114892</c:v>
                </c:pt>
                <c:pt idx="371">
                  <c:v>0,000758179</c:v>
                </c:pt>
                <c:pt idx="372">
                  <c:v>-0,015685671</c:v>
                </c:pt>
                <c:pt idx="373">
                  <c:v>-0,029993254</c:v>
                </c:pt>
                <c:pt idx="374">
                  <c:v>-0,031398178</c:v>
                </c:pt>
                <c:pt idx="375">
                  <c:v>-0,025186579</c:v>
                </c:pt>
                <c:pt idx="376">
                  <c:v>-0,01897575</c:v>
                </c:pt>
                <c:pt idx="377">
                  <c:v>-0,012765769</c:v>
                </c:pt>
                <c:pt idx="378">
                  <c:v>-0,00655664</c:v>
                </c:pt>
                <c:pt idx="379">
                  <c:v>-0,051319566</c:v>
                </c:pt>
                <c:pt idx="380">
                  <c:v>-0,045146135</c:v>
                </c:pt>
                <c:pt idx="381">
                  <c:v>-0,038983693</c:v>
                </c:pt>
                <c:pt idx="382">
                  <c:v>-0,03283404</c:v>
                </c:pt>
                <c:pt idx="383">
                  <c:v>-0,02669739</c:v>
                </c:pt>
                <c:pt idx="384">
                  <c:v>-0,052463054</c:v>
                </c:pt>
                <c:pt idx="385">
                  <c:v>-0,046861776</c:v>
                </c:pt>
                <c:pt idx="386">
                  <c:v>-0,041372142</c:v>
                </c:pt>
                <c:pt idx="387">
                  <c:v>-0,036026531</c:v>
                </c:pt>
                <c:pt idx="388">
                  <c:v>-0,030825245</c:v>
                </c:pt>
                <c:pt idx="389">
                  <c:v>-0,022136988</c:v>
                </c:pt>
                <c:pt idx="390">
                  <c:v>-0,022496368</c:v>
                </c:pt>
                <c:pt idx="391">
                  <c:v>-0,023209946</c:v>
                </c:pt>
                <c:pt idx="392">
                  <c:v>-0,024544901</c:v>
                </c:pt>
                <c:pt idx="393">
                  <c:v>-0,026437618</c:v>
                </c:pt>
                <c:pt idx="394">
                  <c:v>0,047248512</c:v>
                </c:pt>
                <c:pt idx="395">
                  <c:v>0,022987891</c:v>
                </c:pt>
                <c:pt idx="396">
                  <c:v>0,004016723</c:v>
                </c:pt>
                <c:pt idx="397">
                  <c:v>-0,012071557</c:v>
                </c:pt>
                <c:pt idx="398">
                  <c:v>-0,026039407</c:v>
                </c:pt>
                <c:pt idx="399">
                  <c:v>-0,02163366</c:v>
                </c:pt>
              </c:strCache>
            </c:strRef>
          </c:xVal>
          <c:yVal>
            <c:numRef>
              <c:f>DATA!$D$2:$D$401</c:f>
              <c:numCache>
                <c:formatCode>0.00</c:formatCode>
                <c:ptCount val="400"/>
                <c:pt idx="0">
                  <c:v>12.8519664309355</c:v>
                </c:pt>
                <c:pt idx="1">
                  <c:v>12.8519644448038</c:v>
                </c:pt>
                <c:pt idx="2">
                  <c:v>12.8519617164668</c:v>
                </c:pt>
                <c:pt idx="3">
                  <c:v>12.851958226062999</c:v>
                </c:pt>
                <c:pt idx="4">
                  <c:v>12.851953973255499</c:v>
                </c:pt>
                <c:pt idx="5">
                  <c:v>12.116853772320701</c:v>
                </c:pt>
                <c:pt idx="6">
                  <c:v>12.116819696222899</c:v>
                </c:pt>
                <c:pt idx="7">
                  <c:v>12.116773936759801</c:v>
                </c:pt>
                <c:pt idx="8">
                  <c:v>12.116716128764899</c:v>
                </c:pt>
                <c:pt idx="9">
                  <c:v>12.1166463402009</c:v>
                </c:pt>
                <c:pt idx="10">
                  <c:v>11.3967537143453</c:v>
                </c:pt>
                <c:pt idx="11">
                  <c:v>11.3962471492232</c:v>
                </c:pt>
                <c:pt idx="12">
                  <c:v>11.395602182307901</c:v>
                </c:pt>
                <c:pt idx="13">
                  <c:v>11.394813243178</c:v>
                </c:pt>
                <c:pt idx="14">
                  <c:v>11.393886951971</c:v>
                </c:pt>
                <c:pt idx="15">
                  <c:v>10.7047137654511</c:v>
                </c:pt>
                <c:pt idx="16">
                  <c:v>10.699110555975601</c:v>
                </c:pt>
                <c:pt idx="17">
                  <c:v>10.692915009521201</c:v>
                </c:pt>
                <c:pt idx="18">
                  <c:v>10.6860464422865</c:v>
                </c:pt>
                <c:pt idx="19">
                  <c:v>10.678621955143999</c:v>
                </c:pt>
                <c:pt idx="20">
                  <c:v>10.048911853917801</c:v>
                </c:pt>
                <c:pt idx="21">
                  <c:v>10.0213468764537</c:v>
                </c:pt>
                <c:pt idx="22">
                  <c:v>9.9986542805246792</c:v>
                </c:pt>
                <c:pt idx="23">
                  <c:v>9.9786677189138597</c:v>
                </c:pt>
                <c:pt idx="24">
                  <c:v>9.9607122222042896</c:v>
                </c:pt>
                <c:pt idx="25">
                  <c:v>12.851966441688401</c:v>
                </c:pt>
                <c:pt idx="26">
                  <c:v>12.851964440684499</c:v>
                </c:pt>
                <c:pt idx="27">
                  <c:v>12.851961715633299</c:v>
                </c:pt>
                <c:pt idx="28">
                  <c:v>12.8519582246361</c:v>
                </c:pt>
                <c:pt idx="29">
                  <c:v>12.8519539805677</c:v>
                </c:pt>
                <c:pt idx="30">
                  <c:v>12.1168537711624</c:v>
                </c:pt>
                <c:pt idx="31">
                  <c:v>12.1168196876851</c:v>
                </c:pt>
                <c:pt idx="32">
                  <c:v>12.116773934545799</c:v>
                </c:pt>
                <c:pt idx="33">
                  <c:v>12.116716126164601</c:v>
                </c:pt>
                <c:pt idx="34">
                  <c:v>12.1166463411429</c:v>
                </c:pt>
                <c:pt idx="35">
                  <c:v>11.396753699933999</c:v>
                </c:pt>
                <c:pt idx="36">
                  <c:v>11.396247144654</c:v>
                </c:pt>
                <c:pt idx="37">
                  <c:v>11.3956021855017</c:v>
                </c:pt>
                <c:pt idx="38">
                  <c:v>11.3948132369208</c:v>
                </c:pt>
                <c:pt idx="39">
                  <c:v>11.3938869390861</c:v>
                </c:pt>
                <c:pt idx="40">
                  <c:v>10.704713760949399</c:v>
                </c:pt>
                <c:pt idx="41">
                  <c:v>10.6991105555401</c:v>
                </c:pt>
                <c:pt idx="42">
                  <c:v>10.6929150078204</c:v>
                </c:pt>
                <c:pt idx="43">
                  <c:v>10.686046432386799</c:v>
                </c:pt>
                <c:pt idx="44">
                  <c:v>10.678621955871</c:v>
                </c:pt>
                <c:pt idx="45">
                  <c:v>10.048911854038399</c:v>
                </c:pt>
                <c:pt idx="46">
                  <c:v>10.0213468654535</c:v>
                </c:pt>
                <c:pt idx="47">
                  <c:v>9.9986542745026394</c:v>
                </c:pt>
                <c:pt idx="48">
                  <c:v>9.9786677180049992</c:v>
                </c:pt>
                <c:pt idx="49">
                  <c:v>9.9607122196218807</c:v>
                </c:pt>
                <c:pt idx="50">
                  <c:v>12.8519664375946</c:v>
                </c:pt>
                <c:pt idx="51">
                  <c:v>12.851964444349701</c:v>
                </c:pt>
                <c:pt idx="52">
                  <c:v>12.851961718711101</c:v>
                </c:pt>
                <c:pt idx="53">
                  <c:v>12.8519582295676</c:v>
                </c:pt>
                <c:pt idx="54">
                  <c:v>12.851953974998899</c:v>
                </c:pt>
                <c:pt idx="55">
                  <c:v>12.116853773599001</c:v>
                </c:pt>
                <c:pt idx="56">
                  <c:v>12.1168196951264</c:v>
                </c:pt>
                <c:pt idx="57">
                  <c:v>12.1167739436359</c:v>
                </c:pt>
                <c:pt idx="58">
                  <c:v>12.1167161228236</c:v>
                </c:pt>
                <c:pt idx="59">
                  <c:v>12.116646336075</c:v>
                </c:pt>
                <c:pt idx="60">
                  <c:v>11.3967536997305</c:v>
                </c:pt>
                <c:pt idx="61">
                  <c:v>11.396247145189299</c:v>
                </c:pt>
                <c:pt idx="62">
                  <c:v>11.3956021863749</c:v>
                </c:pt>
                <c:pt idx="63">
                  <c:v>11.394813232630799</c:v>
                </c:pt>
                <c:pt idx="64">
                  <c:v>11.3938869454603</c:v>
                </c:pt>
                <c:pt idx="65">
                  <c:v>10.7047137692332</c:v>
                </c:pt>
                <c:pt idx="66">
                  <c:v>10.6991105423284</c:v>
                </c:pt>
                <c:pt idx="67">
                  <c:v>10.6929150197758</c:v>
                </c:pt>
                <c:pt idx="68">
                  <c:v>10.686046436813401</c:v>
                </c:pt>
                <c:pt idx="69">
                  <c:v>10.678621952417201</c:v>
                </c:pt>
                <c:pt idx="70">
                  <c:v>10.048911867783801</c:v>
                </c:pt>
                <c:pt idx="71">
                  <c:v>10.021346872214099</c:v>
                </c:pt>
                <c:pt idx="72">
                  <c:v>9.9986542757576693</c:v>
                </c:pt>
                <c:pt idx="73">
                  <c:v>9.9786677241344908</c:v>
                </c:pt>
                <c:pt idx="74">
                  <c:v>9.96071222145601</c:v>
                </c:pt>
                <c:pt idx="75">
                  <c:v>12.851966444912399</c:v>
                </c:pt>
                <c:pt idx="76">
                  <c:v>12.851964442184199</c:v>
                </c:pt>
                <c:pt idx="77">
                  <c:v>12.8519617139392</c:v>
                </c:pt>
                <c:pt idx="78">
                  <c:v>12.8519582269761</c:v>
                </c:pt>
                <c:pt idx="79">
                  <c:v>12.851953980677701</c:v>
                </c:pt>
                <c:pt idx="80">
                  <c:v>12.1168537742738</c:v>
                </c:pt>
                <c:pt idx="81">
                  <c:v>12.116819693940601</c:v>
                </c:pt>
                <c:pt idx="82">
                  <c:v>12.1167739435766</c:v>
                </c:pt>
                <c:pt idx="83">
                  <c:v>12.116716126200499</c:v>
                </c:pt>
                <c:pt idx="84">
                  <c:v>12.116646336430801</c:v>
                </c:pt>
                <c:pt idx="85">
                  <c:v>11.396753700585601</c:v>
                </c:pt>
                <c:pt idx="86">
                  <c:v>11.396247144537</c:v>
                </c:pt>
                <c:pt idx="87">
                  <c:v>11.395602181857599</c:v>
                </c:pt>
                <c:pt idx="88">
                  <c:v>11.3948132290363</c:v>
                </c:pt>
                <c:pt idx="89">
                  <c:v>11.3938869454563</c:v>
                </c:pt>
                <c:pt idx="90">
                  <c:v>10.704713766421399</c:v>
                </c:pt>
                <c:pt idx="91">
                  <c:v>10.6991105543517</c:v>
                </c:pt>
                <c:pt idx="92">
                  <c:v>10.692915023007499</c:v>
                </c:pt>
                <c:pt idx="93">
                  <c:v>10.686046433047499</c:v>
                </c:pt>
                <c:pt idx="94">
                  <c:v>10.6786219516469</c:v>
                </c:pt>
                <c:pt idx="95">
                  <c:v>10.048911848538999</c:v>
                </c:pt>
                <c:pt idx="96">
                  <c:v>10.0213468631033</c:v>
                </c:pt>
                <c:pt idx="97">
                  <c:v>9.9986542690410705</c:v>
                </c:pt>
                <c:pt idx="98">
                  <c:v>9.9786677287451404</c:v>
                </c:pt>
                <c:pt idx="99">
                  <c:v>9.9607122126150394</c:v>
                </c:pt>
                <c:pt idx="100">
                  <c:v>12.8135232264364</c:v>
                </c:pt>
                <c:pt idx="101">
                  <c:v>12.8135210104415</c:v>
                </c:pt>
                <c:pt idx="102">
                  <c:v>12.813518079134999</c:v>
                </c:pt>
                <c:pt idx="103">
                  <c:v>12.8135143489323</c:v>
                </c:pt>
                <c:pt idx="104">
                  <c:v>12.813509813274701</c:v>
                </c:pt>
                <c:pt idx="105">
                  <c:v>12.083588194671901</c:v>
                </c:pt>
                <c:pt idx="106">
                  <c:v>12.083549626541499</c:v>
                </c:pt>
                <c:pt idx="107">
                  <c:v>12.083500592286599</c:v>
                </c:pt>
                <c:pt idx="108">
                  <c:v>12.083439399107</c:v>
                </c:pt>
                <c:pt idx="109">
                  <c:v>12.0833658637181</c:v>
                </c:pt>
                <c:pt idx="110">
                  <c:v>11.370598883853299</c:v>
                </c:pt>
                <c:pt idx="111">
                  <c:v>11.3700235825464</c:v>
                </c:pt>
                <c:pt idx="112">
                  <c:v>11.3693323015081</c:v>
                </c:pt>
                <c:pt idx="113">
                  <c:v>11.3685006824658</c:v>
                </c:pt>
                <c:pt idx="114">
                  <c:v>11.367530099011899</c:v>
                </c:pt>
                <c:pt idx="115">
                  <c:v>10.687483500413199</c:v>
                </c:pt>
                <c:pt idx="116">
                  <c:v>10.6813711442153</c:v>
                </c:pt>
                <c:pt idx="117">
                  <c:v>10.6747954439751</c:v>
                </c:pt>
                <c:pt idx="118">
                  <c:v>10.667579496282199</c:v>
                </c:pt>
                <c:pt idx="119">
                  <c:v>10.6598115122541</c:v>
                </c:pt>
                <c:pt idx="120">
                  <c:v>10.0418961566967</c:v>
                </c:pt>
                <c:pt idx="121">
                  <c:v>10.012933000459</c:v>
                </c:pt>
                <c:pt idx="122">
                  <c:v>9.9890369732273196</c:v>
                </c:pt>
                <c:pt idx="123">
                  <c:v>9.9679285122310102</c:v>
                </c:pt>
                <c:pt idx="124">
                  <c:v>9.94889118973955</c:v>
                </c:pt>
                <c:pt idx="125">
                  <c:v>12.819823258136299</c:v>
                </c:pt>
                <c:pt idx="126">
                  <c:v>12.819821068537699</c:v>
                </c:pt>
                <c:pt idx="127">
                  <c:v>12.819818151723901</c:v>
                </c:pt>
                <c:pt idx="128">
                  <c:v>12.819814469638899</c:v>
                </c:pt>
                <c:pt idx="129">
                  <c:v>12.8198099818476</c:v>
                </c:pt>
                <c:pt idx="130">
                  <c:v>12.089014784611599</c:v>
                </c:pt>
                <c:pt idx="131">
                  <c:v>12.0889765383869</c:v>
                </c:pt>
                <c:pt idx="132">
                  <c:v>12.088927872880999</c:v>
                </c:pt>
                <c:pt idx="133">
                  <c:v>12.088867180921801</c:v>
                </c:pt>
                <c:pt idx="134">
                  <c:v>12.0887942064464</c:v>
                </c:pt>
                <c:pt idx="135">
                  <c:v>11.374858489564801</c:v>
                </c:pt>
                <c:pt idx="136">
                  <c:v>11.3742906677397</c:v>
                </c:pt>
                <c:pt idx="137">
                  <c:v>11.373605069657399</c:v>
                </c:pt>
                <c:pt idx="138">
                  <c:v>11.372779324882501</c:v>
                </c:pt>
                <c:pt idx="139">
                  <c:v>11.3718152610601</c:v>
                </c:pt>
                <c:pt idx="140">
                  <c:v>10.690305120758399</c:v>
                </c:pt>
                <c:pt idx="141">
                  <c:v>10.6842695223616</c:v>
                </c:pt>
                <c:pt idx="142">
                  <c:v>10.677751393192301</c:v>
                </c:pt>
                <c:pt idx="143">
                  <c:v>10.670588754683701</c:v>
                </c:pt>
                <c:pt idx="144">
                  <c:v>10.662874102820799</c:v>
                </c:pt>
                <c:pt idx="145">
                  <c:v>10.0430558455965</c:v>
                </c:pt>
                <c:pt idx="146">
                  <c:v>10.0143206304448</c:v>
                </c:pt>
                <c:pt idx="147">
                  <c:v>9.9906200609445701</c:v>
                </c:pt>
                <c:pt idx="148">
                  <c:v>9.9696932826878708</c:v>
                </c:pt>
                <c:pt idx="149">
                  <c:v>9.9508307229625697</c:v>
                </c:pt>
                <c:pt idx="150">
                  <c:v>12.8243471967674</c:v>
                </c:pt>
                <c:pt idx="151">
                  <c:v>12.824345016640301</c:v>
                </c:pt>
                <c:pt idx="152">
                  <c:v>12.824342120911499</c:v>
                </c:pt>
                <c:pt idx="153">
                  <c:v>12.824338451545101</c:v>
                </c:pt>
                <c:pt idx="154">
                  <c:v>12.8243340108809</c:v>
                </c:pt>
                <c:pt idx="155">
                  <c:v>12.0929167691933</c:v>
                </c:pt>
                <c:pt idx="156">
                  <c:v>12.092878780585201</c:v>
                </c:pt>
                <c:pt idx="157">
                  <c:v>12.0928304042131</c:v>
                </c:pt>
                <c:pt idx="158">
                  <c:v>12.0927700437115</c:v>
                </c:pt>
                <c:pt idx="159">
                  <c:v>12.0926974794603</c:v>
                </c:pt>
                <c:pt idx="160">
                  <c:v>11.3779235330407</c:v>
                </c:pt>
                <c:pt idx="161">
                  <c:v>11.377361653303099</c:v>
                </c:pt>
                <c:pt idx="162">
                  <c:v>11.3766803661727</c:v>
                </c:pt>
                <c:pt idx="163">
                  <c:v>11.3758589510023</c:v>
                </c:pt>
                <c:pt idx="164">
                  <c:v>11.374899659637901</c:v>
                </c:pt>
                <c:pt idx="165">
                  <c:v>10.692332453278301</c:v>
                </c:pt>
                <c:pt idx="166">
                  <c:v>10.6863534410023</c:v>
                </c:pt>
                <c:pt idx="167">
                  <c:v>10.6798776666749</c:v>
                </c:pt>
                <c:pt idx="168">
                  <c:v>10.6727540515462</c:v>
                </c:pt>
                <c:pt idx="169">
                  <c:v>10.665078283405199</c:v>
                </c:pt>
                <c:pt idx="170">
                  <c:v>10.0438865123994</c:v>
                </c:pt>
                <c:pt idx="171">
                  <c:v>10.015315320115301</c:v>
                </c:pt>
                <c:pt idx="172">
                  <c:v>9.9917555934084792</c:v>
                </c:pt>
                <c:pt idx="173">
                  <c:v>9.9709598771352201</c:v>
                </c:pt>
                <c:pt idx="174">
                  <c:v>9.9522234459026908</c:v>
                </c:pt>
                <c:pt idx="175">
                  <c:v>12.8277537052755</c:v>
                </c:pt>
                <c:pt idx="176">
                  <c:v>12.8277515335605</c:v>
                </c:pt>
                <c:pt idx="177">
                  <c:v>12.827748660580401</c:v>
                </c:pt>
                <c:pt idx="178">
                  <c:v>12.8277450121799</c:v>
                </c:pt>
                <c:pt idx="179">
                  <c:v>12.827740583893</c:v>
                </c:pt>
                <c:pt idx="180">
                  <c:v>12.095858014128501</c:v>
                </c:pt>
                <c:pt idx="181">
                  <c:v>12.0958202519318</c:v>
                </c:pt>
                <c:pt idx="182">
                  <c:v>12.0957720830996</c:v>
                </c:pt>
                <c:pt idx="183">
                  <c:v>12.095711978216601</c:v>
                </c:pt>
                <c:pt idx="184">
                  <c:v>12.0956397263413</c:v>
                </c:pt>
                <c:pt idx="185">
                  <c:v>11.380235088782999</c:v>
                </c:pt>
                <c:pt idx="186">
                  <c:v>11.3796780347595</c:v>
                </c:pt>
                <c:pt idx="187">
                  <c:v>11.379000175533401</c:v>
                </c:pt>
                <c:pt idx="188">
                  <c:v>11.378182120557501</c:v>
                </c:pt>
                <c:pt idx="189">
                  <c:v>11.3772264479302</c:v>
                </c:pt>
                <c:pt idx="190">
                  <c:v>10.6938595454007</c:v>
                </c:pt>
                <c:pt idx="191">
                  <c:v>10.6879240025992</c:v>
                </c:pt>
                <c:pt idx="192">
                  <c:v>10.6814807244841</c:v>
                </c:pt>
                <c:pt idx="193">
                  <c:v>10.6743869376822</c:v>
                </c:pt>
                <c:pt idx="194">
                  <c:v>10.666740822457999</c:v>
                </c:pt>
                <c:pt idx="195">
                  <c:v>10.0445107851562</c:v>
                </c:pt>
                <c:pt idx="196">
                  <c:v>10.016063318418601</c:v>
                </c:pt>
                <c:pt idx="197">
                  <c:v>9.9926098874275695</c:v>
                </c:pt>
                <c:pt idx="198">
                  <c:v>9.9719131332703501</c:v>
                </c:pt>
                <c:pt idx="199">
                  <c:v>9.9532720636974101</c:v>
                </c:pt>
                <c:pt idx="200">
                  <c:v>12.7764673016516</c:v>
                </c:pt>
                <c:pt idx="201">
                  <c:v>12.776464962460199</c:v>
                </c:pt>
                <c:pt idx="202">
                  <c:v>12.7764618577409</c:v>
                </c:pt>
                <c:pt idx="203">
                  <c:v>12.776457924889</c:v>
                </c:pt>
                <c:pt idx="204">
                  <c:v>12.7764531385252</c:v>
                </c:pt>
                <c:pt idx="205">
                  <c:v>12.0518185962625</c:v>
                </c:pt>
                <c:pt idx="206">
                  <c:v>12.0517782950367</c:v>
                </c:pt>
                <c:pt idx="207">
                  <c:v>12.051727077961999</c:v>
                </c:pt>
                <c:pt idx="208">
                  <c:v>12.0516631671462</c:v>
                </c:pt>
                <c:pt idx="209">
                  <c:v>12.051586313463099</c:v>
                </c:pt>
                <c:pt idx="210">
                  <c:v>11.3457332581158</c:v>
                </c:pt>
                <c:pt idx="211">
                  <c:v>11.345124425211701</c:v>
                </c:pt>
                <c:pt idx="212">
                  <c:v>11.344403899102501</c:v>
                </c:pt>
                <c:pt idx="213">
                  <c:v>11.3435399185046</c:v>
                </c:pt>
                <c:pt idx="214">
                  <c:v>11.342532332087099</c:v>
                </c:pt>
                <c:pt idx="215">
                  <c:v>10.670939353129899</c:v>
                </c:pt>
                <c:pt idx="216">
                  <c:v>10.6644182906617</c:v>
                </c:pt>
                <c:pt idx="217">
                  <c:v>10.6575313154953</c:v>
                </c:pt>
                <c:pt idx="218">
                  <c:v>10.650021494084699</c:v>
                </c:pt>
                <c:pt idx="219">
                  <c:v>10.6419550447928</c:v>
                </c:pt>
                <c:pt idx="220">
                  <c:v>10.0350166525447</c:v>
                </c:pt>
                <c:pt idx="221">
                  <c:v>10.004726212732299</c:v>
                </c:pt>
                <c:pt idx="222">
                  <c:v>9.9796975230816098</c:v>
                </c:pt>
                <c:pt idx="223">
                  <c:v>9.9575397757623492</c:v>
                </c:pt>
                <c:pt idx="224">
                  <c:v>9.9374961509858206</c:v>
                </c:pt>
                <c:pt idx="225">
                  <c:v>12.7886851663695</c:v>
                </c:pt>
                <c:pt idx="226">
                  <c:v>12.7886828719187</c:v>
                </c:pt>
                <c:pt idx="227">
                  <c:v>12.7886798188248</c:v>
                </c:pt>
                <c:pt idx="228">
                  <c:v>12.788675948645301</c:v>
                </c:pt>
                <c:pt idx="229">
                  <c:v>12.7886712478143</c:v>
                </c:pt>
                <c:pt idx="230">
                  <c:v>12.0622677101919</c:v>
                </c:pt>
                <c:pt idx="231">
                  <c:v>12.062227952134499</c:v>
                </c:pt>
                <c:pt idx="232">
                  <c:v>12.062177433895499</c:v>
                </c:pt>
                <c:pt idx="233">
                  <c:v>12.062114424868</c:v>
                </c:pt>
                <c:pt idx="234">
                  <c:v>12.062038659692</c:v>
                </c:pt>
                <c:pt idx="235">
                  <c:v>11.353898318324999</c:v>
                </c:pt>
                <c:pt idx="236">
                  <c:v>11.353299156227299</c:v>
                </c:pt>
                <c:pt idx="237">
                  <c:v>11.352587737512801</c:v>
                </c:pt>
                <c:pt idx="238">
                  <c:v>11.351734158250199</c:v>
                </c:pt>
                <c:pt idx="239">
                  <c:v>11.3507385897574</c:v>
                </c:pt>
                <c:pt idx="240">
                  <c:v>10.6763831025113</c:v>
                </c:pt>
                <c:pt idx="241">
                  <c:v>10.6699894674791</c:v>
                </c:pt>
                <c:pt idx="242">
                  <c:v>10.6632005721965</c:v>
                </c:pt>
                <c:pt idx="243">
                  <c:v>10.655784450249801</c:v>
                </c:pt>
                <c:pt idx="244">
                  <c:v>10.647813964012</c:v>
                </c:pt>
                <c:pt idx="245">
                  <c:v>10.0372950209909</c:v>
                </c:pt>
                <c:pt idx="246">
                  <c:v>10.007439483431799</c:v>
                </c:pt>
                <c:pt idx="247">
                  <c:v>9.9827809284263491</c:v>
                </c:pt>
                <c:pt idx="248">
                  <c:v>9.96096541303001</c:v>
                </c:pt>
                <c:pt idx="249">
                  <c:v>9.9412494674132894</c:v>
                </c:pt>
                <c:pt idx="250">
                  <c:v>12.7974921693441</c:v>
                </c:pt>
                <c:pt idx="251">
                  <c:v>12.797489900327699</c:v>
                </c:pt>
                <c:pt idx="252">
                  <c:v>12.7974868909803</c:v>
                </c:pt>
                <c:pt idx="253">
                  <c:v>12.797483068253101</c:v>
                </c:pt>
                <c:pt idx="254">
                  <c:v>12.7974784271609</c:v>
                </c:pt>
                <c:pt idx="255">
                  <c:v>12.0698148413049</c:v>
                </c:pt>
                <c:pt idx="256">
                  <c:v>12.069775477932099</c:v>
                </c:pt>
                <c:pt idx="257">
                  <c:v>12.0697254736888</c:v>
                </c:pt>
                <c:pt idx="258">
                  <c:v>12.069663110871801</c:v>
                </c:pt>
                <c:pt idx="259">
                  <c:v>12.0695881344021</c:v>
                </c:pt>
                <c:pt idx="260">
                  <c:v>11.3598037212553</c:v>
                </c:pt>
                <c:pt idx="261">
                  <c:v>11.359212233159299</c:v>
                </c:pt>
                <c:pt idx="262">
                  <c:v>11.358507663046799</c:v>
                </c:pt>
                <c:pt idx="263">
                  <c:v>11.3576617072237</c:v>
                </c:pt>
                <c:pt idx="264">
                  <c:v>11.356674894868799</c:v>
                </c:pt>
                <c:pt idx="265">
                  <c:v>10.680314186120199</c:v>
                </c:pt>
                <c:pt idx="266">
                  <c:v>10.674016661241</c:v>
                </c:pt>
                <c:pt idx="267">
                  <c:v>10.667301062452299</c:v>
                </c:pt>
                <c:pt idx="268">
                  <c:v>10.659954294925599</c:v>
                </c:pt>
                <c:pt idx="269">
                  <c:v>10.6520543603147</c:v>
                </c:pt>
                <c:pt idx="270">
                  <c:v>10.0389314262213</c:v>
                </c:pt>
                <c:pt idx="271">
                  <c:v>10.0093910805822</c:v>
                </c:pt>
                <c:pt idx="272">
                  <c:v>9.9850013969480091</c:v>
                </c:pt>
                <c:pt idx="273">
                  <c:v>9.9634348684653595</c:v>
                </c:pt>
                <c:pt idx="274">
                  <c:v>9.9439576284869702</c:v>
                </c:pt>
                <c:pt idx="275">
                  <c:v>12.804143119203999</c:v>
                </c:pt>
                <c:pt idx="276">
                  <c:v>12.804140869247099</c:v>
                </c:pt>
                <c:pt idx="277">
                  <c:v>12.804137891706</c:v>
                </c:pt>
                <c:pt idx="278">
                  <c:v>12.804134106951301</c:v>
                </c:pt>
                <c:pt idx="279">
                  <c:v>12.8041295151474</c:v>
                </c:pt>
                <c:pt idx="280">
                  <c:v>12.0755232856629</c:v>
                </c:pt>
                <c:pt idx="281">
                  <c:v>12.0754842492659</c:v>
                </c:pt>
                <c:pt idx="282">
                  <c:v>12.0754346475253</c:v>
                </c:pt>
                <c:pt idx="283">
                  <c:v>12.0753727634883</c:v>
                </c:pt>
                <c:pt idx="284">
                  <c:v>12.0752983822414</c:v>
                </c:pt>
                <c:pt idx="285">
                  <c:v>11.364275020570799</c:v>
                </c:pt>
                <c:pt idx="286">
                  <c:v>11.363689837124801</c:v>
                </c:pt>
                <c:pt idx="287">
                  <c:v>11.362990607305299</c:v>
                </c:pt>
                <c:pt idx="288">
                  <c:v>11.3621505174399</c:v>
                </c:pt>
                <c:pt idx="289">
                  <c:v>11.3611703894945</c:v>
                </c:pt>
                <c:pt idx="290">
                  <c:v>10.683286555194099</c:v>
                </c:pt>
                <c:pt idx="291">
                  <c:v>10.677064176469599</c:v>
                </c:pt>
                <c:pt idx="292">
                  <c:v>10.6704055401693</c:v>
                </c:pt>
                <c:pt idx="293">
                  <c:v>10.663112276835299</c:v>
                </c:pt>
                <c:pt idx="294">
                  <c:v>10.655266484818201</c:v>
                </c:pt>
                <c:pt idx="295">
                  <c:v>10.040163728727499</c:v>
                </c:pt>
                <c:pt idx="296">
                  <c:v>10.010862313862001</c:v>
                </c:pt>
                <c:pt idx="297">
                  <c:v>9.9866767753172496</c:v>
                </c:pt>
                <c:pt idx="298">
                  <c:v>9.96529954180847</c:v>
                </c:pt>
                <c:pt idx="299">
                  <c:v>9.9460039623838608</c:v>
                </c:pt>
                <c:pt idx="300">
                  <c:v>12.740538483724301</c:v>
                </c:pt>
                <c:pt idx="301">
                  <c:v>12.740536026848901</c:v>
                </c:pt>
                <c:pt idx="302">
                  <c:v>12.7405327610297</c:v>
                </c:pt>
                <c:pt idx="303">
                  <c:v>12.740528615464401</c:v>
                </c:pt>
                <c:pt idx="304">
                  <c:v>12.740523590887101</c:v>
                </c:pt>
                <c:pt idx="305">
                  <c:v>12.0212168252186</c:v>
                </c:pt>
                <c:pt idx="306">
                  <c:v>12.021175009816099</c:v>
                </c:pt>
                <c:pt idx="307">
                  <c:v>12.021121733362101</c:v>
                </c:pt>
                <c:pt idx="308">
                  <c:v>12.0210552054105</c:v>
                </c:pt>
                <c:pt idx="309">
                  <c:v>12.0209752004127</c:v>
                </c:pt>
                <c:pt idx="310">
                  <c:v>11.321889895455101</c:v>
                </c:pt>
                <c:pt idx="311">
                  <c:v>11.321256647392</c:v>
                </c:pt>
                <c:pt idx="312">
                  <c:v>11.3205108627097</c:v>
                </c:pt>
                <c:pt idx="313">
                  <c:v>11.3196171434112</c:v>
                </c:pt>
                <c:pt idx="314">
                  <c:v>11.3185748269815</c:v>
                </c:pt>
                <c:pt idx="315">
                  <c:v>10.6550020274791</c:v>
                </c:pt>
                <c:pt idx="316">
                  <c:v>10.648140233473701</c:v>
                </c:pt>
                <c:pt idx="317">
                  <c:v>10.640984689444201</c:v>
                </c:pt>
                <c:pt idx="318">
                  <c:v>10.6332126635095</c:v>
                </c:pt>
                <c:pt idx="319">
                  <c:v>10.624874168694401</c:v>
                </c:pt>
                <c:pt idx="320">
                  <c:v>10.028268082076901</c:v>
                </c:pt>
                <c:pt idx="321">
                  <c:v>9.9967157891344893</c:v>
                </c:pt>
                <c:pt idx="322">
                  <c:v>9.9706183300528597</c:v>
                </c:pt>
                <c:pt idx="323">
                  <c:v>9.9474756182750106</c:v>
                </c:pt>
                <c:pt idx="324">
                  <c:v>9.92649159072133</c:v>
                </c:pt>
                <c:pt idx="325">
                  <c:v>12.758372121777301</c:v>
                </c:pt>
                <c:pt idx="326">
                  <c:v>12.7583697228504</c:v>
                </c:pt>
                <c:pt idx="327">
                  <c:v>12.7583665330468</c:v>
                </c:pt>
                <c:pt idx="328">
                  <c:v>12.7583625019798</c:v>
                </c:pt>
                <c:pt idx="329">
                  <c:v>12.758357583649699</c:v>
                </c:pt>
                <c:pt idx="330">
                  <c:v>12.036384169512401</c:v>
                </c:pt>
                <c:pt idx="331">
                  <c:v>12.0363430975607</c:v>
                </c:pt>
                <c:pt idx="332">
                  <c:v>12.0362908373731</c:v>
                </c:pt>
                <c:pt idx="333">
                  <c:v>12.036225600331599</c:v>
                </c:pt>
                <c:pt idx="334">
                  <c:v>12.036147159981599</c:v>
                </c:pt>
                <c:pt idx="335">
                  <c:v>11.333695115689</c:v>
                </c:pt>
                <c:pt idx="336">
                  <c:v>11.333073397410599</c:v>
                </c:pt>
                <c:pt idx="337">
                  <c:v>11.332339919773201</c:v>
                </c:pt>
                <c:pt idx="338">
                  <c:v>11.3314608443597</c:v>
                </c:pt>
                <c:pt idx="339">
                  <c:v>11.3304356603717</c:v>
                </c:pt>
                <c:pt idx="340">
                  <c:v>10.662899100651799</c:v>
                </c:pt>
                <c:pt idx="341">
                  <c:v>10.656200619063799</c:v>
                </c:pt>
                <c:pt idx="342">
                  <c:v>10.6491750768957</c:v>
                </c:pt>
                <c:pt idx="343">
                  <c:v>10.6415309949091</c:v>
                </c:pt>
                <c:pt idx="344">
                  <c:v>10.633325856750201</c:v>
                </c:pt>
                <c:pt idx="345">
                  <c:v>10.0316263067511</c:v>
                </c:pt>
                <c:pt idx="346">
                  <c:v>10.000697087478899</c:v>
                </c:pt>
                <c:pt idx="347">
                  <c:v>9.9751264203907599</c:v>
                </c:pt>
                <c:pt idx="348">
                  <c:v>9.9524686157943201</c:v>
                </c:pt>
                <c:pt idx="349">
                  <c:v>9.9319470784167105</c:v>
                </c:pt>
                <c:pt idx="350">
                  <c:v>12.771269546131901</c:v>
                </c:pt>
                <c:pt idx="351">
                  <c:v>12.771267190908301</c:v>
                </c:pt>
                <c:pt idx="352">
                  <c:v>12.7712640651414</c:v>
                </c:pt>
                <c:pt idx="353">
                  <c:v>12.771260092060601</c:v>
                </c:pt>
                <c:pt idx="354">
                  <c:v>12.7712552666513</c:v>
                </c:pt>
                <c:pt idx="355">
                  <c:v>12.047380264088901</c:v>
                </c:pt>
                <c:pt idx="356">
                  <c:v>12.0473397414539</c:v>
                </c:pt>
                <c:pt idx="357">
                  <c:v>12.047288228342399</c:v>
                </c:pt>
                <c:pt idx="358">
                  <c:v>12.0472239271138</c:v>
                </c:pt>
                <c:pt idx="359">
                  <c:v>12.047146622943901</c:v>
                </c:pt>
                <c:pt idx="360">
                  <c:v>11.3422688825558</c:v>
                </c:pt>
                <c:pt idx="361">
                  <c:v>11.341656206735999</c:v>
                </c:pt>
                <c:pt idx="362">
                  <c:v>11.3409318862034</c:v>
                </c:pt>
                <c:pt idx="363">
                  <c:v>11.3400635430951</c:v>
                </c:pt>
                <c:pt idx="364">
                  <c:v>11.3390508746135</c:v>
                </c:pt>
                <c:pt idx="365">
                  <c:v>10.668627054689599</c:v>
                </c:pt>
                <c:pt idx="366">
                  <c:v>10.6620537205966</c:v>
                </c:pt>
                <c:pt idx="367">
                  <c:v>10.655126188855601</c:v>
                </c:pt>
                <c:pt idx="368">
                  <c:v>10.647577278979201</c:v>
                </c:pt>
                <c:pt idx="369">
                  <c:v>10.639470607702901</c:v>
                </c:pt>
                <c:pt idx="370">
                  <c:v>10.0340446611386</c:v>
                </c:pt>
                <c:pt idx="371">
                  <c:v>10.0035700860216</c:v>
                </c:pt>
                <c:pt idx="372">
                  <c:v>9.9783849638159499</c:v>
                </c:pt>
                <c:pt idx="373">
                  <c:v>9.9560827297664805</c:v>
                </c:pt>
                <c:pt idx="374">
                  <c:v>9.9359009251468695</c:v>
                </c:pt>
                <c:pt idx="375">
                  <c:v>12.781034064027599</c:v>
                </c:pt>
                <c:pt idx="376">
                  <c:v>12.7810317431365</c:v>
                </c:pt>
                <c:pt idx="377">
                  <c:v>12.781028659553099</c:v>
                </c:pt>
                <c:pt idx="378">
                  <c:v>12.781024751014799</c:v>
                </c:pt>
                <c:pt idx="379">
                  <c:v>12.781019989894199</c:v>
                </c:pt>
                <c:pt idx="380">
                  <c:v>12.055721506605</c:v>
                </c:pt>
                <c:pt idx="381">
                  <c:v>12.0556814120038</c:v>
                </c:pt>
                <c:pt idx="382">
                  <c:v>12.055630452930799</c:v>
                </c:pt>
                <c:pt idx="383">
                  <c:v>12.055566864572899</c:v>
                </c:pt>
                <c:pt idx="384">
                  <c:v>12.055490426997199</c:v>
                </c:pt>
                <c:pt idx="385">
                  <c:v>11.348781554140199</c:v>
                </c:pt>
                <c:pt idx="386">
                  <c:v>11.3481762127432</c:v>
                </c:pt>
                <c:pt idx="387">
                  <c:v>11.3474590616292</c:v>
                </c:pt>
                <c:pt idx="388">
                  <c:v>11.346598937247601</c:v>
                </c:pt>
                <c:pt idx="389">
                  <c:v>11.345595827629101</c:v>
                </c:pt>
                <c:pt idx="390">
                  <c:v>10.672972718269399</c:v>
                </c:pt>
                <c:pt idx="391">
                  <c:v>10.6664985403823</c:v>
                </c:pt>
                <c:pt idx="392">
                  <c:v>10.6596477657235</c:v>
                </c:pt>
                <c:pt idx="393">
                  <c:v>10.652172649745401</c:v>
                </c:pt>
                <c:pt idx="394">
                  <c:v>10.644141824258099</c:v>
                </c:pt>
                <c:pt idx="395">
                  <c:v>10.0358693164429</c:v>
                </c:pt>
                <c:pt idx="396">
                  <c:v>10.0057411164161</c:v>
                </c:pt>
                <c:pt idx="397">
                  <c:v>9.9808503800185697</c:v>
                </c:pt>
                <c:pt idx="398">
                  <c:v>9.9588201088907393</c:v>
                </c:pt>
                <c:pt idx="399">
                  <c:v>9.9388984907845401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FD-8945-99CC-9FE08748F0C9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strRef>
              <c:f>'E-Stat1'!$C$2:$C$401</c:f>
              <c:strCache>
                <c:ptCount val="400"/>
                <c:pt idx="9">
                  <c:v>SS</c:v>
                </c:pt>
                <c:pt idx="10">
                  <c:v>396,4875268</c:v>
                </c:pt>
                <c:pt idx="11">
                  <c:v>0,378086943</c:v>
                </c:pt>
                <c:pt idx="12">
                  <c:v>396,8656137</c:v>
                </c:pt>
                <c:pt idx="14">
                  <c:v>Standard Error</c:v>
                </c:pt>
                <c:pt idx="15">
                  <c:v>0,008930854</c:v>
                </c:pt>
                <c:pt idx="16">
                  <c:v>0,010910775</c:v>
                </c:pt>
                <c:pt idx="17">
                  <c:v>0,002182155</c:v>
                </c:pt>
                <c:pt idx="23">
                  <c:v>Residuals</c:v>
                </c:pt>
                <c:pt idx="24">
                  <c:v>0,049298707</c:v>
                </c:pt>
                <c:pt idx="25">
                  <c:v>0,055510675</c:v>
                </c:pt>
                <c:pt idx="26">
                  <c:v>0,061721901</c:v>
                </c:pt>
                <c:pt idx="27">
                  <c:v>0,067932365</c:v>
                </c:pt>
                <c:pt idx="28">
                  <c:v>0,074142066</c:v>
                </c:pt>
                <c:pt idx="29">
                  <c:v>0,018153942</c:v>
                </c:pt>
                <c:pt idx="30">
                  <c:v>0,02433382</c:v>
                </c:pt>
                <c:pt idx="31">
                  <c:v>0,030502015</c:v>
                </c:pt>
                <c:pt idx="32">
                  <c:v>0,036658161</c:v>
                </c:pt>
                <c:pt idx="33">
                  <c:v>0,042802327</c:v>
                </c:pt>
                <c:pt idx="34">
                  <c:v>0,002021778</c:v>
                </c:pt>
                <c:pt idx="35">
                  <c:v>0,007729167</c:v>
                </c:pt>
                <c:pt idx="36">
                  <c:v>0,013298154</c:v>
                </c:pt>
                <c:pt idx="37">
                  <c:v>0,018723169</c:v>
                </c:pt>
                <c:pt idx="38">
                  <c:v>0,024010832</c:v>
                </c:pt>
                <c:pt idx="39">
                  <c:v>0,013949722</c:v>
                </c:pt>
                <c:pt idx="40">
                  <c:v>0,014560467</c:v>
                </c:pt>
                <c:pt idx="41">
                  <c:v>0,014578875</c:v>
                </c:pt>
                <c:pt idx="42">
                  <c:v>0,013924262</c:v>
                </c:pt>
                <c:pt idx="43">
                  <c:v>0,012713729</c:v>
                </c:pt>
                <c:pt idx="44">
                  <c:v>0,062115704</c:v>
                </c:pt>
                <c:pt idx="45">
                  <c:v>0,040764681</c:v>
                </c:pt>
                <c:pt idx="46">
                  <c:v>0,02428604</c:v>
                </c:pt>
                <c:pt idx="47">
                  <c:v>0,010513432</c:v>
                </c:pt>
                <c:pt idx="48">
                  <c:v>-0,00122811</c:v>
                </c:pt>
                <c:pt idx="49">
                  <c:v>0,049298718</c:v>
                </c:pt>
                <c:pt idx="50">
                  <c:v>0,055510671</c:v>
                </c:pt>
                <c:pt idx="51">
                  <c:v>0,0617219</c:v>
                </c:pt>
                <c:pt idx="52">
                  <c:v>0,067932363</c:v>
                </c:pt>
                <c:pt idx="53">
                  <c:v>0,074142074</c:v>
                </c:pt>
                <c:pt idx="54">
                  <c:v>0,018153941</c:v>
                </c:pt>
                <c:pt idx="55">
                  <c:v>0,024333812</c:v>
                </c:pt>
                <c:pt idx="56">
                  <c:v>0,030502013</c:v>
                </c:pt>
                <c:pt idx="57">
                  <c:v>0,036658159</c:v>
                </c:pt>
                <c:pt idx="58">
                  <c:v>0,042802328</c:v>
                </c:pt>
                <c:pt idx="59">
                  <c:v>0,002021763</c:v>
                </c:pt>
                <c:pt idx="60">
                  <c:v>0,007729162</c:v>
                </c:pt>
                <c:pt idx="61">
                  <c:v>0,013298157</c:v>
                </c:pt>
                <c:pt idx="62">
                  <c:v>0,018723163</c:v>
                </c:pt>
                <c:pt idx="63">
                  <c:v>0,024010819</c:v>
                </c:pt>
                <c:pt idx="64">
                  <c:v>0,013949718</c:v>
                </c:pt>
                <c:pt idx="65">
                  <c:v>0,014560467</c:v>
                </c:pt>
                <c:pt idx="66">
                  <c:v>0,014578873</c:v>
                </c:pt>
                <c:pt idx="67">
                  <c:v>0,013924252</c:v>
                </c:pt>
                <c:pt idx="68">
                  <c:v>0,01271373</c:v>
                </c:pt>
                <c:pt idx="69">
                  <c:v>0,062115705</c:v>
                </c:pt>
                <c:pt idx="70">
                  <c:v>0,04076467</c:v>
                </c:pt>
                <c:pt idx="71">
                  <c:v>0,024286034</c:v>
                </c:pt>
                <c:pt idx="72">
                  <c:v>0,010513431</c:v>
                </c:pt>
                <c:pt idx="73">
                  <c:v>-0,001228113</c:v>
                </c:pt>
                <c:pt idx="74">
                  <c:v>0,049298714</c:v>
                </c:pt>
                <c:pt idx="75">
                  <c:v>0,055510675</c:v>
                </c:pt>
                <c:pt idx="76">
                  <c:v>0,061721903</c:v>
                </c:pt>
                <c:pt idx="77">
                  <c:v>0,067932368</c:v>
                </c:pt>
                <c:pt idx="78">
                  <c:v>0,074142068</c:v>
                </c:pt>
                <c:pt idx="79">
                  <c:v>0,018153943</c:v>
                </c:pt>
                <c:pt idx="80">
                  <c:v>0,024333819</c:v>
                </c:pt>
                <c:pt idx="81">
                  <c:v>0,030502022</c:v>
                </c:pt>
                <c:pt idx="82">
                  <c:v>0,036658155</c:v>
                </c:pt>
                <c:pt idx="83">
                  <c:v>0,042802323</c:v>
                </c:pt>
                <c:pt idx="84">
                  <c:v>0,002021763</c:v>
                </c:pt>
                <c:pt idx="85">
                  <c:v>0,007729163</c:v>
                </c:pt>
                <c:pt idx="86">
                  <c:v>0,013298158</c:v>
                </c:pt>
                <c:pt idx="87">
                  <c:v>0,018723159</c:v>
                </c:pt>
                <c:pt idx="88">
                  <c:v>0,024010826</c:v>
                </c:pt>
                <c:pt idx="89">
                  <c:v>0,013949726</c:v>
                </c:pt>
                <c:pt idx="90">
                  <c:v>0,014560454</c:v>
                </c:pt>
                <c:pt idx="91">
                  <c:v>0,014578885</c:v>
                </c:pt>
                <c:pt idx="92">
                  <c:v>0,013924256</c:v>
                </c:pt>
                <c:pt idx="93">
                  <c:v>0,012713726</c:v>
                </c:pt>
                <c:pt idx="94">
                  <c:v>0,062115718</c:v>
                </c:pt>
                <c:pt idx="95">
                  <c:v>0,040764677</c:v>
                </c:pt>
                <c:pt idx="96">
                  <c:v>0,024286035</c:v>
                </c:pt>
                <c:pt idx="97">
                  <c:v>0,010513437</c:v>
                </c:pt>
                <c:pt idx="98">
                  <c:v>-0,001228111</c:v>
                </c:pt>
                <c:pt idx="99">
                  <c:v>0,049298721</c:v>
                </c:pt>
                <c:pt idx="100">
                  <c:v>0,055510673</c:v>
                </c:pt>
                <c:pt idx="101">
                  <c:v>0,061721899</c:v>
                </c:pt>
                <c:pt idx="102">
                  <c:v>0,067932366</c:v>
                </c:pt>
                <c:pt idx="103">
                  <c:v>0,074142074</c:v>
                </c:pt>
                <c:pt idx="104">
                  <c:v>0,018153944</c:v>
                </c:pt>
                <c:pt idx="105">
                  <c:v>0,024333818</c:v>
                </c:pt>
                <c:pt idx="106">
                  <c:v>0,030502022</c:v>
                </c:pt>
                <c:pt idx="107">
                  <c:v>0,036658159</c:v>
                </c:pt>
                <c:pt idx="108">
                  <c:v>0,042802323</c:v>
                </c:pt>
                <c:pt idx="109">
                  <c:v>0,002021764</c:v>
                </c:pt>
                <c:pt idx="110">
                  <c:v>0,007729162</c:v>
                </c:pt>
                <c:pt idx="111">
                  <c:v>0,013298154</c:v>
                </c:pt>
                <c:pt idx="112">
                  <c:v>0,018723155</c:v>
                </c:pt>
                <c:pt idx="113">
                  <c:v>0,024010826</c:v>
                </c:pt>
                <c:pt idx="114">
                  <c:v>0,013949723</c:v>
                </c:pt>
                <c:pt idx="115">
                  <c:v>0,014560466</c:v>
                </c:pt>
                <c:pt idx="116">
                  <c:v>0,014578888</c:v>
                </c:pt>
                <c:pt idx="117">
                  <c:v>0,013924253</c:v>
                </c:pt>
                <c:pt idx="118">
                  <c:v>0,012713726</c:v>
                </c:pt>
                <c:pt idx="119">
                  <c:v>0,062115699</c:v>
                </c:pt>
                <c:pt idx="120">
                  <c:v>0,040764668</c:v>
                </c:pt>
                <c:pt idx="121">
                  <c:v>0,024286028</c:v>
                </c:pt>
                <c:pt idx="122">
                  <c:v>0,010513442</c:v>
                </c:pt>
                <c:pt idx="123">
                  <c:v>-0,00122812</c:v>
                </c:pt>
                <c:pt idx="124">
                  <c:v>0,010855503</c:v>
                </c:pt>
                <c:pt idx="125">
                  <c:v>0,017067241</c:v>
                </c:pt>
                <c:pt idx="126">
                  <c:v>0,023278264</c:v>
                </c:pt>
                <c:pt idx="127">
                  <c:v>0,029488488</c:v>
                </c:pt>
                <c:pt idx="128">
                  <c:v>0,035697906</c:v>
                </c:pt>
                <c:pt idx="129">
                  <c:v>-0,015111636</c:v>
                </c:pt>
                <c:pt idx="130">
                  <c:v>-0,00893625</c:v>
                </c:pt>
                <c:pt idx="131">
                  <c:v>-0,00277133</c:v>
                </c:pt>
                <c:pt idx="132">
                  <c:v>0,003381432</c:v>
                </c:pt>
                <c:pt idx="133">
                  <c:v>0,00952185</c:v>
                </c:pt>
                <c:pt idx="134">
                  <c:v>-0,024133053</c:v>
                </c:pt>
                <c:pt idx="135">
                  <c:v>-0,0184944</c:v>
                </c:pt>
                <c:pt idx="136">
                  <c:v>-0,012971727</c:v>
                </c:pt>
                <c:pt idx="137">
                  <c:v>-0,007589391</c:v>
                </c:pt>
                <c:pt idx="138">
                  <c:v>-0,002346021</c:v>
                </c:pt>
                <c:pt idx="139">
                  <c:v>-0,003280543</c:v>
                </c:pt>
                <c:pt idx="140">
                  <c:v>-0,003178945</c:v>
                </c:pt>
                <c:pt idx="141">
                  <c:v>-0,003540691</c:v>
                </c:pt>
                <c:pt idx="142">
                  <c:v>-0,004542684</c:v>
                </c:pt>
                <c:pt idx="143">
                  <c:v>-0,006096714</c:v>
                </c:pt>
                <c:pt idx="144">
                  <c:v>0,055100007</c:v>
                </c:pt>
                <c:pt idx="145">
                  <c:v>0,032350805</c:v>
                </c:pt>
                <c:pt idx="146">
                  <c:v>0,014668732</c:v>
                </c:pt>
                <c:pt idx="147">
                  <c:v>-0,000225774</c:v>
                </c:pt>
                <c:pt idx="148">
                  <c:v>-0,013049143</c:v>
                </c:pt>
                <c:pt idx="149">
                  <c:v>0,017155534</c:v>
                </c:pt>
                <c:pt idx="150">
                  <c:v>0,023367299</c:v>
                </c:pt>
                <c:pt idx="151">
                  <c:v>0,029578336</c:v>
                </c:pt>
                <c:pt idx="152">
                  <c:v>0,035788608</c:v>
                </c:pt>
                <c:pt idx="153">
                  <c:v>0,041998075</c:v>
                </c:pt>
                <c:pt idx="154">
                  <c:v>-0,009685046</c:v>
                </c:pt>
                <c:pt idx="155">
                  <c:v>-0,003509338</c:v>
                </c:pt>
                <c:pt idx="156">
                  <c:v>0,002655951</c:v>
                </c:pt>
                <c:pt idx="157">
                  <c:v>0,008809213</c:v>
                </c:pt>
                <c:pt idx="158">
                  <c:v>0,014950193</c:v>
                </c:pt>
                <c:pt idx="159">
                  <c:v>-0,019873447</c:v>
                </c:pt>
                <c:pt idx="160">
                  <c:v>-0,014227315</c:v>
                </c:pt>
                <c:pt idx="161">
                  <c:v>-0,008698959</c:v>
                </c:pt>
                <c:pt idx="162">
                  <c:v>-0,003310749</c:v>
                </c:pt>
                <c:pt idx="163">
                  <c:v>0,001939141</c:v>
                </c:pt>
                <c:pt idx="164">
                  <c:v>-0,000458922</c:v>
                </c:pt>
                <c:pt idx="165">
                  <c:v>-0,000280566</c:v>
                </c:pt>
                <c:pt idx="166">
                  <c:v>-0,000584741</c:v>
                </c:pt>
                <c:pt idx="167">
                  <c:v>-0,001533426</c:v>
                </c:pt>
                <c:pt idx="168">
                  <c:v>-0,003034123</c:v>
                </c:pt>
                <c:pt idx="169">
                  <c:v>0,056259696</c:v>
                </c:pt>
                <c:pt idx="170">
                  <c:v>0,033738435</c:v>
                </c:pt>
                <c:pt idx="171">
                  <c:v>0,01625182</c:v>
                </c:pt>
                <c:pt idx="172">
                  <c:v>0,001538996</c:v>
                </c:pt>
                <c:pt idx="173">
                  <c:v>-0,01110961</c:v>
                </c:pt>
                <c:pt idx="174">
                  <c:v>0,021679473</c:v>
                </c:pt>
                <c:pt idx="175">
                  <c:v>0,027891247</c:v>
                </c:pt>
                <c:pt idx="176">
                  <c:v>0,034102306</c:v>
                </c:pt>
                <c:pt idx="177">
                  <c:v>0,04031259</c:v>
                </c:pt>
                <c:pt idx="178">
                  <c:v>0,046522104</c:v>
                </c:pt>
                <c:pt idx="179">
                  <c:v>-0,005783061</c:v>
                </c:pt>
                <c:pt idx="180">
                  <c:v>0,000392905</c:v>
                </c:pt>
                <c:pt idx="181">
                  <c:v>0,006558482</c:v>
                </c:pt>
                <c:pt idx="182">
                  <c:v>0,012712076</c:v>
                </c:pt>
                <c:pt idx="183">
                  <c:v>0,018853466</c:v>
                </c:pt>
                <c:pt idx="184">
                  <c:v>-0,016808404</c:v>
                </c:pt>
                <c:pt idx="185">
                  <c:v>-0,011156329</c:v>
                </c:pt>
                <c:pt idx="186">
                  <c:v>-0,005623662</c:v>
                </c:pt>
                <c:pt idx="187">
                  <c:v>-0,000231123</c:v>
                </c:pt>
                <c:pt idx="188">
                  <c:v>0,00502354</c:v>
                </c:pt>
                <c:pt idx="189">
                  <c:v>0,00156841</c:v>
                </c:pt>
                <c:pt idx="190">
                  <c:v>0,001803352</c:v>
                </c:pt>
                <c:pt idx="191">
                  <c:v>0,001541532</c:v>
                </c:pt>
                <c:pt idx="192">
                  <c:v>0,000631871</c:v>
                </c:pt>
                <c:pt idx="193">
                  <c:v>-0,000829943</c:v>
                </c:pt>
                <c:pt idx="194">
                  <c:v>0,057090363</c:v>
                </c:pt>
                <c:pt idx="195">
                  <c:v>0,034733125</c:v>
                </c:pt>
                <c:pt idx="196">
                  <c:v>0,017387352</c:v>
                </c:pt>
                <c:pt idx="197">
                  <c:v>0,00280559</c:v>
                </c:pt>
                <c:pt idx="198">
                  <c:v>-0,009716887</c:v>
                </c:pt>
                <c:pt idx="199">
                  <c:v>0,025085981</c:v>
                </c:pt>
                <c:pt idx="200">
                  <c:v>0,031297764</c:v>
                </c:pt>
                <c:pt idx="201">
                  <c:v>0,037508845</c:v>
                </c:pt>
                <c:pt idx="202">
                  <c:v>0,043719151</c:v>
                </c:pt>
                <c:pt idx="203">
                  <c:v>0,049928677</c:v>
                </c:pt>
                <c:pt idx="204">
                  <c:v>-0,002841816</c:v>
                </c:pt>
                <c:pt idx="205">
                  <c:v>0,003334376</c:v>
                </c:pt>
                <c:pt idx="206">
                  <c:v>0,009500161</c:v>
                </c:pt>
                <c:pt idx="207">
                  <c:v>0,015654011</c:v>
                </c:pt>
                <c:pt idx="208">
                  <c:v>0,021795713</c:v>
                </c:pt>
                <c:pt idx="209">
                  <c:v>-0,014496848</c:v>
                </c:pt>
                <c:pt idx="210">
                  <c:v>-0,008839948</c:v>
                </c:pt>
                <c:pt idx="211">
                  <c:v>-0,003303853</c:v>
                </c:pt>
                <c:pt idx="212">
                  <c:v>0,002092047</c:v>
                </c:pt>
                <c:pt idx="213">
                  <c:v>0,007350328</c:v>
                </c:pt>
                <c:pt idx="214">
                  <c:v>0,003095502</c:v>
                </c:pt>
                <c:pt idx="215">
                  <c:v>0,003373914</c:v>
                </c:pt>
                <c:pt idx="216">
                  <c:v>0,00314459</c:v>
                </c:pt>
                <c:pt idx="217">
                  <c:v>0,002264757</c:v>
                </c:pt>
                <c:pt idx="218">
                  <c:v>0,000832596</c:v>
                </c:pt>
                <c:pt idx="219">
                  <c:v>0,057714636</c:v>
                </c:pt>
                <c:pt idx="220">
                  <c:v>0,035481123</c:v>
                </c:pt>
                <c:pt idx="221">
                  <c:v>0,018241646</c:v>
                </c:pt>
                <c:pt idx="222">
                  <c:v>0,003758847</c:v>
                </c:pt>
                <c:pt idx="223">
                  <c:v>-0,008668269</c:v>
                </c:pt>
                <c:pt idx="224">
                  <c:v>-0,026200422</c:v>
                </c:pt>
                <c:pt idx="225">
                  <c:v>-0,019988807</c:v>
                </c:pt>
                <c:pt idx="226">
                  <c:v>-0,013777958</c:v>
                </c:pt>
                <c:pt idx="227">
                  <c:v>-0,007567936</c:v>
                </c:pt>
                <c:pt idx="228">
                  <c:v>-0,001358768</c:v>
                </c:pt>
                <c:pt idx="229">
                  <c:v>-0,046881234</c:v>
                </c:pt>
                <c:pt idx="230">
                  <c:v>-0,040707581</c:v>
                </c:pt>
                <c:pt idx="231">
                  <c:v>-0,034544844</c:v>
                </c:pt>
                <c:pt idx="232">
                  <c:v>-0,0283948</c:v>
                </c:pt>
                <c:pt idx="233">
                  <c:v>-0,0222577</c:v>
                </c:pt>
                <c:pt idx="234">
                  <c:v>-0,048998679</c:v>
                </c:pt>
                <c:pt idx="235">
                  <c:v>-0,043393557</c:v>
                </c:pt>
                <c:pt idx="236">
                  <c:v>-0,037900129</c:v>
                </c:pt>
                <c:pt idx="237">
                  <c:v>-0,032550155</c:v>
                </c:pt>
                <c:pt idx="238">
                  <c:v>-0,027343788</c:v>
                </c:pt>
                <c:pt idx="239">
                  <c:v>-0,01982469</c:v>
                </c:pt>
                <c:pt idx="240">
                  <c:v>-0,020131798</c:v>
                </c:pt>
                <c:pt idx="241">
                  <c:v>-0,020804819</c:v>
                </c:pt>
                <c:pt idx="242">
                  <c:v>-0,022100686</c:v>
                </c:pt>
                <c:pt idx="243">
                  <c:v>-0,023953181</c:v>
                </c:pt>
                <c:pt idx="244">
                  <c:v>0,048220503</c:v>
                </c:pt>
                <c:pt idx="245">
                  <c:v>0,024144018</c:v>
                </c:pt>
                <c:pt idx="246">
                  <c:v>0,005329282</c:v>
                </c:pt>
                <c:pt idx="247">
                  <c:v>-0,010614511</c:v>
                </c:pt>
                <c:pt idx="248">
                  <c:v>-0,024444181</c:v>
                </c:pt>
                <c:pt idx="249">
                  <c:v>-0,013982558</c:v>
                </c:pt>
                <c:pt idx="250">
                  <c:v>-0,007770898</c:v>
                </c:pt>
                <c:pt idx="251">
                  <c:v>-0,001559997</c:v>
                </c:pt>
                <c:pt idx="252">
                  <c:v>0,004650087</c:v>
                </c:pt>
                <c:pt idx="253">
                  <c:v>0,010859341</c:v>
                </c:pt>
                <c:pt idx="254">
                  <c:v>-0,03643212</c:v>
                </c:pt>
                <c:pt idx="255">
                  <c:v>-0,030257924</c:v>
                </c:pt>
                <c:pt idx="256">
                  <c:v>-0,024094488</c:v>
                </c:pt>
                <c:pt idx="257">
                  <c:v>-0,017943543</c:v>
                </c:pt>
                <c:pt idx="258">
                  <c:v>-0,011805354</c:v>
                </c:pt>
                <c:pt idx="259">
                  <c:v>-0,040833618</c:v>
                </c:pt>
                <c:pt idx="260">
                  <c:v>-0,035218826</c:v>
                </c:pt>
                <c:pt idx="261">
                  <c:v>-0,029716291</c:v>
                </c:pt>
                <c:pt idx="262">
                  <c:v>-0,024355916</c:v>
                </c:pt>
                <c:pt idx="263">
                  <c:v>-0,01913753</c:v>
                </c:pt>
                <c:pt idx="264">
                  <c:v>-0,014380941</c:v>
                </c:pt>
                <c:pt idx="265">
                  <c:v>-0,014560621</c:v>
                </c:pt>
                <c:pt idx="266">
                  <c:v>-0,015135562</c:v>
                </c:pt>
                <c:pt idx="267">
                  <c:v>-0,01633773</c:v>
                </c:pt>
                <c:pt idx="268">
                  <c:v>-0,018094262</c:v>
                </c:pt>
                <c:pt idx="269">
                  <c:v>0,050498872</c:v>
                </c:pt>
                <c:pt idx="270">
                  <c:v>0,026857288</c:v>
                </c:pt>
                <c:pt idx="271">
                  <c:v>0,008412687</c:v>
                </c:pt>
                <c:pt idx="272">
                  <c:v>-0,007188874</c:v>
                </c:pt>
                <c:pt idx="273">
                  <c:v>-0,020690865</c:v>
                </c:pt>
                <c:pt idx="274">
                  <c:v>-0,005175555</c:v>
                </c:pt>
                <c:pt idx="275">
                  <c:v>0,001036131</c:v>
                </c:pt>
                <c:pt idx="276">
                  <c:v>0,007247076</c:v>
                </c:pt>
                <c:pt idx="277">
                  <c:v>0,013457207</c:v>
                </c:pt>
                <c:pt idx="278">
                  <c:v>0,01966652</c:v>
                </c:pt>
                <c:pt idx="279">
                  <c:v>-0,028884989</c:v>
                </c:pt>
                <c:pt idx="280">
                  <c:v>-0,022710398</c:v>
                </c:pt>
                <c:pt idx="281">
                  <c:v>-0,016546448</c:v>
                </c:pt>
                <c:pt idx="282">
                  <c:v>-0,010394857</c:v>
                </c:pt>
                <c:pt idx="283">
                  <c:v>-0,004255879</c:v>
                </c:pt>
                <c:pt idx="284">
                  <c:v>-0,034928215</c:v>
                </c:pt>
                <c:pt idx="285">
                  <c:v>-0,029305749</c:v>
                </c:pt>
                <c:pt idx="286">
                  <c:v>-0,023796365</c:v>
                </c:pt>
                <c:pt idx="287">
                  <c:v>-0,018428367</c:v>
                </c:pt>
                <c:pt idx="288">
                  <c:v>-0,013201225</c:v>
                </c:pt>
                <c:pt idx="289">
                  <c:v>-0,010449857</c:v>
                </c:pt>
                <c:pt idx="290">
                  <c:v>-0,010533428</c:v>
                </c:pt>
                <c:pt idx="291">
                  <c:v>-0,011035072</c:v>
                </c:pt>
                <c:pt idx="292">
                  <c:v>-0,012167885</c:v>
                </c:pt>
                <c:pt idx="293">
                  <c:v>-0,013853866</c:v>
                </c:pt>
                <c:pt idx="294">
                  <c:v>0,052135277</c:v>
                </c:pt>
                <c:pt idx="295">
                  <c:v>0,028808885</c:v>
                </c:pt>
                <c:pt idx="296">
                  <c:v>0,010633156</c:v>
                </c:pt>
                <c:pt idx="297">
                  <c:v>-0,004719418</c:v>
                </c:pt>
                <c:pt idx="298">
                  <c:v>-0,017982704</c:v>
                </c:pt>
                <c:pt idx="299">
                  <c:v>0,001475395</c:v>
                </c:pt>
                <c:pt idx="300">
                  <c:v>0,0076871</c:v>
                </c:pt>
                <c:pt idx="301">
                  <c:v>0,013898076</c:v>
                </c:pt>
                <c:pt idx="302">
                  <c:v>0,020108246</c:v>
                </c:pt>
                <c:pt idx="303">
                  <c:v>0,026317608</c:v>
                </c:pt>
                <c:pt idx="304">
                  <c:v>-0,023176545</c:v>
                </c:pt>
                <c:pt idx="305">
                  <c:v>-0,017001627</c:v>
                </c:pt>
                <c:pt idx="306">
                  <c:v>-0,010837274</c:v>
                </c:pt>
                <c:pt idx="307">
                  <c:v>-0,004685204</c:v>
                </c:pt>
                <c:pt idx="308">
                  <c:v>0,001454369</c:v>
                </c:pt>
                <c:pt idx="309">
                  <c:v>-0,030456916</c:v>
                </c:pt>
                <c:pt idx="310">
                  <c:v>-0,024828145</c:v>
                </c:pt>
                <c:pt idx="311">
                  <c:v>-0,019313421</c:v>
                </c:pt>
                <c:pt idx="312">
                  <c:v>-0,013939557</c:v>
                </c:pt>
                <c:pt idx="313">
                  <c:v>-0,00870573</c:v>
                </c:pt>
                <c:pt idx="314">
                  <c:v>-0,007477488</c:v>
                </c:pt>
                <c:pt idx="315">
                  <c:v>-0,007485912</c:v>
                </c:pt>
                <c:pt idx="316">
                  <c:v>-0,007930594</c:v>
                </c:pt>
                <c:pt idx="317">
                  <c:v>-0,009009903</c:v>
                </c:pt>
                <c:pt idx="318">
                  <c:v>-0,010641741</c:v>
                </c:pt>
                <c:pt idx="319">
                  <c:v>0,053367579</c:v>
                </c:pt>
                <c:pt idx="320">
                  <c:v>0,030280119</c:v>
                </c:pt>
                <c:pt idx="321">
                  <c:v>0,012308534</c:v>
                </c:pt>
                <c:pt idx="322">
                  <c:v>-0,002854745</c:v>
                </c:pt>
                <c:pt idx="323">
                  <c:v>-0,01593637</c:v>
                </c:pt>
                <c:pt idx="324">
                  <c:v>-0,06212924</c:v>
                </c:pt>
                <c:pt idx="325">
                  <c:v>-0,055917743</c:v>
                </c:pt>
                <c:pt idx="326">
                  <c:v>-0,049707054</c:v>
                </c:pt>
                <c:pt idx="327">
                  <c:v>-0,043497246</c:v>
                </c:pt>
                <c:pt idx="328">
                  <c:v>-0,037288316</c:v>
                </c:pt>
                <c:pt idx="329">
                  <c:v>-0,077483005</c:v>
                </c:pt>
                <c:pt idx="330">
                  <c:v>-0,071310866</c:v>
                </c:pt>
                <c:pt idx="331">
                  <c:v>-0,065150188</c:v>
                </c:pt>
                <c:pt idx="332">
                  <c:v>-0,059002762</c:v>
                </c:pt>
                <c:pt idx="333">
                  <c:v>-0,052868813</c:v>
                </c:pt>
                <c:pt idx="334">
                  <c:v>-0,072842041</c:v>
                </c:pt>
                <c:pt idx="335">
                  <c:v>-0,067261335</c:v>
                </c:pt>
                <c:pt idx="336">
                  <c:v>-0,061793165</c:v>
                </c:pt>
                <c:pt idx="337">
                  <c:v>-0,056472931</c:v>
                </c:pt>
                <c:pt idx="338">
                  <c:v>-0,051301293</c:v>
                </c:pt>
                <c:pt idx="339">
                  <c:v>-0,035762016</c:v>
                </c:pt>
                <c:pt idx="340">
                  <c:v>-0,036409855</c:v>
                </c:pt>
                <c:pt idx="341">
                  <c:v>-0,037351445</c:v>
                </c:pt>
                <c:pt idx="342">
                  <c:v>-0,038909517</c:v>
                </c:pt>
                <c:pt idx="343">
                  <c:v>-0,041034057</c:v>
                </c:pt>
                <c:pt idx="344">
                  <c:v>0,041471933</c:v>
                </c:pt>
                <c:pt idx="345">
                  <c:v>0,016133594</c:v>
                </c:pt>
                <c:pt idx="346">
                  <c:v>-0,003749911</c:v>
                </c:pt>
                <c:pt idx="347">
                  <c:v>-0,020678668</c:v>
                </c:pt>
                <c:pt idx="348">
                  <c:v>-0,035448742</c:v>
                </c:pt>
                <c:pt idx="349">
                  <c:v>-0,044295602</c:v>
                </c:pt>
                <c:pt idx="350">
                  <c:v>-0,038084047</c:v>
                </c:pt>
                <c:pt idx="351">
                  <c:v>-0,031873282</c:v>
                </c:pt>
                <c:pt idx="352">
                  <c:v>-0,025663359</c:v>
                </c:pt>
                <c:pt idx="353">
                  <c:v>-0,019454323</c:v>
                </c:pt>
                <c:pt idx="354">
                  <c:v>-0,062315661</c:v>
                </c:pt>
                <c:pt idx="355">
                  <c:v>-0,056142778</c:v>
                </c:pt>
                <c:pt idx="356">
                  <c:v>-0,049981084</c:v>
                </c:pt>
                <c:pt idx="357">
                  <c:v>-0,043832367</c:v>
                </c:pt>
                <c:pt idx="358">
                  <c:v>-0,037696853</c:v>
                </c:pt>
                <c:pt idx="359">
                  <c:v>-0,061036821</c:v>
                </c:pt>
                <c:pt idx="360">
                  <c:v>-0,055444585</c:v>
                </c:pt>
                <c:pt idx="361">
                  <c:v>-0,049964108</c:v>
                </c:pt>
                <c:pt idx="362">
                  <c:v>-0,04462923</c:v>
                </c:pt>
                <c:pt idx="363">
                  <c:v>-0,039440459</c:v>
                </c:pt>
                <c:pt idx="364">
                  <c:v>-0,027864942</c:v>
                </c:pt>
                <c:pt idx="365">
                  <c:v>-0,02834947</c:v>
                </c:pt>
                <c:pt idx="366">
                  <c:v>-0,029161058</c:v>
                </c:pt>
                <c:pt idx="367">
                  <c:v>-0,030591185</c:v>
                </c:pt>
                <c:pt idx="368">
                  <c:v>-0,032582369</c:v>
                </c:pt>
                <c:pt idx="369">
                  <c:v>0,044830157</c:v>
                </c:pt>
                <c:pt idx="370">
                  <c:v>0,020114892</c:v>
                </c:pt>
                <c:pt idx="371">
                  <c:v>0,000758179</c:v>
                </c:pt>
                <c:pt idx="372">
                  <c:v>-0,015685671</c:v>
                </c:pt>
                <c:pt idx="373">
                  <c:v>-0,029993254</c:v>
                </c:pt>
                <c:pt idx="374">
                  <c:v>-0,031398178</c:v>
                </c:pt>
                <c:pt idx="375">
                  <c:v>-0,025186579</c:v>
                </c:pt>
                <c:pt idx="376">
                  <c:v>-0,01897575</c:v>
                </c:pt>
                <c:pt idx="377">
                  <c:v>-0,012765769</c:v>
                </c:pt>
                <c:pt idx="378">
                  <c:v>-0,00655664</c:v>
                </c:pt>
                <c:pt idx="379">
                  <c:v>-0,051319566</c:v>
                </c:pt>
                <c:pt idx="380">
                  <c:v>-0,045146135</c:v>
                </c:pt>
                <c:pt idx="381">
                  <c:v>-0,038983693</c:v>
                </c:pt>
                <c:pt idx="382">
                  <c:v>-0,03283404</c:v>
                </c:pt>
                <c:pt idx="383">
                  <c:v>-0,02669739</c:v>
                </c:pt>
                <c:pt idx="384">
                  <c:v>-0,052463054</c:v>
                </c:pt>
                <c:pt idx="385">
                  <c:v>-0,046861776</c:v>
                </c:pt>
                <c:pt idx="386">
                  <c:v>-0,041372142</c:v>
                </c:pt>
                <c:pt idx="387">
                  <c:v>-0,036026531</c:v>
                </c:pt>
                <c:pt idx="388">
                  <c:v>-0,030825245</c:v>
                </c:pt>
                <c:pt idx="389">
                  <c:v>-0,022136988</c:v>
                </c:pt>
                <c:pt idx="390">
                  <c:v>-0,022496368</c:v>
                </c:pt>
                <c:pt idx="391">
                  <c:v>-0,023209946</c:v>
                </c:pt>
                <c:pt idx="392">
                  <c:v>-0,024544901</c:v>
                </c:pt>
                <c:pt idx="393">
                  <c:v>-0,026437618</c:v>
                </c:pt>
                <c:pt idx="394">
                  <c:v>0,047248512</c:v>
                </c:pt>
                <c:pt idx="395">
                  <c:v>0,022987891</c:v>
                </c:pt>
                <c:pt idx="396">
                  <c:v>0,004016723</c:v>
                </c:pt>
                <c:pt idx="397">
                  <c:v>-0,012071557</c:v>
                </c:pt>
                <c:pt idx="398">
                  <c:v>-0,026039407</c:v>
                </c:pt>
                <c:pt idx="399">
                  <c:v>-0,02163366</c:v>
                </c:pt>
              </c:strCache>
            </c:strRef>
          </c:xVal>
          <c:yVal>
            <c:numRef>
              <c:f>'E-Stat1'!$B$26:$B$425</c:f>
              <c:numCache>
                <c:formatCode>General</c:formatCode>
                <c:ptCount val="400"/>
                <c:pt idx="0">
                  <c:v>12.80266772390431</c:v>
                </c:pt>
                <c:pt idx="1">
                  <c:v>12.796453769657354</c:v>
                </c:pt>
                <c:pt idx="2">
                  <c:v>12.7902398154104</c:v>
                </c:pt>
                <c:pt idx="3">
                  <c:v>12.784025861163444</c:v>
                </c:pt>
                <c:pt idx="4">
                  <c:v>12.777811906916488</c:v>
                </c:pt>
                <c:pt idx="5">
                  <c:v>12.098699830294372</c:v>
                </c:pt>
                <c:pt idx="6">
                  <c:v>12.092485876047416</c:v>
                </c:pt>
                <c:pt idx="7">
                  <c:v>12.086271921800462</c:v>
                </c:pt>
                <c:pt idx="8">
                  <c:v>12.080057967553506</c:v>
                </c:pt>
                <c:pt idx="9">
                  <c:v>12.07384401330655</c:v>
                </c:pt>
                <c:pt idx="10">
                  <c:v>11.394731936684433</c:v>
                </c:pt>
                <c:pt idx="11">
                  <c:v>11.388517982437477</c:v>
                </c:pt>
                <c:pt idx="12">
                  <c:v>11.382304028190523</c:v>
                </c:pt>
                <c:pt idx="13">
                  <c:v>11.376090073943567</c:v>
                </c:pt>
                <c:pt idx="14">
                  <c:v>11.369876119696611</c:v>
                </c:pt>
                <c:pt idx="15">
                  <c:v>10.690764043074495</c:v>
                </c:pt>
                <c:pt idx="16">
                  <c:v>10.684550088827539</c:v>
                </c:pt>
                <c:pt idx="17">
                  <c:v>10.678336134580585</c:v>
                </c:pt>
                <c:pt idx="18">
                  <c:v>10.672122180333629</c:v>
                </c:pt>
                <c:pt idx="19">
                  <c:v>10.665908226086673</c:v>
                </c:pt>
                <c:pt idx="20">
                  <c:v>9.9867961494645563</c:v>
                </c:pt>
                <c:pt idx="21">
                  <c:v>9.9805821952176004</c:v>
                </c:pt>
                <c:pt idx="22">
                  <c:v>9.9743682409706462</c:v>
                </c:pt>
                <c:pt idx="23">
                  <c:v>9.9681542867236903</c:v>
                </c:pt>
                <c:pt idx="24">
                  <c:v>9.9619403324767344</c:v>
                </c:pt>
                <c:pt idx="25">
                  <c:v>12.80266772390431</c:v>
                </c:pt>
                <c:pt idx="26">
                  <c:v>12.796453769657354</c:v>
                </c:pt>
                <c:pt idx="27">
                  <c:v>12.7902398154104</c:v>
                </c:pt>
                <c:pt idx="28">
                  <c:v>12.784025861163444</c:v>
                </c:pt>
                <c:pt idx="29">
                  <c:v>12.777811906916488</c:v>
                </c:pt>
                <c:pt idx="30">
                  <c:v>12.098699830294372</c:v>
                </c:pt>
                <c:pt idx="31">
                  <c:v>12.092485876047416</c:v>
                </c:pt>
                <c:pt idx="32">
                  <c:v>12.086271921800462</c:v>
                </c:pt>
                <c:pt idx="33">
                  <c:v>12.080057967553506</c:v>
                </c:pt>
                <c:pt idx="34">
                  <c:v>12.07384401330655</c:v>
                </c:pt>
                <c:pt idx="35">
                  <c:v>11.394731936684433</c:v>
                </c:pt>
                <c:pt idx="36">
                  <c:v>11.388517982437477</c:v>
                </c:pt>
                <c:pt idx="37">
                  <c:v>11.382304028190523</c:v>
                </c:pt>
                <c:pt idx="38">
                  <c:v>11.376090073943567</c:v>
                </c:pt>
                <c:pt idx="39">
                  <c:v>11.369876119696611</c:v>
                </c:pt>
                <c:pt idx="40">
                  <c:v>10.690764043074495</c:v>
                </c:pt>
                <c:pt idx="41">
                  <c:v>10.684550088827539</c:v>
                </c:pt>
                <c:pt idx="42">
                  <c:v>10.678336134580585</c:v>
                </c:pt>
                <c:pt idx="43">
                  <c:v>10.672122180333629</c:v>
                </c:pt>
                <c:pt idx="44">
                  <c:v>10.665908226086673</c:v>
                </c:pt>
                <c:pt idx="45">
                  <c:v>9.9867961494645563</c:v>
                </c:pt>
                <c:pt idx="46">
                  <c:v>9.9805821952176004</c:v>
                </c:pt>
                <c:pt idx="47">
                  <c:v>9.9743682409706462</c:v>
                </c:pt>
                <c:pt idx="48">
                  <c:v>9.9681542867236903</c:v>
                </c:pt>
                <c:pt idx="49">
                  <c:v>9.9619403324767344</c:v>
                </c:pt>
                <c:pt idx="50">
                  <c:v>12.80266772390431</c:v>
                </c:pt>
                <c:pt idx="51">
                  <c:v>12.796453769657354</c:v>
                </c:pt>
                <c:pt idx="52">
                  <c:v>12.7902398154104</c:v>
                </c:pt>
                <c:pt idx="53">
                  <c:v>12.784025861163444</c:v>
                </c:pt>
                <c:pt idx="54">
                  <c:v>12.777811906916488</c:v>
                </c:pt>
                <c:pt idx="55">
                  <c:v>12.098699830294372</c:v>
                </c:pt>
                <c:pt idx="56">
                  <c:v>12.092485876047416</c:v>
                </c:pt>
                <c:pt idx="57">
                  <c:v>12.086271921800462</c:v>
                </c:pt>
                <c:pt idx="58">
                  <c:v>12.080057967553506</c:v>
                </c:pt>
                <c:pt idx="59">
                  <c:v>12.07384401330655</c:v>
                </c:pt>
                <c:pt idx="60">
                  <c:v>11.394731936684433</c:v>
                </c:pt>
                <c:pt idx="61">
                  <c:v>11.388517982437477</c:v>
                </c:pt>
                <c:pt idx="62">
                  <c:v>11.382304028190523</c:v>
                </c:pt>
                <c:pt idx="63">
                  <c:v>11.376090073943567</c:v>
                </c:pt>
                <c:pt idx="64">
                  <c:v>11.369876119696611</c:v>
                </c:pt>
                <c:pt idx="65">
                  <c:v>10.690764043074495</c:v>
                </c:pt>
                <c:pt idx="66">
                  <c:v>10.684550088827539</c:v>
                </c:pt>
                <c:pt idx="67">
                  <c:v>10.678336134580585</c:v>
                </c:pt>
                <c:pt idx="68">
                  <c:v>10.672122180333629</c:v>
                </c:pt>
                <c:pt idx="69">
                  <c:v>10.665908226086673</c:v>
                </c:pt>
                <c:pt idx="70">
                  <c:v>9.9867961494645563</c:v>
                </c:pt>
                <c:pt idx="71">
                  <c:v>9.9805821952176004</c:v>
                </c:pt>
                <c:pt idx="72">
                  <c:v>9.9743682409706462</c:v>
                </c:pt>
                <c:pt idx="73">
                  <c:v>9.9681542867236903</c:v>
                </c:pt>
                <c:pt idx="74">
                  <c:v>9.9619403324767344</c:v>
                </c:pt>
                <c:pt idx="75">
                  <c:v>12.80266772390431</c:v>
                </c:pt>
                <c:pt idx="76">
                  <c:v>12.796453769657354</c:v>
                </c:pt>
                <c:pt idx="77">
                  <c:v>12.7902398154104</c:v>
                </c:pt>
                <c:pt idx="78">
                  <c:v>12.784025861163444</c:v>
                </c:pt>
                <c:pt idx="79">
                  <c:v>12.777811906916488</c:v>
                </c:pt>
                <c:pt idx="80">
                  <c:v>12.098699830294372</c:v>
                </c:pt>
                <c:pt idx="81">
                  <c:v>12.092485876047416</c:v>
                </c:pt>
                <c:pt idx="82">
                  <c:v>12.086271921800462</c:v>
                </c:pt>
                <c:pt idx="83">
                  <c:v>12.080057967553506</c:v>
                </c:pt>
                <c:pt idx="84">
                  <c:v>12.07384401330655</c:v>
                </c:pt>
                <c:pt idx="85">
                  <c:v>11.394731936684433</c:v>
                </c:pt>
                <c:pt idx="86">
                  <c:v>11.388517982437477</c:v>
                </c:pt>
                <c:pt idx="87">
                  <c:v>11.382304028190523</c:v>
                </c:pt>
                <c:pt idx="88">
                  <c:v>11.376090073943567</c:v>
                </c:pt>
                <c:pt idx="89">
                  <c:v>11.369876119696611</c:v>
                </c:pt>
                <c:pt idx="90">
                  <c:v>10.690764043074495</c:v>
                </c:pt>
                <c:pt idx="91">
                  <c:v>10.684550088827539</c:v>
                </c:pt>
                <c:pt idx="92">
                  <c:v>10.678336134580585</c:v>
                </c:pt>
                <c:pt idx="93">
                  <c:v>10.672122180333629</c:v>
                </c:pt>
                <c:pt idx="94">
                  <c:v>10.665908226086673</c:v>
                </c:pt>
                <c:pt idx="95">
                  <c:v>9.9867961494645563</c:v>
                </c:pt>
                <c:pt idx="96">
                  <c:v>9.9805821952176004</c:v>
                </c:pt>
                <c:pt idx="97">
                  <c:v>9.9743682409706462</c:v>
                </c:pt>
                <c:pt idx="98">
                  <c:v>9.9681542867236903</c:v>
                </c:pt>
                <c:pt idx="99">
                  <c:v>9.9619403324767344</c:v>
                </c:pt>
                <c:pt idx="100">
                  <c:v>12.80266772390431</c:v>
                </c:pt>
                <c:pt idx="101">
                  <c:v>12.796453769657354</c:v>
                </c:pt>
                <c:pt idx="102">
                  <c:v>12.7902398154104</c:v>
                </c:pt>
                <c:pt idx="103">
                  <c:v>12.784025861163444</c:v>
                </c:pt>
                <c:pt idx="104">
                  <c:v>12.777811906916488</c:v>
                </c:pt>
                <c:pt idx="105">
                  <c:v>12.098699830294372</c:v>
                </c:pt>
                <c:pt idx="106">
                  <c:v>12.092485876047416</c:v>
                </c:pt>
                <c:pt idx="107">
                  <c:v>12.086271921800462</c:v>
                </c:pt>
                <c:pt idx="108">
                  <c:v>12.080057967553506</c:v>
                </c:pt>
                <c:pt idx="109">
                  <c:v>12.07384401330655</c:v>
                </c:pt>
                <c:pt idx="110">
                  <c:v>11.394731936684433</c:v>
                </c:pt>
                <c:pt idx="111">
                  <c:v>11.388517982437477</c:v>
                </c:pt>
                <c:pt idx="112">
                  <c:v>11.382304028190523</c:v>
                </c:pt>
                <c:pt idx="113">
                  <c:v>11.376090073943567</c:v>
                </c:pt>
                <c:pt idx="114">
                  <c:v>11.369876119696611</c:v>
                </c:pt>
                <c:pt idx="115">
                  <c:v>10.690764043074495</c:v>
                </c:pt>
                <c:pt idx="116">
                  <c:v>10.684550088827539</c:v>
                </c:pt>
                <c:pt idx="117">
                  <c:v>10.678336134580585</c:v>
                </c:pt>
                <c:pt idx="118">
                  <c:v>10.672122180333629</c:v>
                </c:pt>
                <c:pt idx="119">
                  <c:v>10.665908226086673</c:v>
                </c:pt>
                <c:pt idx="120">
                  <c:v>9.9867961494645563</c:v>
                </c:pt>
                <c:pt idx="121">
                  <c:v>9.9805821952176004</c:v>
                </c:pt>
                <c:pt idx="122">
                  <c:v>9.9743682409706462</c:v>
                </c:pt>
                <c:pt idx="123">
                  <c:v>9.9681542867236903</c:v>
                </c:pt>
                <c:pt idx="124">
                  <c:v>9.9619403324767344</c:v>
                </c:pt>
                <c:pt idx="125">
                  <c:v>12.80266772390431</c:v>
                </c:pt>
                <c:pt idx="126">
                  <c:v>12.796453769657354</c:v>
                </c:pt>
                <c:pt idx="127">
                  <c:v>12.7902398154104</c:v>
                </c:pt>
                <c:pt idx="128">
                  <c:v>12.784025861163444</c:v>
                </c:pt>
                <c:pt idx="129">
                  <c:v>12.777811906916488</c:v>
                </c:pt>
                <c:pt idx="130">
                  <c:v>12.098699830294372</c:v>
                </c:pt>
                <c:pt idx="131">
                  <c:v>12.092485876047416</c:v>
                </c:pt>
                <c:pt idx="132">
                  <c:v>12.086271921800462</c:v>
                </c:pt>
                <c:pt idx="133">
                  <c:v>12.080057967553506</c:v>
                </c:pt>
                <c:pt idx="134">
                  <c:v>12.07384401330655</c:v>
                </c:pt>
                <c:pt idx="135">
                  <c:v>11.394731936684433</c:v>
                </c:pt>
                <c:pt idx="136">
                  <c:v>11.388517982437477</c:v>
                </c:pt>
                <c:pt idx="137">
                  <c:v>11.382304028190523</c:v>
                </c:pt>
                <c:pt idx="138">
                  <c:v>11.376090073943567</c:v>
                </c:pt>
                <c:pt idx="139">
                  <c:v>11.369876119696611</c:v>
                </c:pt>
                <c:pt idx="140">
                  <c:v>10.690764043074495</c:v>
                </c:pt>
                <c:pt idx="141">
                  <c:v>10.684550088827539</c:v>
                </c:pt>
                <c:pt idx="142">
                  <c:v>10.678336134580585</c:v>
                </c:pt>
                <c:pt idx="143">
                  <c:v>10.672122180333629</c:v>
                </c:pt>
                <c:pt idx="144">
                  <c:v>10.665908226086673</c:v>
                </c:pt>
                <c:pt idx="145">
                  <c:v>9.9867961494645563</c:v>
                </c:pt>
                <c:pt idx="146">
                  <c:v>9.9805821952176004</c:v>
                </c:pt>
                <c:pt idx="147">
                  <c:v>9.9743682409706462</c:v>
                </c:pt>
                <c:pt idx="148">
                  <c:v>9.9681542867236903</c:v>
                </c:pt>
                <c:pt idx="149">
                  <c:v>9.9619403324767344</c:v>
                </c:pt>
                <c:pt idx="150">
                  <c:v>12.80266772390431</c:v>
                </c:pt>
                <c:pt idx="151">
                  <c:v>12.796453769657354</c:v>
                </c:pt>
                <c:pt idx="152">
                  <c:v>12.7902398154104</c:v>
                </c:pt>
                <c:pt idx="153">
                  <c:v>12.784025861163444</c:v>
                </c:pt>
                <c:pt idx="154">
                  <c:v>12.777811906916488</c:v>
                </c:pt>
                <c:pt idx="155">
                  <c:v>12.098699830294372</c:v>
                </c:pt>
                <c:pt idx="156">
                  <c:v>12.092485876047416</c:v>
                </c:pt>
                <c:pt idx="157">
                  <c:v>12.086271921800462</c:v>
                </c:pt>
                <c:pt idx="158">
                  <c:v>12.080057967553506</c:v>
                </c:pt>
                <c:pt idx="159">
                  <c:v>12.07384401330655</c:v>
                </c:pt>
                <c:pt idx="160">
                  <c:v>11.394731936684433</c:v>
                </c:pt>
                <c:pt idx="161">
                  <c:v>11.388517982437477</c:v>
                </c:pt>
                <c:pt idx="162">
                  <c:v>11.382304028190523</c:v>
                </c:pt>
                <c:pt idx="163">
                  <c:v>11.376090073943567</c:v>
                </c:pt>
                <c:pt idx="164">
                  <c:v>11.369876119696611</c:v>
                </c:pt>
                <c:pt idx="165">
                  <c:v>10.690764043074495</c:v>
                </c:pt>
                <c:pt idx="166">
                  <c:v>10.684550088827539</c:v>
                </c:pt>
                <c:pt idx="167">
                  <c:v>10.678336134580585</c:v>
                </c:pt>
                <c:pt idx="168">
                  <c:v>10.672122180333629</c:v>
                </c:pt>
                <c:pt idx="169">
                  <c:v>10.665908226086673</c:v>
                </c:pt>
                <c:pt idx="170">
                  <c:v>9.9867961494645563</c:v>
                </c:pt>
                <c:pt idx="171">
                  <c:v>9.9805821952176004</c:v>
                </c:pt>
                <c:pt idx="172">
                  <c:v>9.9743682409706462</c:v>
                </c:pt>
                <c:pt idx="173">
                  <c:v>9.9681542867236903</c:v>
                </c:pt>
                <c:pt idx="174">
                  <c:v>9.9619403324767344</c:v>
                </c:pt>
                <c:pt idx="175">
                  <c:v>12.80266772390431</c:v>
                </c:pt>
                <c:pt idx="176">
                  <c:v>12.796453769657354</c:v>
                </c:pt>
                <c:pt idx="177">
                  <c:v>12.7902398154104</c:v>
                </c:pt>
                <c:pt idx="178">
                  <c:v>12.784025861163444</c:v>
                </c:pt>
                <c:pt idx="179">
                  <c:v>12.777811906916488</c:v>
                </c:pt>
                <c:pt idx="180">
                  <c:v>12.098699830294372</c:v>
                </c:pt>
                <c:pt idx="181">
                  <c:v>12.092485876047416</c:v>
                </c:pt>
                <c:pt idx="182">
                  <c:v>12.086271921800462</c:v>
                </c:pt>
                <c:pt idx="183">
                  <c:v>12.080057967553506</c:v>
                </c:pt>
                <c:pt idx="184">
                  <c:v>12.07384401330655</c:v>
                </c:pt>
                <c:pt idx="185">
                  <c:v>11.394731936684433</c:v>
                </c:pt>
                <c:pt idx="186">
                  <c:v>11.388517982437477</c:v>
                </c:pt>
                <c:pt idx="187">
                  <c:v>11.382304028190523</c:v>
                </c:pt>
                <c:pt idx="188">
                  <c:v>11.376090073943567</c:v>
                </c:pt>
                <c:pt idx="189">
                  <c:v>11.369876119696611</c:v>
                </c:pt>
                <c:pt idx="190">
                  <c:v>10.690764043074495</c:v>
                </c:pt>
                <c:pt idx="191">
                  <c:v>10.684550088827539</c:v>
                </c:pt>
                <c:pt idx="192">
                  <c:v>10.678336134580585</c:v>
                </c:pt>
                <c:pt idx="193">
                  <c:v>10.672122180333629</c:v>
                </c:pt>
                <c:pt idx="194">
                  <c:v>10.665908226086673</c:v>
                </c:pt>
                <c:pt idx="195">
                  <c:v>9.9867961494645563</c:v>
                </c:pt>
                <c:pt idx="196">
                  <c:v>9.9805821952176004</c:v>
                </c:pt>
                <c:pt idx="197">
                  <c:v>9.9743682409706462</c:v>
                </c:pt>
                <c:pt idx="198">
                  <c:v>9.9681542867236903</c:v>
                </c:pt>
                <c:pt idx="199">
                  <c:v>9.9619403324767344</c:v>
                </c:pt>
                <c:pt idx="200">
                  <c:v>12.80266772390431</c:v>
                </c:pt>
                <c:pt idx="201">
                  <c:v>12.796453769657354</c:v>
                </c:pt>
                <c:pt idx="202">
                  <c:v>12.7902398154104</c:v>
                </c:pt>
                <c:pt idx="203">
                  <c:v>12.784025861163444</c:v>
                </c:pt>
                <c:pt idx="204">
                  <c:v>12.777811906916488</c:v>
                </c:pt>
                <c:pt idx="205">
                  <c:v>12.098699830294372</c:v>
                </c:pt>
                <c:pt idx="206">
                  <c:v>12.092485876047416</c:v>
                </c:pt>
                <c:pt idx="207">
                  <c:v>12.086271921800462</c:v>
                </c:pt>
                <c:pt idx="208">
                  <c:v>12.080057967553506</c:v>
                </c:pt>
                <c:pt idx="209">
                  <c:v>12.07384401330655</c:v>
                </c:pt>
                <c:pt idx="210">
                  <c:v>11.394731936684433</c:v>
                </c:pt>
                <c:pt idx="211">
                  <c:v>11.388517982437477</c:v>
                </c:pt>
                <c:pt idx="212">
                  <c:v>11.382304028190523</c:v>
                </c:pt>
                <c:pt idx="213">
                  <c:v>11.376090073943567</c:v>
                </c:pt>
                <c:pt idx="214">
                  <c:v>11.369876119696611</c:v>
                </c:pt>
                <c:pt idx="215">
                  <c:v>10.690764043074495</c:v>
                </c:pt>
                <c:pt idx="216">
                  <c:v>10.684550088827539</c:v>
                </c:pt>
                <c:pt idx="217">
                  <c:v>10.678336134580585</c:v>
                </c:pt>
                <c:pt idx="218">
                  <c:v>10.672122180333629</c:v>
                </c:pt>
                <c:pt idx="219">
                  <c:v>10.665908226086673</c:v>
                </c:pt>
                <c:pt idx="220">
                  <c:v>9.9867961494645563</c:v>
                </c:pt>
                <c:pt idx="221">
                  <c:v>9.9805821952176004</c:v>
                </c:pt>
                <c:pt idx="222">
                  <c:v>9.9743682409706462</c:v>
                </c:pt>
                <c:pt idx="223">
                  <c:v>9.9681542867236903</c:v>
                </c:pt>
                <c:pt idx="224">
                  <c:v>9.9619403324767344</c:v>
                </c:pt>
                <c:pt idx="225">
                  <c:v>12.80266772390431</c:v>
                </c:pt>
                <c:pt idx="226">
                  <c:v>12.796453769657354</c:v>
                </c:pt>
                <c:pt idx="227">
                  <c:v>12.7902398154104</c:v>
                </c:pt>
                <c:pt idx="228">
                  <c:v>12.784025861163444</c:v>
                </c:pt>
                <c:pt idx="229">
                  <c:v>12.777811906916488</c:v>
                </c:pt>
                <c:pt idx="230">
                  <c:v>12.098699830294372</c:v>
                </c:pt>
                <c:pt idx="231">
                  <c:v>12.092485876047416</c:v>
                </c:pt>
                <c:pt idx="232">
                  <c:v>12.086271921800462</c:v>
                </c:pt>
                <c:pt idx="233">
                  <c:v>12.080057967553506</c:v>
                </c:pt>
                <c:pt idx="234">
                  <c:v>12.07384401330655</c:v>
                </c:pt>
                <c:pt idx="235">
                  <c:v>11.394731936684433</c:v>
                </c:pt>
                <c:pt idx="236">
                  <c:v>11.388517982437477</c:v>
                </c:pt>
                <c:pt idx="237">
                  <c:v>11.382304028190523</c:v>
                </c:pt>
                <c:pt idx="238">
                  <c:v>11.376090073943567</c:v>
                </c:pt>
                <c:pt idx="239">
                  <c:v>11.369876119696611</c:v>
                </c:pt>
                <c:pt idx="240">
                  <c:v>10.690764043074495</c:v>
                </c:pt>
                <c:pt idx="241">
                  <c:v>10.684550088827539</c:v>
                </c:pt>
                <c:pt idx="242">
                  <c:v>10.678336134580585</c:v>
                </c:pt>
                <c:pt idx="243">
                  <c:v>10.672122180333629</c:v>
                </c:pt>
                <c:pt idx="244">
                  <c:v>10.665908226086673</c:v>
                </c:pt>
                <c:pt idx="245">
                  <c:v>9.9867961494645563</c:v>
                </c:pt>
                <c:pt idx="246">
                  <c:v>9.9805821952176004</c:v>
                </c:pt>
                <c:pt idx="247">
                  <c:v>9.9743682409706462</c:v>
                </c:pt>
                <c:pt idx="248">
                  <c:v>9.9681542867236903</c:v>
                </c:pt>
                <c:pt idx="249">
                  <c:v>9.9619403324767344</c:v>
                </c:pt>
                <c:pt idx="250">
                  <c:v>12.80266772390431</c:v>
                </c:pt>
                <c:pt idx="251">
                  <c:v>12.796453769657354</c:v>
                </c:pt>
                <c:pt idx="252">
                  <c:v>12.7902398154104</c:v>
                </c:pt>
                <c:pt idx="253">
                  <c:v>12.784025861163444</c:v>
                </c:pt>
                <c:pt idx="254">
                  <c:v>12.777811906916488</c:v>
                </c:pt>
                <c:pt idx="255">
                  <c:v>12.098699830294372</c:v>
                </c:pt>
                <c:pt idx="256">
                  <c:v>12.092485876047416</c:v>
                </c:pt>
                <c:pt idx="257">
                  <c:v>12.086271921800462</c:v>
                </c:pt>
                <c:pt idx="258">
                  <c:v>12.080057967553506</c:v>
                </c:pt>
                <c:pt idx="259">
                  <c:v>12.07384401330655</c:v>
                </c:pt>
                <c:pt idx="260">
                  <c:v>11.394731936684433</c:v>
                </c:pt>
                <c:pt idx="261">
                  <c:v>11.388517982437477</c:v>
                </c:pt>
                <c:pt idx="262">
                  <c:v>11.382304028190523</c:v>
                </c:pt>
                <c:pt idx="263">
                  <c:v>11.376090073943567</c:v>
                </c:pt>
                <c:pt idx="264">
                  <c:v>11.369876119696611</c:v>
                </c:pt>
                <c:pt idx="265">
                  <c:v>10.690764043074495</c:v>
                </c:pt>
                <c:pt idx="266">
                  <c:v>10.684550088827539</c:v>
                </c:pt>
                <c:pt idx="267">
                  <c:v>10.678336134580585</c:v>
                </c:pt>
                <c:pt idx="268">
                  <c:v>10.672122180333629</c:v>
                </c:pt>
                <c:pt idx="269">
                  <c:v>10.665908226086673</c:v>
                </c:pt>
                <c:pt idx="270">
                  <c:v>9.9867961494645563</c:v>
                </c:pt>
                <c:pt idx="271">
                  <c:v>9.9805821952176004</c:v>
                </c:pt>
                <c:pt idx="272">
                  <c:v>9.9743682409706462</c:v>
                </c:pt>
                <c:pt idx="273">
                  <c:v>9.9681542867236903</c:v>
                </c:pt>
                <c:pt idx="274">
                  <c:v>9.9619403324767344</c:v>
                </c:pt>
                <c:pt idx="275">
                  <c:v>12.80266772390431</c:v>
                </c:pt>
                <c:pt idx="276">
                  <c:v>12.796453769657354</c:v>
                </c:pt>
                <c:pt idx="277">
                  <c:v>12.7902398154104</c:v>
                </c:pt>
                <c:pt idx="278">
                  <c:v>12.784025861163444</c:v>
                </c:pt>
                <c:pt idx="279">
                  <c:v>12.777811906916488</c:v>
                </c:pt>
                <c:pt idx="280">
                  <c:v>12.098699830294372</c:v>
                </c:pt>
                <c:pt idx="281">
                  <c:v>12.092485876047416</c:v>
                </c:pt>
                <c:pt idx="282">
                  <c:v>12.086271921800462</c:v>
                </c:pt>
                <c:pt idx="283">
                  <c:v>12.080057967553506</c:v>
                </c:pt>
                <c:pt idx="284">
                  <c:v>12.07384401330655</c:v>
                </c:pt>
                <c:pt idx="285">
                  <c:v>11.394731936684433</c:v>
                </c:pt>
                <c:pt idx="286">
                  <c:v>11.388517982437477</c:v>
                </c:pt>
                <c:pt idx="287">
                  <c:v>11.382304028190523</c:v>
                </c:pt>
                <c:pt idx="288">
                  <c:v>11.376090073943567</c:v>
                </c:pt>
                <c:pt idx="289">
                  <c:v>11.369876119696611</c:v>
                </c:pt>
                <c:pt idx="290">
                  <c:v>10.690764043074495</c:v>
                </c:pt>
                <c:pt idx="291">
                  <c:v>10.684550088827539</c:v>
                </c:pt>
                <c:pt idx="292">
                  <c:v>10.678336134580585</c:v>
                </c:pt>
                <c:pt idx="293">
                  <c:v>10.672122180333629</c:v>
                </c:pt>
                <c:pt idx="294">
                  <c:v>10.665908226086673</c:v>
                </c:pt>
                <c:pt idx="295">
                  <c:v>9.9867961494645563</c:v>
                </c:pt>
                <c:pt idx="296">
                  <c:v>9.9805821952176004</c:v>
                </c:pt>
                <c:pt idx="297">
                  <c:v>9.9743682409706462</c:v>
                </c:pt>
                <c:pt idx="298">
                  <c:v>9.9681542867236903</c:v>
                </c:pt>
                <c:pt idx="299">
                  <c:v>9.9619403324767344</c:v>
                </c:pt>
                <c:pt idx="300">
                  <c:v>12.80266772390431</c:v>
                </c:pt>
                <c:pt idx="301">
                  <c:v>12.796453769657354</c:v>
                </c:pt>
                <c:pt idx="302">
                  <c:v>12.7902398154104</c:v>
                </c:pt>
                <c:pt idx="303">
                  <c:v>12.784025861163444</c:v>
                </c:pt>
                <c:pt idx="304">
                  <c:v>12.777811906916488</c:v>
                </c:pt>
                <c:pt idx="305">
                  <c:v>12.098699830294372</c:v>
                </c:pt>
                <c:pt idx="306">
                  <c:v>12.092485876047416</c:v>
                </c:pt>
                <c:pt idx="307">
                  <c:v>12.086271921800462</c:v>
                </c:pt>
                <c:pt idx="308">
                  <c:v>12.080057967553506</c:v>
                </c:pt>
                <c:pt idx="309">
                  <c:v>12.07384401330655</c:v>
                </c:pt>
                <c:pt idx="310">
                  <c:v>11.394731936684433</c:v>
                </c:pt>
                <c:pt idx="311">
                  <c:v>11.388517982437477</c:v>
                </c:pt>
                <c:pt idx="312">
                  <c:v>11.382304028190523</c:v>
                </c:pt>
                <c:pt idx="313">
                  <c:v>11.376090073943567</c:v>
                </c:pt>
                <c:pt idx="314">
                  <c:v>11.369876119696611</c:v>
                </c:pt>
                <c:pt idx="315">
                  <c:v>10.690764043074495</c:v>
                </c:pt>
                <c:pt idx="316">
                  <c:v>10.684550088827539</c:v>
                </c:pt>
                <c:pt idx="317">
                  <c:v>10.678336134580585</c:v>
                </c:pt>
                <c:pt idx="318">
                  <c:v>10.672122180333629</c:v>
                </c:pt>
                <c:pt idx="319">
                  <c:v>10.665908226086673</c:v>
                </c:pt>
                <c:pt idx="320">
                  <c:v>9.9867961494645563</c:v>
                </c:pt>
                <c:pt idx="321">
                  <c:v>9.9805821952176004</c:v>
                </c:pt>
                <c:pt idx="322">
                  <c:v>9.9743682409706462</c:v>
                </c:pt>
                <c:pt idx="323">
                  <c:v>9.9681542867236903</c:v>
                </c:pt>
                <c:pt idx="324">
                  <c:v>9.9619403324767344</c:v>
                </c:pt>
                <c:pt idx="325">
                  <c:v>12.80266772390431</c:v>
                </c:pt>
                <c:pt idx="326">
                  <c:v>12.796453769657354</c:v>
                </c:pt>
                <c:pt idx="327">
                  <c:v>12.7902398154104</c:v>
                </c:pt>
                <c:pt idx="328">
                  <c:v>12.784025861163444</c:v>
                </c:pt>
                <c:pt idx="329">
                  <c:v>12.777811906916488</c:v>
                </c:pt>
                <c:pt idx="330">
                  <c:v>12.098699830294372</c:v>
                </c:pt>
                <c:pt idx="331">
                  <c:v>12.092485876047416</c:v>
                </c:pt>
                <c:pt idx="332">
                  <c:v>12.086271921800462</c:v>
                </c:pt>
                <c:pt idx="333">
                  <c:v>12.080057967553506</c:v>
                </c:pt>
                <c:pt idx="334">
                  <c:v>12.07384401330655</c:v>
                </c:pt>
                <c:pt idx="335">
                  <c:v>11.394731936684433</c:v>
                </c:pt>
                <c:pt idx="336">
                  <c:v>11.388517982437477</c:v>
                </c:pt>
                <c:pt idx="337">
                  <c:v>11.382304028190523</c:v>
                </c:pt>
                <c:pt idx="338">
                  <c:v>11.376090073943567</c:v>
                </c:pt>
                <c:pt idx="339">
                  <c:v>11.369876119696611</c:v>
                </c:pt>
                <c:pt idx="340">
                  <c:v>10.690764043074495</c:v>
                </c:pt>
                <c:pt idx="341">
                  <c:v>10.684550088827539</c:v>
                </c:pt>
                <c:pt idx="342">
                  <c:v>10.678336134580585</c:v>
                </c:pt>
                <c:pt idx="343">
                  <c:v>10.672122180333629</c:v>
                </c:pt>
                <c:pt idx="344">
                  <c:v>10.665908226086673</c:v>
                </c:pt>
                <c:pt idx="345">
                  <c:v>9.9867961494645563</c:v>
                </c:pt>
                <c:pt idx="346">
                  <c:v>9.9805821952176004</c:v>
                </c:pt>
                <c:pt idx="347">
                  <c:v>9.9743682409706462</c:v>
                </c:pt>
                <c:pt idx="348">
                  <c:v>9.9681542867236903</c:v>
                </c:pt>
                <c:pt idx="349">
                  <c:v>9.9619403324767344</c:v>
                </c:pt>
                <c:pt idx="350">
                  <c:v>12.80266772390431</c:v>
                </c:pt>
                <c:pt idx="351">
                  <c:v>12.796453769657354</c:v>
                </c:pt>
                <c:pt idx="352">
                  <c:v>12.7902398154104</c:v>
                </c:pt>
                <c:pt idx="353">
                  <c:v>12.784025861163444</c:v>
                </c:pt>
                <c:pt idx="354">
                  <c:v>12.777811906916488</c:v>
                </c:pt>
                <c:pt idx="355">
                  <c:v>12.098699830294372</c:v>
                </c:pt>
                <c:pt idx="356">
                  <c:v>12.092485876047416</c:v>
                </c:pt>
                <c:pt idx="357">
                  <c:v>12.086271921800462</c:v>
                </c:pt>
                <c:pt idx="358">
                  <c:v>12.080057967553506</c:v>
                </c:pt>
                <c:pt idx="359">
                  <c:v>12.07384401330655</c:v>
                </c:pt>
                <c:pt idx="360">
                  <c:v>11.394731936684433</c:v>
                </c:pt>
                <c:pt idx="361">
                  <c:v>11.388517982437477</c:v>
                </c:pt>
                <c:pt idx="362">
                  <c:v>11.382304028190523</c:v>
                </c:pt>
                <c:pt idx="363">
                  <c:v>11.376090073943567</c:v>
                </c:pt>
                <c:pt idx="364">
                  <c:v>11.369876119696611</c:v>
                </c:pt>
                <c:pt idx="365">
                  <c:v>10.690764043074495</c:v>
                </c:pt>
                <c:pt idx="366">
                  <c:v>10.684550088827539</c:v>
                </c:pt>
                <c:pt idx="367">
                  <c:v>10.678336134580585</c:v>
                </c:pt>
                <c:pt idx="368">
                  <c:v>10.672122180333629</c:v>
                </c:pt>
                <c:pt idx="369">
                  <c:v>10.665908226086673</c:v>
                </c:pt>
                <c:pt idx="370">
                  <c:v>9.9867961494645563</c:v>
                </c:pt>
                <c:pt idx="371">
                  <c:v>9.9805821952176004</c:v>
                </c:pt>
                <c:pt idx="372">
                  <c:v>9.9743682409706462</c:v>
                </c:pt>
                <c:pt idx="373">
                  <c:v>9.9681542867236903</c:v>
                </c:pt>
                <c:pt idx="374">
                  <c:v>9.9619403324767344</c:v>
                </c:pt>
                <c:pt idx="375">
                  <c:v>12.80266772390431</c:v>
                </c:pt>
                <c:pt idx="376">
                  <c:v>12.796453769657354</c:v>
                </c:pt>
                <c:pt idx="377">
                  <c:v>12.7902398154104</c:v>
                </c:pt>
                <c:pt idx="378">
                  <c:v>12.784025861163444</c:v>
                </c:pt>
                <c:pt idx="379">
                  <c:v>12.777811906916488</c:v>
                </c:pt>
                <c:pt idx="380">
                  <c:v>12.098699830294372</c:v>
                </c:pt>
                <c:pt idx="381">
                  <c:v>12.092485876047416</c:v>
                </c:pt>
                <c:pt idx="382">
                  <c:v>12.086271921800462</c:v>
                </c:pt>
                <c:pt idx="383">
                  <c:v>12.080057967553506</c:v>
                </c:pt>
                <c:pt idx="384">
                  <c:v>12.07384401330655</c:v>
                </c:pt>
                <c:pt idx="385">
                  <c:v>11.394731936684433</c:v>
                </c:pt>
                <c:pt idx="386">
                  <c:v>11.388517982437477</c:v>
                </c:pt>
                <c:pt idx="387">
                  <c:v>11.382304028190523</c:v>
                </c:pt>
                <c:pt idx="388">
                  <c:v>11.376090073943567</c:v>
                </c:pt>
                <c:pt idx="389">
                  <c:v>11.369876119696611</c:v>
                </c:pt>
                <c:pt idx="390">
                  <c:v>10.690764043074495</c:v>
                </c:pt>
                <c:pt idx="391">
                  <c:v>10.684550088827539</c:v>
                </c:pt>
                <c:pt idx="392">
                  <c:v>10.678336134580585</c:v>
                </c:pt>
                <c:pt idx="393">
                  <c:v>10.672122180333629</c:v>
                </c:pt>
                <c:pt idx="394">
                  <c:v>10.665908226086673</c:v>
                </c:pt>
                <c:pt idx="395">
                  <c:v>9.9867961494645563</c:v>
                </c:pt>
                <c:pt idx="396">
                  <c:v>9.9805821952176004</c:v>
                </c:pt>
                <c:pt idx="397">
                  <c:v>9.9743682409706462</c:v>
                </c:pt>
                <c:pt idx="398">
                  <c:v>9.9681542867236903</c:v>
                </c:pt>
                <c:pt idx="399">
                  <c:v>9.9619403324767344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FD-8945-99CC-9FE08748F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155391"/>
        <c:axId val="2084487711"/>
      </c:scatterChart>
      <c:valAx>
        <c:axId val="208415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2</a:t>
                </a:r>
              </a:p>
            </c:rich>
          </c:tx>
          <c:overlay val="0"/>
        </c:title>
        <c:majorTickMark val="out"/>
        <c:minorTickMark val="none"/>
        <c:tickLblPos val="nextTo"/>
        <c:crossAx val="2084487711"/>
        <c:crosses val="autoZero"/>
        <c:crossBetween val="midCat"/>
      </c:valAx>
      <c:valAx>
        <c:axId val="2084487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841553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'E-Stat2'!$C$25:$C$424</c:f>
              <c:numCache>
                <c:formatCode>General</c:formatCode>
                <c:ptCount val="400"/>
                <c:pt idx="0">
                  <c:v>6.1726615525095951E-2</c:v>
                </c:pt>
                <c:pt idx="1">
                  <c:v>6.1724629393395958E-2</c:v>
                </c:pt>
                <c:pt idx="2">
                  <c:v>6.1721901056396078E-2</c:v>
                </c:pt>
                <c:pt idx="3">
                  <c:v>6.1718410652595423E-2</c:v>
                </c:pt>
                <c:pt idx="4">
                  <c:v>6.1714157845095485E-2</c:v>
                </c:pt>
                <c:pt idx="5">
                  <c:v>3.0581850520238874E-2</c:v>
                </c:pt>
                <c:pt idx="6">
                  <c:v>3.0547774422437612E-2</c:v>
                </c:pt>
                <c:pt idx="7">
                  <c:v>3.0502014959338908E-2</c:v>
                </c:pt>
                <c:pt idx="8">
                  <c:v>3.0444206964437726E-2</c:v>
                </c:pt>
                <c:pt idx="9">
                  <c:v>3.0374418400437975E-2</c:v>
                </c:pt>
                <c:pt idx="10">
                  <c:v>1.4449686154781816E-2</c:v>
                </c:pt>
                <c:pt idx="11">
                  <c:v>1.3943121032681915E-2</c:v>
                </c:pt>
                <c:pt idx="12">
                  <c:v>1.3298154117382666E-2</c:v>
                </c:pt>
                <c:pt idx="13">
                  <c:v>1.2509214987481698E-2</c:v>
                </c:pt>
                <c:pt idx="14">
                  <c:v>1.1582923780482091E-2</c:v>
                </c:pt>
                <c:pt idx="15">
                  <c:v>2.6377630870523916E-2</c:v>
                </c:pt>
                <c:pt idx="16">
                  <c:v>2.0774421395024945E-2</c:v>
                </c:pt>
                <c:pt idx="17">
                  <c:v>1.4578874940625042E-2</c:v>
                </c:pt>
                <c:pt idx="18">
                  <c:v>7.7103077059241798E-3</c:v>
                </c:pt>
                <c:pt idx="19">
                  <c:v>2.858205634233002E-4</c:v>
                </c:pt>
                <c:pt idx="20">
                  <c:v>7.4543612947168825E-2</c:v>
                </c:pt>
                <c:pt idx="21">
                  <c:v>4.6978635483068132E-2</c:v>
                </c:pt>
                <c:pt idx="22">
                  <c:v>2.4286039554047179E-2</c:v>
                </c:pt>
                <c:pt idx="23">
                  <c:v>4.2994779432277141E-3</c:v>
                </c:pt>
                <c:pt idx="24">
                  <c:v>-1.365601876634237E-2</c:v>
                </c:pt>
                <c:pt idx="25">
                  <c:v>6.1726626277996743E-2</c:v>
                </c:pt>
                <c:pt idx="26">
                  <c:v>6.1724625274095501E-2</c:v>
                </c:pt>
                <c:pt idx="27">
                  <c:v>6.1721900222895698E-2</c:v>
                </c:pt>
                <c:pt idx="28">
                  <c:v>6.1718409225695936E-2</c:v>
                </c:pt>
                <c:pt idx="29">
                  <c:v>6.1714165157296108E-2</c:v>
                </c:pt>
                <c:pt idx="30">
                  <c:v>3.0581849361938751E-2</c:v>
                </c:pt>
                <c:pt idx="31">
                  <c:v>3.0547765884637812E-2</c:v>
                </c:pt>
                <c:pt idx="32">
                  <c:v>3.0502012745337481E-2</c:v>
                </c:pt>
                <c:pt idx="33">
                  <c:v>3.0444204364139082E-2</c:v>
                </c:pt>
                <c:pt idx="34">
                  <c:v>3.037441934243823E-2</c:v>
                </c:pt>
                <c:pt idx="35">
                  <c:v>1.4449671743481218E-2</c:v>
                </c:pt>
                <c:pt idx="36">
                  <c:v>1.3943116463481786E-2</c:v>
                </c:pt>
                <c:pt idx="37">
                  <c:v>1.3298157311181669E-2</c:v>
                </c:pt>
                <c:pt idx="38">
                  <c:v>1.2509208730282495E-2</c:v>
                </c:pt>
                <c:pt idx="39">
                  <c:v>1.1582910895581833E-2</c:v>
                </c:pt>
                <c:pt idx="40">
                  <c:v>2.637762636882357E-2</c:v>
                </c:pt>
                <c:pt idx="41">
                  <c:v>2.077442095952442E-2</c:v>
                </c:pt>
                <c:pt idx="42">
                  <c:v>1.4578873239823764E-2</c:v>
                </c:pt>
                <c:pt idx="43">
                  <c:v>7.710297806223565E-3</c:v>
                </c:pt>
                <c:pt idx="44">
                  <c:v>2.8582129042398208E-4</c:v>
                </c:pt>
                <c:pt idx="45">
                  <c:v>7.4543613067767467E-2</c:v>
                </c:pt>
                <c:pt idx="46">
                  <c:v>4.697862448286827E-2</c:v>
                </c:pt>
                <c:pt idx="47">
                  <c:v>2.4286033532007423E-2</c:v>
                </c:pt>
                <c:pt idx="48">
                  <c:v>4.2994770343671718E-3</c:v>
                </c:pt>
                <c:pt idx="49">
                  <c:v>-1.3656021348751324E-2</c:v>
                </c:pt>
                <c:pt idx="50">
                  <c:v>6.172662218419589E-2</c:v>
                </c:pt>
                <c:pt idx="51">
                  <c:v>6.1724628939296977E-2</c:v>
                </c:pt>
                <c:pt idx="52">
                  <c:v>6.1721903300696823E-2</c:v>
                </c:pt>
                <c:pt idx="53">
                  <c:v>6.1718414157196477E-2</c:v>
                </c:pt>
                <c:pt idx="54">
                  <c:v>6.1714159588495576E-2</c:v>
                </c:pt>
                <c:pt idx="55">
                  <c:v>3.0581851798539006E-2</c:v>
                </c:pt>
                <c:pt idx="56">
                  <c:v>3.0547773325938721E-2</c:v>
                </c:pt>
                <c:pt idx="57">
                  <c:v>3.0502021835438597E-2</c:v>
                </c:pt>
                <c:pt idx="58">
                  <c:v>3.0444201023138717E-2</c:v>
                </c:pt>
                <c:pt idx="59">
                  <c:v>3.0374414274538353E-2</c:v>
                </c:pt>
                <c:pt idx="60">
                  <c:v>1.4449671539981779E-2</c:v>
                </c:pt>
                <c:pt idx="61">
                  <c:v>1.3943116998781591E-2</c:v>
                </c:pt>
                <c:pt idx="62">
                  <c:v>1.3298158184381847E-2</c:v>
                </c:pt>
                <c:pt idx="63">
                  <c:v>1.2509204440281252E-2</c:v>
                </c:pt>
                <c:pt idx="64">
                  <c:v>1.1582917269782556E-2</c:v>
                </c:pt>
                <c:pt idx="65">
                  <c:v>2.6377634652623883E-2</c:v>
                </c:pt>
                <c:pt idx="66">
                  <c:v>2.0774407747824242E-2</c:v>
                </c:pt>
                <c:pt idx="67">
                  <c:v>1.457888519522399E-2</c:v>
                </c:pt>
                <c:pt idx="68">
                  <c:v>7.7103022328248727E-3</c:v>
                </c:pt>
                <c:pt idx="69">
                  <c:v>2.8581783662495752E-4</c:v>
                </c:pt>
                <c:pt idx="70">
                  <c:v>7.4543626813168729E-2</c:v>
                </c:pt>
                <c:pt idx="71">
                  <c:v>4.6978631243467461E-2</c:v>
                </c:pt>
                <c:pt idx="72">
                  <c:v>2.4286034787037281E-2</c:v>
                </c:pt>
                <c:pt idx="73">
                  <c:v>4.2994831638587527E-3</c:v>
                </c:pt>
                <c:pt idx="74">
                  <c:v>-1.3656019514622031E-2</c:v>
                </c:pt>
                <c:pt idx="75">
                  <c:v>6.1726629501995589E-2</c:v>
                </c:pt>
                <c:pt idx="76">
                  <c:v>6.1724626773795421E-2</c:v>
                </c:pt>
                <c:pt idx="77">
                  <c:v>6.1721898528796615E-2</c:v>
                </c:pt>
                <c:pt idx="78">
                  <c:v>6.171841156569613E-2</c:v>
                </c:pt>
                <c:pt idx="79">
                  <c:v>6.1714165267297005E-2</c:v>
                </c:pt>
                <c:pt idx="80">
                  <c:v>3.0581852473337889E-2</c:v>
                </c:pt>
                <c:pt idx="81">
                  <c:v>3.0547772140138818E-2</c:v>
                </c:pt>
                <c:pt idx="82">
                  <c:v>3.0502021776138477E-2</c:v>
                </c:pt>
                <c:pt idx="83">
                  <c:v>3.0444204400037478E-2</c:v>
                </c:pt>
                <c:pt idx="84">
                  <c:v>3.0374414630339075E-2</c:v>
                </c:pt>
                <c:pt idx="85">
                  <c:v>1.4449672395082658E-2</c:v>
                </c:pt>
                <c:pt idx="86">
                  <c:v>1.3943116346482043E-2</c:v>
                </c:pt>
                <c:pt idx="87">
                  <c:v>1.3298153667081536E-2</c:v>
                </c:pt>
                <c:pt idx="88">
                  <c:v>1.2509200845782331E-2</c:v>
                </c:pt>
                <c:pt idx="89">
                  <c:v>1.15829172657822E-2</c:v>
                </c:pt>
                <c:pt idx="90">
                  <c:v>2.6377631840823312E-2</c:v>
                </c:pt>
                <c:pt idx="91">
                  <c:v>2.0774419771123931E-2</c:v>
                </c:pt>
                <c:pt idx="92">
                  <c:v>1.4578888426923342E-2</c:v>
                </c:pt>
                <c:pt idx="93">
                  <c:v>7.7102984669235042E-3</c:v>
                </c:pt>
                <c:pt idx="94">
                  <c:v>2.8581706632380133E-4</c:v>
                </c:pt>
                <c:pt idx="95">
                  <c:v>7.454360756836742E-2</c:v>
                </c:pt>
                <c:pt idx="96">
                  <c:v>4.6978622132668235E-2</c:v>
                </c:pt>
                <c:pt idx="97">
                  <c:v>2.4286028070438448E-2</c:v>
                </c:pt>
                <c:pt idx="98">
                  <c:v>4.2994877745083926E-3</c:v>
                </c:pt>
                <c:pt idx="99">
                  <c:v>-1.3656028355592653E-2</c:v>
                </c:pt>
                <c:pt idx="100">
                  <c:v>2.3283411025996514E-2</c:v>
                </c:pt>
                <c:pt idx="101">
                  <c:v>2.3281195031096047E-2</c:v>
                </c:pt>
                <c:pt idx="102">
                  <c:v>2.3278263724595405E-2</c:v>
                </c:pt>
                <c:pt idx="103">
                  <c:v>2.327453352189579E-2</c:v>
                </c:pt>
                <c:pt idx="104">
                  <c:v>2.3269997864296954E-2</c:v>
                </c:pt>
                <c:pt idx="105">
                  <c:v>-2.6837271285611308E-3</c:v>
                </c:pt>
                <c:pt idx="106">
                  <c:v>-2.7222952589625038E-3</c:v>
                </c:pt>
                <c:pt idx="107">
                  <c:v>-2.7713295138624972E-3</c:v>
                </c:pt>
                <c:pt idx="108">
                  <c:v>-2.8325226934615699E-3</c:v>
                </c:pt>
                <c:pt idx="109">
                  <c:v>-2.9060580823614401E-3</c:v>
                </c:pt>
                <c:pt idx="110">
                  <c:v>-1.1705144337218698E-2</c:v>
                </c:pt>
                <c:pt idx="111">
                  <c:v>-1.2280445644117677E-2</c:v>
                </c:pt>
                <c:pt idx="112">
                  <c:v>-1.2971726682417639E-2</c:v>
                </c:pt>
                <c:pt idx="113">
                  <c:v>-1.3803345724717531E-2</c:v>
                </c:pt>
                <c:pt idx="114">
                  <c:v>-1.4773929178618417E-2</c:v>
                </c:pt>
                <c:pt idx="115">
                  <c:v>9.147365832623322E-3</c:v>
                </c:pt>
                <c:pt idx="116">
                  <c:v>3.0350096347238065E-3</c:v>
                </c:pt>
                <c:pt idx="117">
                  <c:v>-3.5406906054760157E-3</c:v>
                </c:pt>
                <c:pt idx="118">
                  <c:v>-1.0756638298376586E-2</c:v>
                </c:pt>
                <c:pt idx="119">
                  <c:v>-1.8524622326475892E-2</c:v>
                </c:pt>
                <c:pt idx="120">
                  <c:v>6.7527915726067533E-2</c:v>
                </c:pt>
                <c:pt idx="121">
                  <c:v>3.8564759488368239E-2</c:v>
                </c:pt>
                <c:pt idx="122">
                  <c:v>1.4668732256687633E-2</c:v>
                </c:pt>
                <c:pt idx="123">
                  <c:v>-6.4397287396218417E-3</c:v>
                </c:pt>
                <c:pt idx="124">
                  <c:v>-2.5477051231082015E-2</c:v>
                </c:pt>
                <c:pt idx="125">
                  <c:v>2.9583442725895637E-2</c:v>
                </c:pt>
                <c:pt idx="126">
                  <c:v>2.9581253127295426E-2</c:v>
                </c:pt>
                <c:pt idx="127">
                  <c:v>2.9578336313496933E-2</c:v>
                </c:pt>
                <c:pt idx="128">
                  <c:v>2.9574654228495589E-2</c:v>
                </c:pt>
                <c:pt idx="129">
                  <c:v>2.9570166437196121E-2</c:v>
                </c:pt>
                <c:pt idx="130">
                  <c:v>2.7428628111376696E-3</c:v>
                </c:pt>
                <c:pt idx="131">
                  <c:v>2.7046165864383909E-3</c:v>
                </c:pt>
                <c:pt idx="132">
                  <c:v>2.6559510805377329E-3</c:v>
                </c:pt>
                <c:pt idx="133">
                  <c:v>2.5952591213389553E-3</c:v>
                </c:pt>
                <c:pt idx="134">
                  <c:v>2.5222846459378445E-3</c:v>
                </c:pt>
                <c:pt idx="135">
                  <c:v>-7.445538625717063E-3</c:v>
                </c:pt>
                <c:pt idx="136">
                  <c:v>-8.0133604508176859E-3</c:v>
                </c:pt>
                <c:pt idx="137">
                  <c:v>-8.6989585331185282E-3</c:v>
                </c:pt>
                <c:pt idx="138">
                  <c:v>-9.524703308017024E-3</c:v>
                </c:pt>
                <c:pt idx="139">
                  <c:v>-1.0488767130418353E-2</c:v>
                </c:pt>
                <c:pt idx="140">
                  <c:v>1.1968986177823382E-2</c:v>
                </c:pt>
                <c:pt idx="141">
                  <c:v>5.9333877810239244E-3</c:v>
                </c:pt>
                <c:pt idx="142">
                  <c:v>-5.84741388275134E-4</c:v>
                </c:pt>
                <c:pt idx="143">
                  <c:v>-7.7473798968750174E-3</c:v>
                </c:pt>
                <c:pt idx="144">
                  <c:v>-1.5462031759776451E-2</c:v>
                </c:pt>
                <c:pt idx="145">
                  <c:v>6.8687604625868204E-2</c:v>
                </c:pt>
                <c:pt idx="146">
                  <c:v>3.9952389474168015E-2</c:v>
                </c:pt>
                <c:pt idx="147">
                  <c:v>1.6251819973938098E-2</c:v>
                </c:pt>
                <c:pt idx="148">
                  <c:v>-4.6749582827612102E-3</c:v>
                </c:pt>
                <c:pt idx="149">
                  <c:v>-2.3537518008062364E-2</c:v>
                </c:pt>
                <c:pt idx="150">
                  <c:v>3.4107381356996314E-2</c:v>
                </c:pt>
                <c:pt idx="151">
                  <c:v>3.410520122989702E-2</c:v>
                </c:pt>
                <c:pt idx="152">
                  <c:v>3.4102305501095387E-2</c:v>
                </c:pt>
                <c:pt idx="153">
                  <c:v>3.4098636134697102E-2</c:v>
                </c:pt>
                <c:pt idx="154">
                  <c:v>3.4094195470496302E-2</c:v>
                </c:pt>
                <c:pt idx="155">
                  <c:v>6.6448473928382157E-3</c:v>
                </c:pt>
                <c:pt idx="156">
                  <c:v>6.6068587847389892E-3</c:v>
                </c:pt>
                <c:pt idx="157">
                  <c:v>6.5584824126379004E-3</c:v>
                </c:pt>
                <c:pt idx="158">
                  <c:v>6.4981219110382682E-3</c:v>
                </c:pt>
                <c:pt idx="159">
                  <c:v>6.4255576598384323E-3</c:v>
                </c:pt>
                <c:pt idx="160">
                  <c:v>-4.3804951498174205E-3</c:v>
                </c:pt>
                <c:pt idx="161">
                  <c:v>-4.9423748874186657E-3</c:v>
                </c:pt>
                <c:pt idx="162">
                  <c:v>-5.6236620178182761E-3</c:v>
                </c:pt>
                <c:pt idx="163">
                  <c:v>-6.4450771882178515E-3</c:v>
                </c:pt>
                <c:pt idx="164">
                  <c:v>-7.4043685526170577E-3</c:v>
                </c:pt>
                <c:pt idx="165">
                  <c:v>1.3996318697724774E-2</c:v>
                </c:pt>
                <c:pt idx="166">
                  <c:v>8.0173064217241574E-3</c:v>
                </c:pt>
                <c:pt idx="167">
                  <c:v>1.5415320943237276E-3</c:v>
                </c:pt>
                <c:pt idx="168">
                  <c:v>-5.5820830343762395E-3</c:v>
                </c:pt>
                <c:pt idx="169">
                  <c:v>-1.32578511753767E-2</c:v>
                </c:pt>
                <c:pt idx="170">
                  <c:v>6.9518271428767875E-2</c:v>
                </c:pt>
                <c:pt idx="171">
                  <c:v>4.0947079144668663E-2</c:v>
                </c:pt>
                <c:pt idx="172">
                  <c:v>1.738735243784717E-2</c:v>
                </c:pt>
                <c:pt idx="173">
                  <c:v>-3.4083638354118762E-3</c:v>
                </c:pt>
                <c:pt idx="174">
                  <c:v>-2.2144795067941203E-2</c:v>
                </c:pt>
                <c:pt idx="175">
                  <c:v>3.7513889865095962E-2</c:v>
                </c:pt>
                <c:pt idx="176">
                  <c:v>3.7511718150096129E-2</c:v>
                </c:pt>
                <c:pt idx="177">
                  <c:v>3.7508845169996974E-2</c:v>
                </c:pt>
                <c:pt idx="178">
                  <c:v>3.7505196769496152E-2</c:v>
                </c:pt>
                <c:pt idx="179">
                  <c:v>3.7500768482596314E-2</c:v>
                </c:pt>
                <c:pt idx="180">
                  <c:v>9.5860923280390864E-3</c:v>
                </c:pt>
                <c:pt idx="181">
                  <c:v>9.5483301313379343E-3</c:v>
                </c:pt>
                <c:pt idx="182">
                  <c:v>9.5001612991385542E-3</c:v>
                </c:pt>
                <c:pt idx="183">
                  <c:v>9.4400564161389866E-3</c:v>
                </c:pt>
                <c:pt idx="184">
                  <c:v>9.3678045408385202E-3</c:v>
                </c:pt>
                <c:pt idx="185">
                  <c:v>-2.0689394075183998E-3</c:v>
                </c:pt>
                <c:pt idx="186">
                  <c:v>-2.6259934310175481E-3</c:v>
                </c:pt>
                <c:pt idx="187">
                  <c:v>-3.30385265711719E-3</c:v>
                </c:pt>
                <c:pt idx="188">
                  <c:v>-4.12190763301723E-3</c:v>
                </c:pt>
                <c:pt idx="189">
                  <c:v>-5.0775802603180153E-3</c:v>
                </c:pt>
                <c:pt idx="190">
                  <c:v>1.5523410820124539E-2</c:v>
                </c:pt>
                <c:pt idx="191">
                  <c:v>9.5878680186238796E-3</c:v>
                </c:pt>
                <c:pt idx="192">
                  <c:v>3.1445899035240643E-3</c:v>
                </c:pt>
                <c:pt idx="193">
                  <c:v>-3.9491968983753623E-3</c:v>
                </c:pt>
                <c:pt idx="194">
                  <c:v>-1.1595312122576473E-2</c:v>
                </c:pt>
                <c:pt idx="195">
                  <c:v>7.0142544185568312E-2</c:v>
                </c:pt>
                <c:pt idx="196">
                  <c:v>4.1695077447968742E-2</c:v>
                </c:pt>
                <c:pt idx="197">
                  <c:v>1.8241646456937488E-2</c:v>
                </c:pt>
                <c:pt idx="198">
                  <c:v>-2.4551077002819E-3</c:v>
                </c:pt>
                <c:pt idx="199">
                  <c:v>-2.1096177273221883E-2</c:v>
                </c:pt>
                <c:pt idx="200">
                  <c:v>-1.3772513758803839E-2</c:v>
                </c:pt>
                <c:pt idx="201">
                  <c:v>-1.3774852950204419E-2</c:v>
                </c:pt>
                <c:pt idx="202">
                  <c:v>-1.3777957669503849E-2</c:v>
                </c:pt>
                <c:pt idx="203">
                  <c:v>-1.3781890521403994E-2</c:v>
                </c:pt>
                <c:pt idx="204">
                  <c:v>-1.3786676885203519E-2</c:v>
                </c:pt>
                <c:pt idx="205">
                  <c:v>-3.4453325537961987E-2</c:v>
                </c:pt>
                <c:pt idx="206">
                  <c:v>-3.4493626763762109E-2</c:v>
                </c:pt>
                <c:pt idx="207">
                  <c:v>-3.4544843838462569E-2</c:v>
                </c:pt>
                <c:pt idx="208">
                  <c:v>-3.4608754654261276E-2</c:v>
                </c:pt>
                <c:pt idx="209">
                  <c:v>-3.4685608337362339E-2</c:v>
                </c:pt>
                <c:pt idx="210">
                  <c:v>-3.6570770074717984E-2</c:v>
                </c:pt>
                <c:pt idx="211">
                  <c:v>-3.7179602978817172E-2</c:v>
                </c:pt>
                <c:pt idx="212">
                  <c:v>-3.7900129088017209E-2</c:v>
                </c:pt>
                <c:pt idx="213">
                  <c:v>-3.8764109685917703E-2</c:v>
                </c:pt>
                <c:pt idx="214">
                  <c:v>-3.9771696103418464E-2</c:v>
                </c:pt>
                <c:pt idx="215">
                  <c:v>-7.3967814506765706E-3</c:v>
                </c:pt>
                <c:pt idx="216">
                  <c:v>-1.3917843918875406E-2</c:v>
                </c:pt>
                <c:pt idx="217">
                  <c:v>-2.0804819085276094E-2</c:v>
                </c:pt>
                <c:pt idx="218">
                  <c:v>-2.8314640495876731E-2</c:v>
                </c:pt>
                <c:pt idx="219">
                  <c:v>-3.6381089787775878E-2</c:v>
                </c:pt>
                <c:pt idx="220">
                  <c:v>6.0648411574067751E-2</c:v>
                </c:pt>
                <c:pt idx="221">
                  <c:v>3.0357971761667102E-2</c:v>
                </c:pt>
                <c:pt idx="222">
                  <c:v>5.3292821109778288E-3</c:v>
                </c:pt>
                <c:pt idx="223">
                  <c:v>-1.682846520828285E-2</c:v>
                </c:pt>
                <c:pt idx="224">
                  <c:v>-3.6872089984811396E-2</c:v>
                </c:pt>
                <c:pt idx="225">
                  <c:v>-1.5546490409032998E-3</c:v>
                </c:pt>
                <c:pt idx="226">
                  <c:v>-1.556943491703322E-3</c:v>
                </c:pt>
                <c:pt idx="227">
                  <c:v>-1.5599965856036846E-3</c:v>
                </c:pt>
                <c:pt idx="228">
                  <c:v>-1.5638667651032279E-3</c:v>
                </c:pt>
                <c:pt idx="229">
                  <c:v>-1.5685675961041312E-3</c:v>
                </c:pt>
                <c:pt idx="230">
                  <c:v>-2.4004211608561477E-2</c:v>
                </c:pt>
                <c:pt idx="231">
                  <c:v>-2.404396966596245E-2</c:v>
                </c:pt>
                <c:pt idx="232">
                  <c:v>-2.4094487904962492E-2</c:v>
                </c:pt>
                <c:pt idx="233">
                  <c:v>-2.4157496932462053E-2</c:v>
                </c:pt>
                <c:pt idx="234">
                  <c:v>-2.4233262108461773E-2</c:v>
                </c:pt>
                <c:pt idx="235">
                  <c:v>-2.8405709865518602E-2</c:v>
                </c:pt>
                <c:pt idx="236">
                  <c:v>-2.9004871963218548E-2</c:v>
                </c:pt>
                <c:pt idx="237">
                  <c:v>-2.9716290677717083E-2</c:v>
                </c:pt>
                <c:pt idx="238">
                  <c:v>-3.0569869940318739E-2</c:v>
                </c:pt>
                <c:pt idx="239">
                  <c:v>-3.1565438433117876E-2</c:v>
                </c:pt>
                <c:pt idx="240">
                  <c:v>-1.953032069275551E-3</c:v>
                </c:pt>
                <c:pt idx="241">
                  <c:v>-8.346667101475802E-3</c:v>
                </c:pt>
                <c:pt idx="242">
                  <c:v>-1.5135562384076096E-2</c:v>
                </c:pt>
                <c:pt idx="243">
                  <c:v>-2.2551684330775146E-2</c:v>
                </c:pt>
                <c:pt idx="244">
                  <c:v>-3.0522170568575646E-2</c:v>
                </c:pt>
                <c:pt idx="245">
                  <c:v>6.2926780020267969E-2</c:v>
                </c:pt>
                <c:pt idx="246">
                  <c:v>3.3071242461167216E-2</c:v>
                </c:pt>
                <c:pt idx="247">
                  <c:v>8.412687455717105E-3</c:v>
                </c:pt>
                <c:pt idx="248">
                  <c:v>-1.3402827940621975E-2</c:v>
                </c:pt>
                <c:pt idx="249">
                  <c:v>-3.3118773557342607E-2</c:v>
                </c:pt>
                <c:pt idx="250">
                  <c:v>7.2523539336959431E-3</c:v>
                </c:pt>
                <c:pt idx="251">
                  <c:v>7.2500849172953963E-3</c:v>
                </c:pt>
                <c:pt idx="252">
                  <c:v>7.2470755698965661E-3</c:v>
                </c:pt>
                <c:pt idx="253">
                  <c:v>7.2432528426968901E-3</c:v>
                </c:pt>
                <c:pt idx="254">
                  <c:v>7.2386117504965597E-3</c:v>
                </c:pt>
                <c:pt idx="255">
                  <c:v>-1.6457080495561272E-2</c:v>
                </c:pt>
                <c:pt idx="256">
                  <c:v>-1.6496443868362576E-2</c:v>
                </c:pt>
                <c:pt idx="257">
                  <c:v>-1.6546448111661505E-2</c:v>
                </c:pt>
                <c:pt idx="258">
                  <c:v>-1.6608810928660844E-2</c:v>
                </c:pt>
                <c:pt idx="259">
                  <c:v>-1.6683787398362071E-2</c:v>
                </c:pt>
                <c:pt idx="260">
                  <c:v>-2.2500306935217651E-2</c:v>
                </c:pt>
                <c:pt idx="261">
                  <c:v>-2.3091795031218609E-2</c:v>
                </c:pt>
                <c:pt idx="262">
                  <c:v>-2.3796365143718745E-2</c:v>
                </c:pt>
                <c:pt idx="263">
                  <c:v>-2.4642320966817621E-2</c:v>
                </c:pt>
                <c:pt idx="264">
                  <c:v>-2.5629133321718456E-2</c:v>
                </c:pt>
                <c:pt idx="265">
                  <c:v>1.9780515396234932E-3</c:v>
                </c:pt>
                <c:pt idx="266">
                  <c:v>-4.3194733395761631E-3</c:v>
                </c:pt>
                <c:pt idx="267">
                  <c:v>-1.1035072128276369E-2</c:v>
                </c:pt>
                <c:pt idx="268">
                  <c:v>-1.8381839654976417E-2</c:v>
                </c:pt>
                <c:pt idx="269">
                  <c:v>-2.6281774265875413E-2</c:v>
                </c:pt>
                <c:pt idx="270">
                  <c:v>6.4563185250667843E-2</c:v>
                </c:pt>
                <c:pt idx="271">
                  <c:v>3.5022839611567491E-2</c:v>
                </c:pt>
                <c:pt idx="272">
                  <c:v>1.0633155977377129E-2</c:v>
                </c:pt>
                <c:pt idx="273">
                  <c:v>-1.0933372505272487E-2</c:v>
                </c:pt>
                <c:pt idx="274">
                  <c:v>-3.0410612483661836E-2</c:v>
                </c:pt>
                <c:pt idx="275">
                  <c:v>1.3903303793595612E-2</c:v>
                </c:pt>
                <c:pt idx="276">
                  <c:v>1.3901053836695709E-2</c:v>
                </c:pt>
                <c:pt idx="277">
                  <c:v>1.3898076295596695E-2</c:v>
                </c:pt>
                <c:pt idx="278">
                  <c:v>1.389429154089683E-2</c:v>
                </c:pt>
                <c:pt idx="279">
                  <c:v>1.3889699736996164E-2</c:v>
                </c:pt>
                <c:pt idx="280">
                  <c:v>-1.0748636137561718E-2</c:v>
                </c:pt>
                <c:pt idx="281">
                  <c:v>-1.0787672534561921E-2</c:v>
                </c:pt>
                <c:pt idx="282">
                  <c:v>-1.0837274275161235E-2</c:v>
                </c:pt>
                <c:pt idx="283">
                  <c:v>-1.0899158312161816E-2</c:v>
                </c:pt>
                <c:pt idx="284">
                  <c:v>-1.0973539559062218E-2</c:v>
                </c:pt>
                <c:pt idx="285">
                  <c:v>-1.8029007619718485E-2</c:v>
                </c:pt>
                <c:pt idx="286">
                  <c:v>-1.8614191065717378E-2</c:v>
                </c:pt>
                <c:pt idx="287">
                  <c:v>-1.9313420885218591E-2</c:v>
                </c:pt>
                <c:pt idx="288">
                  <c:v>-2.0153510750617443E-2</c:v>
                </c:pt>
                <c:pt idx="289">
                  <c:v>-2.1133638696017698E-2</c:v>
                </c:pt>
                <c:pt idx="290">
                  <c:v>4.9504206135235762E-3</c:v>
                </c:pt>
                <c:pt idx="291">
                  <c:v>-1.2719581109763567E-3</c:v>
                </c:pt>
                <c:pt idx="292">
                  <c:v>-7.9305944112757487E-3</c:v>
                </c:pt>
                <c:pt idx="293">
                  <c:v>-1.5223857745276348E-2</c:v>
                </c:pt>
                <c:pt idx="294">
                  <c:v>-2.3069649762375022E-2</c:v>
                </c:pt>
                <c:pt idx="295">
                  <c:v>6.5795487756867388E-2</c:v>
                </c:pt>
                <c:pt idx="296">
                  <c:v>3.6494072891368745E-2</c:v>
                </c:pt>
                <c:pt idx="297">
                  <c:v>1.2308534346617606E-2</c:v>
                </c:pt>
                <c:pt idx="298">
                  <c:v>-9.0686991621620194E-3</c:v>
                </c:pt>
                <c:pt idx="299">
                  <c:v>-2.8364278586771263E-2</c:v>
                </c:pt>
                <c:pt idx="300">
                  <c:v>-4.9701331686103245E-2</c:v>
                </c:pt>
                <c:pt idx="301">
                  <c:v>-4.9703788561503259E-2</c:v>
                </c:pt>
                <c:pt idx="302">
                  <c:v>-4.9707054380704108E-2</c:v>
                </c:pt>
                <c:pt idx="303">
                  <c:v>-4.9711199946003148E-2</c:v>
                </c:pt>
                <c:pt idx="304">
                  <c:v>-4.9716224523303154E-2</c:v>
                </c:pt>
                <c:pt idx="305">
                  <c:v>-6.5055096581861704E-2</c:v>
                </c:pt>
                <c:pt idx="306">
                  <c:v>-6.5096911984362293E-2</c:v>
                </c:pt>
                <c:pt idx="307">
                  <c:v>-6.5150188438360956E-2</c:v>
                </c:pt>
                <c:pt idx="308">
                  <c:v>-6.521671638996196E-2</c:v>
                </c:pt>
                <c:pt idx="309">
                  <c:v>-6.5296721387761991E-2</c:v>
                </c:pt>
                <c:pt idx="310">
                  <c:v>-6.041413273541707E-2</c:v>
                </c:pt>
                <c:pt idx="311">
                  <c:v>-6.1047380798518347E-2</c:v>
                </c:pt>
                <c:pt idx="312">
                  <c:v>-6.1793165480818146E-2</c:v>
                </c:pt>
                <c:pt idx="313">
                  <c:v>-6.2686884779317609E-2</c:v>
                </c:pt>
                <c:pt idx="314">
                  <c:v>-6.3729201209017816E-2</c:v>
                </c:pt>
                <c:pt idx="315">
                  <c:v>-2.333410710147632E-2</c:v>
                </c:pt>
                <c:pt idx="316">
                  <c:v>-3.0195901106875311E-2</c:v>
                </c:pt>
                <c:pt idx="317">
                  <c:v>-3.7351445136375006E-2</c:v>
                </c:pt>
                <c:pt idx="318">
                  <c:v>-4.5123471071075727E-2</c:v>
                </c:pt>
                <c:pt idx="319">
                  <c:v>-5.3461965886175022E-2</c:v>
                </c:pt>
                <c:pt idx="320">
                  <c:v>5.3899841106268553E-2</c:v>
                </c:pt>
                <c:pt idx="321">
                  <c:v>2.2347548163857311E-2</c:v>
                </c:pt>
                <c:pt idx="322">
                  <c:v>-3.7499109177723255E-3</c:v>
                </c:pt>
                <c:pt idx="323">
                  <c:v>-2.6892622695621426E-2</c:v>
                </c:pt>
                <c:pt idx="324">
                  <c:v>-4.7876650249301989E-2</c:v>
                </c:pt>
                <c:pt idx="325">
                  <c:v>-3.1867693633103045E-2</c:v>
                </c:pt>
                <c:pt idx="326">
                  <c:v>-3.1870092560003727E-2</c:v>
                </c:pt>
                <c:pt idx="327">
                  <c:v>-3.187328236360365E-2</c:v>
                </c:pt>
                <c:pt idx="328">
                  <c:v>-3.1877313430603849E-2</c:v>
                </c:pt>
                <c:pt idx="329">
                  <c:v>-3.1882231760704371E-2</c:v>
                </c:pt>
                <c:pt idx="330">
                  <c:v>-4.9887752288061193E-2</c:v>
                </c:pt>
                <c:pt idx="331">
                  <c:v>-4.9928824239762193E-2</c:v>
                </c:pt>
                <c:pt idx="332">
                  <c:v>-4.9981084427361822E-2</c:v>
                </c:pt>
                <c:pt idx="333">
                  <c:v>-5.0046321468862232E-2</c:v>
                </c:pt>
                <c:pt idx="334">
                  <c:v>-5.0124761818862495E-2</c:v>
                </c:pt>
                <c:pt idx="335">
                  <c:v>-4.8608912501517665E-2</c:v>
                </c:pt>
                <c:pt idx="336">
                  <c:v>-4.9230630779918627E-2</c:v>
                </c:pt>
                <c:pt idx="337">
                  <c:v>-4.9964108417317021E-2</c:v>
                </c:pt>
                <c:pt idx="338">
                  <c:v>-5.0843183830817651E-2</c:v>
                </c:pt>
                <c:pt idx="339">
                  <c:v>-5.1868367818817873E-2</c:v>
                </c:pt>
                <c:pt idx="340">
                  <c:v>-1.54370339287766E-2</c:v>
                </c:pt>
                <c:pt idx="341">
                  <c:v>-2.2135515516776394E-2</c:v>
                </c:pt>
                <c:pt idx="342">
                  <c:v>-2.9161057684875757E-2</c:v>
                </c:pt>
                <c:pt idx="343">
                  <c:v>-3.6805139671475473E-2</c:v>
                </c:pt>
                <c:pt idx="344">
                  <c:v>-4.5010277830375145E-2</c:v>
                </c:pt>
                <c:pt idx="345">
                  <c:v>5.7258065780468215E-2</c:v>
                </c:pt>
                <c:pt idx="346">
                  <c:v>2.6328846508267389E-2</c:v>
                </c:pt>
                <c:pt idx="347">
                  <c:v>7.581794201279024E-4</c:v>
                </c:pt>
                <c:pt idx="348">
                  <c:v>-2.1899625176311943E-2</c:v>
                </c:pt>
                <c:pt idx="349">
                  <c:v>-4.2421162553921477E-2</c:v>
                </c:pt>
                <c:pt idx="350">
                  <c:v>-1.8970269278502983E-2</c:v>
                </c:pt>
                <c:pt idx="351">
                  <c:v>-1.897262450210313E-2</c:v>
                </c:pt>
                <c:pt idx="352">
                  <c:v>-1.8975750269003555E-2</c:v>
                </c:pt>
                <c:pt idx="353">
                  <c:v>-1.8979723349803024E-2</c:v>
                </c:pt>
                <c:pt idx="354">
                  <c:v>-1.8984548759103603E-2</c:v>
                </c:pt>
                <c:pt idx="355">
                  <c:v>-3.8891657711561223E-2</c:v>
                </c:pt>
                <c:pt idx="356">
                  <c:v>-3.8932180346561651E-2</c:v>
                </c:pt>
                <c:pt idx="357">
                  <c:v>-3.8983693458062518E-2</c:v>
                </c:pt>
                <c:pt idx="358">
                  <c:v>-3.904799468666198E-2</c:v>
                </c:pt>
                <c:pt idx="359">
                  <c:v>-3.912529885656113E-2</c:v>
                </c:pt>
                <c:pt idx="360">
                  <c:v>-4.0035145634718106E-2</c:v>
                </c:pt>
                <c:pt idx="361">
                  <c:v>-4.0647821454518507E-2</c:v>
                </c:pt>
                <c:pt idx="362">
                  <c:v>-4.1372141987118027E-2</c:v>
                </c:pt>
                <c:pt idx="363">
                  <c:v>-4.2240485095417668E-2</c:v>
                </c:pt>
                <c:pt idx="364">
                  <c:v>-4.3253153577017756E-2</c:v>
                </c:pt>
                <c:pt idx="365">
                  <c:v>-9.7090798909764686E-3</c:v>
                </c:pt>
                <c:pt idx="366">
                  <c:v>-1.628241398397634E-2</c:v>
                </c:pt>
                <c:pt idx="367">
                  <c:v>-2.3209945724975256E-2</c:v>
                </c:pt>
                <c:pt idx="368">
                  <c:v>-3.0758855601375146E-2</c:v>
                </c:pt>
                <c:pt idx="369">
                  <c:v>-3.8865526877675194E-2</c:v>
                </c:pt>
                <c:pt idx="370">
                  <c:v>5.9676420167967592E-2</c:v>
                </c:pt>
                <c:pt idx="371">
                  <c:v>2.9201845050968345E-2</c:v>
                </c:pt>
                <c:pt idx="372">
                  <c:v>4.0167228453178438E-3</c:v>
                </c:pt>
                <c:pt idx="373">
                  <c:v>-1.8285511204151561E-2</c:v>
                </c:pt>
                <c:pt idx="374">
                  <c:v>-3.8467315823762505E-2</c:v>
                </c:pt>
                <c:pt idx="375">
                  <c:v>-9.2057513828045501E-3</c:v>
                </c:pt>
                <c:pt idx="376">
                  <c:v>-9.2080722739034115E-3</c:v>
                </c:pt>
                <c:pt idx="377">
                  <c:v>-9.2111558573044761E-3</c:v>
                </c:pt>
                <c:pt idx="378">
                  <c:v>-9.2150643956045997E-3</c:v>
                </c:pt>
                <c:pt idx="379">
                  <c:v>-9.2198255162045939E-3</c:v>
                </c:pt>
                <c:pt idx="380">
                  <c:v>-3.0550415195461866E-2</c:v>
                </c:pt>
                <c:pt idx="381">
                  <c:v>-3.0590509796661891E-2</c:v>
                </c:pt>
                <c:pt idx="382">
                  <c:v>-3.0641468869662347E-2</c:v>
                </c:pt>
                <c:pt idx="383">
                  <c:v>-3.0705057227562449E-2</c:v>
                </c:pt>
                <c:pt idx="384">
                  <c:v>-3.0781494803262532E-2</c:v>
                </c:pt>
                <c:pt idx="385">
                  <c:v>-3.3522474050318607E-2</c:v>
                </c:pt>
                <c:pt idx="386">
                  <c:v>-3.4127815447318355E-2</c:v>
                </c:pt>
                <c:pt idx="387">
                  <c:v>-3.4844966561317747E-2</c:v>
                </c:pt>
                <c:pt idx="388">
                  <c:v>-3.5705090942917295E-2</c:v>
                </c:pt>
                <c:pt idx="389">
                  <c:v>-3.6708200561417215E-2</c:v>
                </c:pt>
                <c:pt idx="390">
                  <c:v>-5.3634163111766497E-3</c:v>
                </c:pt>
                <c:pt idx="391">
                  <c:v>-1.1837594198276236E-2</c:v>
                </c:pt>
                <c:pt idx="392">
                  <c:v>-1.8688368857075588E-2</c:v>
                </c:pt>
                <c:pt idx="393">
                  <c:v>-2.6163484835175055E-2</c:v>
                </c:pt>
                <c:pt idx="394">
                  <c:v>-3.419431032247644E-2</c:v>
                </c:pt>
                <c:pt idx="395">
                  <c:v>6.1501075472268241E-2</c:v>
                </c:pt>
                <c:pt idx="396">
                  <c:v>3.1372875445468296E-2</c:v>
                </c:pt>
                <c:pt idx="397">
                  <c:v>6.4821390479377072E-3</c:v>
                </c:pt>
                <c:pt idx="398">
                  <c:v>-1.5548132079892696E-2</c:v>
                </c:pt>
                <c:pt idx="399">
                  <c:v>-3.5469750186091886E-2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5B-C248-B7B1-0C986486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24687"/>
        <c:axId val="2091030303"/>
      </c:scatterChart>
      <c:valAx>
        <c:axId val="2091824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1030303"/>
        <c:crosses val="autoZero"/>
        <c:crossBetween val="midCat"/>
      </c:valAx>
      <c:valAx>
        <c:axId val="2091030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18246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DATA!$D$2:$D$401</c:f>
              <c:numCache>
                <c:formatCode>0.00</c:formatCode>
                <c:ptCount val="400"/>
                <c:pt idx="0">
                  <c:v>12.8519664309355</c:v>
                </c:pt>
                <c:pt idx="1">
                  <c:v>12.8519644448038</c:v>
                </c:pt>
                <c:pt idx="2">
                  <c:v>12.8519617164668</c:v>
                </c:pt>
                <c:pt idx="3">
                  <c:v>12.851958226062999</c:v>
                </c:pt>
                <c:pt idx="4">
                  <c:v>12.851953973255499</c:v>
                </c:pt>
                <c:pt idx="5">
                  <c:v>12.116853772320701</c:v>
                </c:pt>
                <c:pt idx="6">
                  <c:v>12.116819696222899</c:v>
                </c:pt>
                <c:pt idx="7">
                  <c:v>12.116773936759801</c:v>
                </c:pt>
                <c:pt idx="8">
                  <c:v>12.116716128764899</c:v>
                </c:pt>
                <c:pt idx="9">
                  <c:v>12.1166463402009</c:v>
                </c:pt>
                <c:pt idx="10">
                  <c:v>11.3967537143453</c:v>
                </c:pt>
                <c:pt idx="11">
                  <c:v>11.3962471492232</c:v>
                </c:pt>
                <c:pt idx="12">
                  <c:v>11.395602182307901</c:v>
                </c:pt>
                <c:pt idx="13">
                  <c:v>11.394813243178</c:v>
                </c:pt>
                <c:pt idx="14">
                  <c:v>11.393886951971</c:v>
                </c:pt>
                <c:pt idx="15">
                  <c:v>10.7047137654511</c:v>
                </c:pt>
                <c:pt idx="16">
                  <c:v>10.699110555975601</c:v>
                </c:pt>
                <c:pt idx="17">
                  <c:v>10.692915009521201</c:v>
                </c:pt>
                <c:pt idx="18">
                  <c:v>10.6860464422865</c:v>
                </c:pt>
                <c:pt idx="19">
                  <c:v>10.678621955143999</c:v>
                </c:pt>
                <c:pt idx="20">
                  <c:v>10.048911853917801</c:v>
                </c:pt>
                <c:pt idx="21">
                  <c:v>10.0213468764537</c:v>
                </c:pt>
                <c:pt idx="22">
                  <c:v>9.9986542805246792</c:v>
                </c:pt>
                <c:pt idx="23">
                  <c:v>9.9786677189138597</c:v>
                </c:pt>
                <c:pt idx="24">
                  <c:v>9.9607122222042896</c:v>
                </c:pt>
                <c:pt idx="25">
                  <c:v>12.851966441688401</c:v>
                </c:pt>
                <c:pt idx="26">
                  <c:v>12.851964440684499</c:v>
                </c:pt>
                <c:pt idx="27">
                  <c:v>12.851961715633299</c:v>
                </c:pt>
                <c:pt idx="28">
                  <c:v>12.8519582246361</c:v>
                </c:pt>
                <c:pt idx="29">
                  <c:v>12.8519539805677</c:v>
                </c:pt>
                <c:pt idx="30">
                  <c:v>12.1168537711624</c:v>
                </c:pt>
                <c:pt idx="31">
                  <c:v>12.1168196876851</c:v>
                </c:pt>
                <c:pt idx="32">
                  <c:v>12.116773934545799</c:v>
                </c:pt>
                <c:pt idx="33">
                  <c:v>12.116716126164601</c:v>
                </c:pt>
                <c:pt idx="34">
                  <c:v>12.1166463411429</c:v>
                </c:pt>
                <c:pt idx="35">
                  <c:v>11.396753699933999</c:v>
                </c:pt>
                <c:pt idx="36">
                  <c:v>11.396247144654</c:v>
                </c:pt>
                <c:pt idx="37">
                  <c:v>11.3956021855017</c:v>
                </c:pt>
                <c:pt idx="38">
                  <c:v>11.3948132369208</c:v>
                </c:pt>
                <c:pt idx="39">
                  <c:v>11.3938869390861</c:v>
                </c:pt>
                <c:pt idx="40">
                  <c:v>10.704713760949399</c:v>
                </c:pt>
                <c:pt idx="41">
                  <c:v>10.6991105555401</c:v>
                </c:pt>
                <c:pt idx="42">
                  <c:v>10.6929150078204</c:v>
                </c:pt>
                <c:pt idx="43">
                  <c:v>10.686046432386799</c:v>
                </c:pt>
                <c:pt idx="44">
                  <c:v>10.678621955871</c:v>
                </c:pt>
                <c:pt idx="45">
                  <c:v>10.048911854038399</c:v>
                </c:pt>
                <c:pt idx="46">
                  <c:v>10.0213468654535</c:v>
                </c:pt>
                <c:pt idx="47">
                  <c:v>9.9986542745026394</c:v>
                </c:pt>
                <c:pt idx="48">
                  <c:v>9.9786677180049992</c:v>
                </c:pt>
                <c:pt idx="49">
                  <c:v>9.9607122196218807</c:v>
                </c:pt>
                <c:pt idx="50">
                  <c:v>12.8519664375946</c:v>
                </c:pt>
                <c:pt idx="51">
                  <c:v>12.851964444349701</c:v>
                </c:pt>
                <c:pt idx="52">
                  <c:v>12.851961718711101</c:v>
                </c:pt>
                <c:pt idx="53">
                  <c:v>12.8519582295676</c:v>
                </c:pt>
                <c:pt idx="54">
                  <c:v>12.851953974998899</c:v>
                </c:pt>
                <c:pt idx="55">
                  <c:v>12.116853773599001</c:v>
                </c:pt>
                <c:pt idx="56">
                  <c:v>12.1168196951264</c:v>
                </c:pt>
                <c:pt idx="57">
                  <c:v>12.1167739436359</c:v>
                </c:pt>
                <c:pt idx="58">
                  <c:v>12.1167161228236</c:v>
                </c:pt>
                <c:pt idx="59">
                  <c:v>12.116646336075</c:v>
                </c:pt>
                <c:pt idx="60">
                  <c:v>11.3967536997305</c:v>
                </c:pt>
                <c:pt idx="61">
                  <c:v>11.396247145189299</c:v>
                </c:pt>
                <c:pt idx="62">
                  <c:v>11.3956021863749</c:v>
                </c:pt>
                <c:pt idx="63">
                  <c:v>11.394813232630799</c:v>
                </c:pt>
                <c:pt idx="64">
                  <c:v>11.3938869454603</c:v>
                </c:pt>
                <c:pt idx="65">
                  <c:v>10.7047137692332</c:v>
                </c:pt>
                <c:pt idx="66">
                  <c:v>10.6991105423284</c:v>
                </c:pt>
                <c:pt idx="67">
                  <c:v>10.6929150197758</c:v>
                </c:pt>
                <c:pt idx="68">
                  <c:v>10.686046436813401</c:v>
                </c:pt>
                <c:pt idx="69">
                  <c:v>10.678621952417201</c:v>
                </c:pt>
                <c:pt idx="70">
                  <c:v>10.048911867783801</c:v>
                </c:pt>
                <c:pt idx="71">
                  <c:v>10.021346872214099</c:v>
                </c:pt>
                <c:pt idx="72">
                  <c:v>9.9986542757576693</c:v>
                </c:pt>
                <c:pt idx="73">
                  <c:v>9.9786677241344908</c:v>
                </c:pt>
                <c:pt idx="74">
                  <c:v>9.96071222145601</c:v>
                </c:pt>
                <c:pt idx="75">
                  <c:v>12.851966444912399</c:v>
                </c:pt>
                <c:pt idx="76">
                  <c:v>12.851964442184199</c:v>
                </c:pt>
                <c:pt idx="77">
                  <c:v>12.8519617139392</c:v>
                </c:pt>
                <c:pt idx="78">
                  <c:v>12.8519582269761</c:v>
                </c:pt>
                <c:pt idx="79">
                  <c:v>12.851953980677701</c:v>
                </c:pt>
                <c:pt idx="80">
                  <c:v>12.1168537742738</c:v>
                </c:pt>
                <c:pt idx="81">
                  <c:v>12.116819693940601</c:v>
                </c:pt>
                <c:pt idx="82">
                  <c:v>12.1167739435766</c:v>
                </c:pt>
                <c:pt idx="83">
                  <c:v>12.116716126200499</c:v>
                </c:pt>
                <c:pt idx="84">
                  <c:v>12.116646336430801</c:v>
                </c:pt>
                <c:pt idx="85">
                  <c:v>11.396753700585601</c:v>
                </c:pt>
                <c:pt idx="86">
                  <c:v>11.396247144537</c:v>
                </c:pt>
                <c:pt idx="87">
                  <c:v>11.395602181857599</c:v>
                </c:pt>
                <c:pt idx="88">
                  <c:v>11.3948132290363</c:v>
                </c:pt>
                <c:pt idx="89">
                  <c:v>11.3938869454563</c:v>
                </c:pt>
                <c:pt idx="90">
                  <c:v>10.704713766421399</c:v>
                </c:pt>
                <c:pt idx="91">
                  <c:v>10.6991105543517</c:v>
                </c:pt>
                <c:pt idx="92">
                  <c:v>10.692915023007499</c:v>
                </c:pt>
                <c:pt idx="93">
                  <c:v>10.686046433047499</c:v>
                </c:pt>
                <c:pt idx="94">
                  <c:v>10.6786219516469</c:v>
                </c:pt>
                <c:pt idx="95">
                  <c:v>10.048911848538999</c:v>
                </c:pt>
                <c:pt idx="96">
                  <c:v>10.0213468631033</c:v>
                </c:pt>
                <c:pt idx="97">
                  <c:v>9.9986542690410705</c:v>
                </c:pt>
                <c:pt idx="98">
                  <c:v>9.9786677287451404</c:v>
                </c:pt>
                <c:pt idx="99">
                  <c:v>9.9607122126150394</c:v>
                </c:pt>
                <c:pt idx="100">
                  <c:v>12.8135232264364</c:v>
                </c:pt>
                <c:pt idx="101">
                  <c:v>12.8135210104415</c:v>
                </c:pt>
                <c:pt idx="102">
                  <c:v>12.813518079134999</c:v>
                </c:pt>
                <c:pt idx="103">
                  <c:v>12.8135143489323</c:v>
                </c:pt>
                <c:pt idx="104">
                  <c:v>12.813509813274701</c:v>
                </c:pt>
                <c:pt idx="105">
                  <c:v>12.083588194671901</c:v>
                </c:pt>
                <c:pt idx="106">
                  <c:v>12.083549626541499</c:v>
                </c:pt>
                <c:pt idx="107">
                  <c:v>12.083500592286599</c:v>
                </c:pt>
                <c:pt idx="108">
                  <c:v>12.083439399107</c:v>
                </c:pt>
                <c:pt idx="109">
                  <c:v>12.0833658637181</c:v>
                </c:pt>
                <c:pt idx="110">
                  <c:v>11.370598883853299</c:v>
                </c:pt>
                <c:pt idx="111">
                  <c:v>11.3700235825464</c:v>
                </c:pt>
                <c:pt idx="112">
                  <c:v>11.3693323015081</c:v>
                </c:pt>
                <c:pt idx="113">
                  <c:v>11.3685006824658</c:v>
                </c:pt>
                <c:pt idx="114">
                  <c:v>11.367530099011899</c:v>
                </c:pt>
                <c:pt idx="115">
                  <c:v>10.687483500413199</c:v>
                </c:pt>
                <c:pt idx="116">
                  <c:v>10.6813711442153</c:v>
                </c:pt>
                <c:pt idx="117">
                  <c:v>10.6747954439751</c:v>
                </c:pt>
                <c:pt idx="118">
                  <c:v>10.667579496282199</c:v>
                </c:pt>
                <c:pt idx="119">
                  <c:v>10.6598115122541</c:v>
                </c:pt>
                <c:pt idx="120">
                  <c:v>10.0418961566967</c:v>
                </c:pt>
                <c:pt idx="121">
                  <c:v>10.012933000459</c:v>
                </c:pt>
                <c:pt idx="122">
                  <c:v>9.9890369732273196</c:v>
                </c:pt>
                <c:pt idx="123">
                  <c:v>9.9679285122310102</c:v>
                </c:pt>
                <c:pt idx="124">
                  <c:v>9.94889118973955</c:v>
                </c:pt>
                <c:pt idx="125">
                  <c:v>12.819823258136299</c:v>
                </c:pt>
                <c:pt idx="126">
                  <c:v>12.819821068537699</c:v>
                </c:pt>
                <c:pt idx="127">
                  <c:v>12.819818151723901</c:v>
                </c:pt>
                <c:pt idx="128">
                  <c:v>12.819814469638899</c:v>
                </c:pt>
                <c:pt idx="129">
                  <c:v>12.8198099818476</c:v>
                </c:pt>
                <c:pt idx="130">
                  <c:v>12.089014784611599</c:v>
                </c:pt>
                <c:pt idx="131">
                  <c:v>12.0889765383869</c:v>
                </c:pt>
                <c:pt idx="132">
                  <c:v>12.088927872880999</c:v>
                </c:pt>
                <c:pt idx="133">
                  <c:v>12.088867180921801</c:v>
                </c:pt>
                <c:pt idx="134">
                  <c:v>12.0887942064464</c:v>
                </c:pt>
                <c:pt idx="135">
                  <c:v>11.374858489564801</c:v>
                </c:pt>
                <c:pt idx="136">
                  <c:v>11.3742906677397</c:v>
                </c:pt>
                <c:pt idx="137">
                  <c:v>11.373605069657399</c:v>
                </c:pt>
                <c:pt idx="138">
                  <c:v>11.372779324882501</c:v>
                </c:pt>
                <c:pt idx="139">
                  <c:v>11.3718152610601</c:v>
                </c:pt>
                <c:pt idx="140">
                  <c:v>10.690305120758399</c:v>
                </c:pt>
                <c:pt idx="141">
                  <c:v>10.6842695223616</c:v>
                </c:pt>
                <c:pt idx="142">
                  <c:v>10.677751393192301</c:v>
                </c:pt>
                <c:pt idx="143">
                  <c:v>10.670588754683701</c:v>
                </c:pt>
                <c:pt idx="144">
                  <c:v>10.662874102820799</c:v>
                </c:pt>
                <c:pt idx="145">
                  <c:v>10.0430558455965</c:v>
                </c:pt>
                <c:pt idx="146">
                  <c:v>10.0143206304448</c:v>
                </c:pt>
                <c:pt idx="147">
                  <c:v>9.9906200609445701</c:v>
                </c:pt>
                <c:pt idx="148">
                  <c:v>9.9696932826878708</c:v>
                </c:pt>
                <c:pt idx="149">
                  <c:v>9.9508307229625697</c:v>
                </c:pt>
                <c:pt idx="150">
                  <c:v>12.8243471967674</c:v>
                </c:pt>
                <c:pt idx="151">
                  <c:v>12.824345016640301</c:v>
                </c:pt>
                <c:pt idx="152">
                  <c:v>12.824342120911499</c:v>
                </c:pt>
                <c:pt idx="153">
                  <c:v>12.824338451545101</c:v>
                </c:pt>
                <c:pt idx="154">
                  <c:v>12.8243340108809</c:v>
                </c:pt>
                <c:pt idx="155">
                  <c:v>12.0929167691933</c:v>
                </c:pt>
                <c:pt idx="156">
                  <c:v>12.092878780585201</c:v>
                </c:pt>
                <c:pt idx="157">
                  <c:v>12.0928304042131</c:v>
                </c:pt>
                <c:pt idx="158">
                  <c:v>12.0927700437115</c:v>
                </c:pt>
                <c:pt idx="159">
                  <c:v>12.0926974794603</c:v>
                </c:pt>
                <c:pt idx="160">
                  <c:v>11.3779235330407</c:v>
                </c:pt>
                <c:pt idx="161">
                  <c:v>11.377361653303099</c:v>
                </c:pt>
                <c:pt idx="162">
                  <c:v>11.3766803661727</c:v>
                </c:pt>
                <c:pt idx="163">
                  <c:v>11.3758589510023</c:v>
                </c:pt>
                <c:pt idx="164">
                  <c:v>11.374899659637901</c:v>
                </c:pt>
                <c:pt idx="165">
                  <c:v>10.692332453278301</c:v>
                </c:pt>
                <c:pt idx="166">
                  <c:v>10.6863534410023</c:v>
                </c:pt>
                <c:pt idx="167">
                  <c:v>10.6798776666749</c:v>
                </c:pt>
                <c:pt idx="168">
                  <c:v>10.6727540515462</c:v>
                </c:pt>
                <c:pt idx="169">
                  <c:v>10.665078283405199</c:v>
                </c:pt>
                <c:pt idx="170">
                  <c:v>10.0438865123994</c:v>
                </c:pt>
                <c:pt idx="171">
                  <c:v>10.015315320115301</c:v>
                </c:pt>
                <c:pt idx="172">
                  <c:v>9.9917555934084792</c:v>
                </c:pt>
                <c:pt idx="173">
                  <c:v>9.9709598771352201</c:v>
                </c:pt>
                <c:pt idx="174">
                  <c:v>9.9522234459026908</c:v>
                </c:pt>
                <c:pt idx="175">
                  <c:v>12.8277537052755</c:v>
                </c:pt>
                <c:pt idx="176">
                  <c:v>12.8277515335605</c:v>
                </c:pt>
                <c:pt idx="177">
                  <c:v>12.827748660580401</c:v>
                </c:pt>
                <c:pt idx="178">
                  <c:v>12.8277450121799</c:v>
                </c:pt>
                <c:pt idx="179">
                  <c:v>12.827740583893</c:v>
                </c:pt>
                <c:pt idx="180">
                  <c:v>12.095858014128501</c:v>
                </c:pt>
                <c:pt idx="181">
                  <c:v>12.0958202519318</c:v>
                </c:pt>
                <c:pt idx="182">
                  <c:v>12.0957720830996</c:v>
                </c:pt>
                <c:pt idx="183">
                  <c:v>12.095711978216601</c:v>
                </c:pt>
                <c:pt idx="184">
                  <c:v>12.0956397263413</c:v>
                </c:pt>
                <c:pt idx="185">
                  <c:v>11.380235088782999</c:v>
                </c:pt>
                <c:pt idx="186">
                  <c:v>11.3796780347595</c:v>
                </c:pt>
                <c:pt idx="187">
                  <c:v>11.379000175533401</c:v>
                </c:pt>
                <c:pt idx="188">
                  <c:v>11.378182120557501</c:v>
                </c:pt>
                <c:pt idx="189">
                  <c:v>11.3772264479302</c:v>
                </c:pt>
                <c:pt idx="190">
                  <c:v>10.6938595454007</c:v>
                </c:pt>
                <c:pt idx="191">
                  <c:v>10.6879240025992</c:v>
                </c:pt>
                <c:pt idx="192">
                  <c:v>10.6814807244841</c:v>
                </c:pt>
                <c:pt idx="193">
                  <c:v>10.6743869376822</c:v>
                </c:pt>
                <c:pt idx="194">
                  <c:v>10.666740822457999</c:v>
                </c:pt>
                <c:pt idx="195">
                  <c:v>10.0445107851562</c:v>
                </c:pt>
                <c:pt idx="196">
                  <c:v>10.016063318418601</c:v>
                </c:pt>
                <c:pt idx="197">
                  <c:v>9.9926098874275695</c:v>
                </c:pt>
                <c:pt idx="198">
                  <c:v>9.9719131332703501</c:v>
                </c:pt>
                <c:pt idx="199">
                  <c:v>9.9532720636974101</c:v>
                </c:pt>
                <c:pt idx="200">
                  <c:v>12.7764673016516</c:v>
                </c:pt>
                <c:pt idx="201">
                  <c:v>12.776464962460199</c:v>
                </c:pt>
                <c:pt idx="202">
                  <c:v>12.7764618577409</c:v>
                </c:pt>
                <c:pt idx="203">
                  <c:v>12.776457924889</c:v>
                </c:pt>
                <c:pt idx="204">
                  <c:v>12.7764531385252</c:v>
                </c:pt>
                <c:pt idx="205">
                  <c:v>12.0518185962625</c:v>
                </c:pt>
                <c:pt idx="206">
                  <c:v>12.0517782950367</c:v>
                </c:pt>
                <c:pt idx="207">
                  <c:v>12.051727077961999</c:v>
                </c:pt>
                <c:pt idx="208">
                  <c:v>12.0516631671462</c:v>
                </c:pt>
                <c:pt idx="209">
                  <c:v>12.051586313463099</c:v>
                </c:pt>
                <c:pt idx="210">
                  <c:v>11.3457332581158</c:v>
                </c:pt>
                <c:pt idx="211">
                  <c:v>11.345124425211701</c:v>
                </c:pt>
                <c:pt idx="212">
                  <c:v>11.344403899102501</c:v>
                </c:pt>
                <c:pt idx="213">
                  <c:v>11.3435399185046</c:v>
                </c:pt>
                <c:pt idx="214">
                  <c:v>11.342532332087099</c:v>
                </c:pt>
                <c:pt idx="215">
                  <c:v>10.670939353129899</c:v>
                </c:pt>
                <c:pt idx="216">
                  <c:v>10.6644182906617</c:v>
                </c:pt>
                <c:pt idx="217">
                  <c:v>10.6575313154953</c:v>
                </c:pt>
                <c:pt idx="218">
                  <c:v>10.650021494084699</c:v>
                </c:pt>
                <c:pt idx="219">
                  <c:v>10.6419550447928</c:v>
                </c:pt>
                <c:pt idx="220">
                  <c:v>10.0350166525447</c:v>
                </c:pt>
                <c:pt idx="221">
                  <c:v>10.004726212732299</c:v>
                </c:pt>
                <c:pt idx="222">
                  <c:v>9.9796975230816098</c:v>
                </c:pt>
                <c:pt idx="223">
                  <c:v>9.9575397757623492</c:v>
                </c:pt>
                <c:pt idx="224">
                  <c:v>9.9374961509858206</c:v>
                </c:pt>
                <c:pt idx="225">
                  <c:v>12.7886851663695</c:v>
                </c:pt>
                <c:pt idx="226">
                  <c:v>12.7886828719187</c:v>
                </c:pt>
                <c:pt idx="227">
                  <c:v>12.7886798188248</c:v>
                </c:pt>
                <c:pt idx="228">
                  <c:v>12.788675948645301</c:v>
                </c:pt>
                <c:pt idx="229">
                  <c:v>12.7886712478143</c:v>
                </c:pt>
                <c:pt idx="230">
                  <c:v>12.0622677101919</c:v>
                </c:pt>
                <c:pt idx="231">
                  <c:v>12.062227952134499</c:v>
                </c:pt>
                <c:pt idx="232">
                  <c:v>12.062177433895499</c:v>
                </c:pt>
                <c:pt idx="233">
                  <c:v>12.062114424868</c:v>
                </c:pt>
                <c:pt idx="234">
                  <c:v>12.062038659692</c:v>
                </c:pt>
                <c:pt idx="235">
                  <c:v>11.353898318324999</c:v>
                </c:pt>
                <c:pt idx="236">
                  <c:v>11.353299156227299</c:v>
                </c:pt>
                <c:pt idx="237">
                  <c:v>11.352587737512801</c:v>
                </c:pt>
                <c:pt idx="238">
                  <c:v>11.351734158250199</c:v>
                </c:pt>
                <c:pt idx="239">
                  <c:v>11.3507385897574</c:v>
                </c:pt>
                <c:pt idx="240">
                  <c:v>10.6763831025113</c:v>
                </c:pt>
                <c:pt idx="241">
                  <c:v>10.6699894674791</c:v>
                </c:pt>
                <c:pt idx="242">
                  <c:v>10.6632005721965</c:v>
                </c:pt>
                <c:pt idx="243">
                  <c:v>10.655784450249801</c:v>
                </c:pt>
                <c:pt idx="244">
                  <c:v>10.647813964012</c:v>
                </c:pt>
                <c:pt idx="245">
                  <c:v>10.0372950209909</c:v>
                </c:pt>
                <c:pt idx="246">
                  <c:v>10.007439483431799</c:v>
                </c:pt>
                <c:pt idx="247">
                  <c:v>9.9827809284263491</c:v>
                </c:pt>
                <c:pt idx="248">
                  <c:v>9.96096541303001</c:v>
                </c:pt>
                <c:pt idx="249">
                  <c:v>9.9412494674132894</c:v>
                </c:pt>
                <c:pt idx="250">
                  <c:v>12.7974921693441</c:v>
                </c:pt>
                <c:pt idx="251">
                  <c:v>12.797489900327699</c:v>
                </c:pt>
                <c:pt idx="252">
                  <c:v>12.7974868909803</c:v>
                </c:pt>
                <c:pt idx="253">
                  <c:v>12.797483068253101</c:v>
                </c:pt>
                <c:pt idx="254">
                  <c:v>12.7974784271609</c:v>
                </c:pt>
                <c:pt idx="255">
                  <c:v>12.0698148413049</c:v>
                </c:pt>
                <c:pt idx="256">
                  <c:v>12.069775477932099</c:v>
                </c:pt>
                <c:pt idx="257">
                  <c:v>12.0697254736888</c:v>
                </c:pt>
                <c:pt idx="258">
                  <c:v>12.069663110871801</c:v>
                </c:pt>
                <c:pt idx="259">
                  <c:v>12.0695881344021</c:v>
                </c:pt>
                <c:pt idx="260">
                  <c:v>11.3598037212553</c:v>
                </c:pt>
                <c:pt idx="261">
                  <c:v>11.359212233159299</c:v>
                </c:pt>
                <c:pt idx="262">
                  <c:v>11.358507663046799</c:v>
                </c:pt>
                <c:pt idx="263">
                  <c:v>11.3576617072237</c:v>
                </c:pt>
                <c:pt idx="264">
                  <c:v>11.356674894868799</c:v>
                </c:pt>
                <c:pt idx="265">
                  <c:v>10.680314186120199</c:v>
                </c:pt>
                <c:pt idx="266">
                  <c:v>10.674016661241</c:v>
                </c:pt>
                <c:pt idx="267">
                  <c:v>10.667301062452299</c:v>
                </c:pt>
                <c:pt idx="268">
                  <c:v>10.659954294925599</c:v>
                </c:pt>
                <c:pt idx="269">
                  <c:v>10.6520543603147</c:v>
                </c:pt>
                <c:pt idx="270">
                  <c:v>10.0389314262213</c:v>
                </c:pt>
                <c:pt idx="271">
                  <c:v>10.0093910805822</c:v>
                </c:pt>
                <c:pt idx="272">
                  <c:v>9.9850013969480091</c:v>
                </c:pt>
                <c:pt idx="273">
                  <c:v>9.9634348684653595</c:v>
                </c:pt>
                <c:pt idx="274">
                  <c:v>9.9439576284869702</c:v>
                </c:pt>
                <c:pt idx="275">
                  <c:v>12.804143119203999</c:v>
                </c:pt>
                <c:pt idx="276">
                  <c:v>12.804140869247099</c:v>
                </c:pt>
                <c:pt idx="277">
                  <c:v>12.804137891706</c:v>
                </c:pt>
                <c:pt idx="278">
                  <c:v>12.804134106951301</c:v>
                </c:pt>
                <c:pt idx="279">
                  <c:v>12.8041295151474</c:v>
                </c:pt>
                <c:pt idx="280">
                  <c:v>12.0755232856629</c:v>
                </c:pt>
                <c:pt idx="281">
                  <c:v>12.0754842492659</c:v>
                </c:pt>
                <c:pt idx="282">
                  <c:v>12.0754346475253</c:v>
                </c:pt>
                <c:pt idx="283">
                  <c:v>12.0753727634883</c:v>
                </c:pt>
                <c:pt idx="284">
                  <c:v>12.0752983822414</c:v>
                </c:pt>
                <c:pt idx="285">
                  <c:v>11.364275020570799</c:v>
                </c:pt>
                <c:pt idx="286">
                  <c:v>11.363689837124801</c:v>
                </c:pt>
                <c:pt idx="287">
                  <c:v>11.362990607305299</c:v>
                </c:pt>
                <c:pt idx="288">
                  <c:v>11.3621505174399</c:v>
                </c:pt>
                <c:pt idx="289">
                  <c:v>11.3611703894945</c:v>
                </c:pt>
                <c:pt idx="290">
                  <c:v>10.683286555194099</c:v>
                </c:pt>
                <c:pt idx="291">
                  <c:v>10.677064176469599</c:v>
                </c:pt>
                <c:pt idx="292">
                  <c:v>10.6704055401693</c:v>
                </c:pt>
                <c:pt idx="293">
                  <c:v>10.663112276835299</c:v>
                </c:pt>
                <c:pt idx="294">
                  <c:v>10.655266484818201</c:v>
                </c:pt>
                <c:pt idx="295">
                  <c:v>10.040163728727499</c:v>
                </c:pt>
                <c:pt idx="296">
                  <c:v>10.010862313862001</c:v>
                </c:pt>
                <c:pt idx="297">
                  <c:v>9.9866767753172496</c:v>
                </c:pt>
                <c:pt idx="298">
                  <c:v>9.96529954180847</c:v>
                </c:pt>
                <c:pt idx="299">
                  <c:v>9.9460039623838608</c:v>
                </c:pt>
                <c:pt idx="300">
                  <c:v>12.740538483724301</c:v>
                </c:pt>
                <c:pt idx="301">
                  <c:v>12.740536026848901</c:v>
                </c:pt>
                <c:pt idx="302">
                  <c:v>12.7405327610297</c:v>
                </c:pt>
                <c:pt idx="303">
                  <c:v>12.740528615464401</c:v>
                </c:pt>
                <c:pt idx="304">
                  <c:v>12.740523590887101</c:v>
                </c:pt>
                <c:pt idx="305">
                  <c:v>12.0212168252186</c:v>
                </c:pt>
                <c:pt idx="306">
                  <c:v>12.021175009816099</c:v>
                </c:pt>
                <c:pt idx="307">
                  <c:v>12.021121733362101</c:v>
                </c:pt>
                <c:pt idx="308">
                  <c:v>12.0210552054105</c:v>
                </c:pt>
                <c:pt idx="309">
                  <c:v>12.0209752004127</c:v>
                </c:pt>
                <c:pt idx="310">
                  <c:v>11.321889895455101</c:v>
                </c:pt>
                <c:pt idx="311">
                  <c:v>11.321256647392</c:v>
                </c:pt>
                <c:pt idx="312">
                  <c:v>11.3205108627097</c:v>
                </c:pt>
                <c:pt idx="313">
                  <c:v>11.3196171434112</c:v>
                </c:pt>
                <c:pt idx="314">
                  <c:v>11.3185748269815</c:v>
                </c:pt>
                <c:pt idx="315">
                  <c:v>10.6550020274791</c:v>
                </c:pt>
                <c:pt idx="316">
                  <c:v>10.648140233473701</c:v>
                </c:pt>
                <c:pt idx="317">
                  <c:v>10.640984689444201</c:v>
                </c:pt>
                <c:pt idx="318">
                  <c:v>10.6332126635095</c:v>
                </c:pt>
                <c:pt idx="319">
                  <c:v>10.624874168694401</c:v>
                </c:pt>
                <c:pt idx="320">
                  <c:v>10.028268082076901</c:v>
                </c:pt>
                <c:pt idx="321">
                  <c:v>9.9967157891344893</c:v>
                </c:pt>
                <c:pt idx="322">
                  <c:v>9.9706183300528597</c:v>
                </c:pt>
                <c:pt idx="323">
                  <c:v>9.9474756182750106</c:v>
                </c:pt>
                <c:pt idx="324">
                  <c:v>9.92649159072133</c:v>
                </c:pt>
                <c:pt idx="325">
                  <c:v>12.758372121777301</c:v>
                </c:pt>
                <c:pt idx="326">
                  <c:v>12.7583697228504</c:v>
                </c:pt>
                <c:pt idx="327">
                  <c:v>12.7583665330468</c:v>
                </c:pt>
                <c:pt idx="328">
                  <c:v>12.7583625019798</c:v>
                </c:pt>
                <c:pt idx="329">
                  <c:v>12.758357583649699</c:v>
                </c:pt>
                <c:pt idx="330">
                  <c:v>12.036384169512401</c:v>
                </c:pt>
                <c:pt idx="331">
                  <c:v>12.0363430975607</c:v>
                </c:pt>
                <c:pt idx="332">
                  <c:v>12.0362908373731</c:v>
                </c:pt>
                <c:pt idx="333">
                  <c:v>12.036225600331599</c:v>
                </c:pt>
                <c:pt idx="334">
                  <c:v>12.036147159981599</c:v>
                </c:pt>
                <c:pt idx="335">
                  <c:v>11.333695115689</c:v>
                </c:pt>
                <c:pt idx="336">
                  <c:v>11.333073397410599</c:v>
                </c:pt>
                <c:pt idx="337">
                  <c:v>11.332339919773201</c:v>
                </c:pt>
                <c:pt idx="338">
                  <c:v>11.3314608443597</c:v>
                </c:pt>
                <c:pt idx="339">
                  <c:v>11.3304356603717</c:v>
                </c:pt>
                <c:pt idx="340">
                  <c:v>10.662899100651799</c:v>
                </c:pt>
                <c:pt idx="341">
                  <c:v>10.656200619063799</c:v>
                </c:pt>
                <c:pt idx="342">
                  <c:v>10.6491750768957</c:v>
                </c:pt>
                <c:pt idx="343">
                  <c:v>10.6415309949091</c:v>
                </c:pt>
                <c:pt idx="344">
                  <c:v>10.633325856750201</c:v>
                </c:pt>
                <c:pt idx="345">
                  <c:v>10.0316263067511</c:v>
                </c:pt>
                <c:pt idx="346">
                  <c:v>10.000697087478899</c:v>
                </c:pt>
                <c:pt idx="347">
                  <c:v>9.9751264203907599</c:v>
                </c:pt>
                <c:pt idx="348">
                  <c:v>9.9524686157943201</c:v>
                </c:pt>
                <c:pt idx="349">
                  <c:v>9.9319470784167105</c:v>
                </c:pt>
                <c:pt idx="350">
                  <c:v>12.771269546131901</c:v>
                </c:pt>
                <c:pt idx="351">
                  <c:v>12.771267190908301</c:v>
                </c:pt>
                <c:pt idx="352">
                  <c:v>12.7712640651414</c:v>
                </c:pt>
                <c:pt idx="353">
                  <c:v>12.771260092060601</c:v>
                </c:pt>
                <c:pt idx="354">
                  <c:v>12.7712552666513</c:v>
                </c:pt>
                <c:pt idx="355">
                  <c:v>12.047380264088901</c:v>
                </c:pt>
                <c:pt idx="356">
                  <c:v>12.0473397414539</c:v>
                </c:pt>
                <c:pt idx="357">
                  <c:v>12.047288228342399</c:v>
                </c:pt>
                <c:pt idx="358">
                  <c:v>12.0472239271138</c:v>
                </c:pt>
                <c:pt idx="359">
                  <c:v>12.047146622943901</c:v>
                </c:pt>
                <c:pt idx="360">
                  <c:v>11.3422688825558</c:v>
                </c:pt>
                <c:pt idx="361">
                  <c:v>11.341656206735999</c:v>
                </c:pt>
                <c:pt idx="362">
                  <c:v>11.3409318862034</c:v>
                </c:pt>
                <c:pt idx="363">
                  <c:v>11.3400635430951</c:v>
                </c:pt>
                <c:pt idx="364">
                  <c:v>11.3390508746135</c:v>
                </c:pt>
                <c:pt idx="365">
                  <c:v>10.668627054689599</c:v>
                </c:pt>
                <c:pt idx="366">
                  <c:v>10.6620537205966</c:v>
                </c:pt>
                <c:pt idx="367">
                  <c:v>10.655126188855601</c:v>
                </c:pt>
                <c:pt idx="368">
                  <c:v>10.647577278979201</c:v>
                </c:pt>
                <c:pt idx="369">
                  <c:v>10.639470607702901</c:v>
                </c:pt>
                <c:pt idx="370">
                  <c:v>10.0340446611386</c:v>
                </c:pt>
                <c:pt idx="371">
                  <c:v>10.0035700860216</c:v>
                </c:pt>
                <c:pt idx="372">
                  <c:v>9.9783849638159499</c:v>
                </c:pt>
                <c:pt idx="373">
                  <c:v>9.9560827297664805</c:v>
                </c:pt>
                <c:pt idx="374">
                  <c:v>9.9359009251468695</c:v>
                </c:pt>
                <c:pt idx="375">
                  <c:v>12.781034064027599</c:v>
                </c:pt>
                <c:pt idx="376">
                  <c:v>12.7810317431365</c:v>
                </c:pt>
                <c:pt idx="377">
                  <c:v>12.781028659553099</c:v>
                </c:pt>
                <c:pt idx="378">
                  <c:v>12.781024751014799</c:v>
                </c:pt>
                <c:pt idx="379">
                  <c:v>12.781019989894199</c:v>
                </c:pt>
                <c:pt idx="380">
                  <c:v>12.055721506605</c:v>
                </c:pt>
                <c:pt idx="381">
                  <c:v>12.0556814120038</c:v>
                </c:pt>
                <c:pt idx="382">
                  <c:v>12.055630452930799</c:v>
                </c:pt>
                <c:pt idx="383">
                  <c:v>12.055566864572899</c:v>
                </c:pt>
                <c:pt idx="384">
                  <c:v>12.055490426997199</c:v>
                </c:pt>
                <c:pt idx="385">
                  <c:v>11.348781554140199</c:v>
                </c:pt>
                <c:pt idx="386">
                  <c:v>11.3481762127432</c:v>
                </c:pt>
                <c:pt idx="387">
                  <c:v>11.3474590616292</c:v>
                </c:pt>
                <c:pt idx="388">
                  <c:v>11.346598937247601</c:v>
                </c:pt>
                <c:pt idx="389">
                  <c:v>11.345595827629101</c:v>
                </c:pt>
                <c:pt idx="390">
                  <c:v>10.672972718269399</c:v>
                </c:pt>
                <c:pt idx="391">
                  <c:v>10.6664985403823</c:v>
                </c:pt>
                <c:pt idx="392">
                  <c:v>10.6596477657235</c:v>
                </c:pt>
                <c:pt idx="393">
                  <c:v>10.652172649745401</c:v>
                </c:pt>
                <c:pt idx="394">
                  <c:v>10.644141824258099</c:v>
                </c:pt>
                <c:pt idx="395">
                  <c:v>10.0358693164429</c:v>
                </c:pt>
                <c:pt idx="396">
                  <c:v>10.0057411164161</c:v>
                </c:pt>
                <c:pt idx="397">
                  <c:v>9.9808503800185697</c:v>
                </c:pt>
                <c:pt idx="398">
                  <c:v>9.9588201088907393</c:v>
                </c:pt>
                <c:pt idx="399">
                  <c:v>9.9388984907845401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BE-8A46-AE8E-9101A3722BB7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'E-Stat2'!$B$25:$B$424</c:f>
              <c:numCache>
                <c:formatCode>General</c:formatCode>
                <c:ptCount val="400"/>
                <c:pt idx="0">
                  <c:v>12.790239815410404</c:v>
                </c:pt>
                <c:pt idx="1">
                  <c:v>12.790239815410404</c:v>
                </c:pt>
                <c:pt idx="2">
                  <c:v>12.790239815410404</c:v>
                </c:pt>
                <c:pt idx="3">
                  <c:v>12.790239815410404</c:v>
                </c:pt>
                <c:pt idx="4">
                  <c:v>12.790239815410404</c:v>
                </c:pt>
                <c:pt idx="5">
                  <c:v>12.086271921800462</c:v>
                </c:pt>
                <c:pt idx="6">
                  <c:v>12.086271921800462</c:v>
                </c:pt>
                <c:pt idx="7">
                  <c:v>12.086271921800462</c:v>
                </c:pt>
                <c:pt idx="8">
                  <c:v>12.086271921800462</c:v>
                </c:pt>
                <c:pt idx="9">
                  <c:v>12.086271921800462</c:v>
                </c:pt>
                <c:pt idx="10">
                  <c:v>11.382304028190518</c:v>
                </c:pt>
                <c:pt idx="11">
                  <c:v>11.382304028190518</c:v>
                </c:pt>
                <c:pt idx="12">
                  <c:v>11.382304028190518</c:v>
                </c:pt>
                <c:pt idx="13">
                  <c:v>11.382304028190518</c:v>
                </c:pt>
                <c:pt idx="14">
                  <c:v>11.382304028190518</c:v>
                </c:pt>
                <c:pt idx="15">
                  <c:v>10.678336134580576</c:v>
                </c:pt>
                <c:pt idx="16">
                  <c:v>10.678336134580576</c:v>
                </c:pt>
                <c:pt idx="17">
                  <c:v>10.678336134580576</c:v>
                </c:pt>
                <c:pt idx="18">
                  <c:v>10.678336134580576</c:v>
                </c:pt>
                <c:pt idx="19">
                  <c:v>10.678336134580576</c:v>
                </c:pt>
                <c:pt idx="20">
                  <c:v>9.974368240970632</c:v>
                </c:pt>
                <c:pt idx="21">
                  <c:v>9.974368240970632</c:v>
                </c:pt>
                <c:pt idx="22">
                  <c:v>9.974368240970632</c:v>
                </c:pt>
                <c:pt idx="23">
                  <c:v>9.974368240970632</c:v>
                </c:pt>
                <c:pt idx="24">
                  <c:v>9.974368240970632</c:v>
                </c:pt>
                <c:pt idx="25">
                  <c:v>12.790239815410404</c:v>
                </c:pt>
                <c:pt idx="26">
                  <c:v>12.790239815410404</c:v>
                </c:pt>
                <c:pt idx="27">
                  <c:v>12.790239815410404</c:v>
                </c:pt>
                <c:pt idx="28">
                  <c:v>12.790239815410404</c:v>
                </c:pt>
                <c:pt idx="29">
                  <c:v>12.790239815410404</c:v>
                </c:pt>
                <c:pt idx="30">
                  <c:v>12.086271921800462</c:v>
                </c:pt>
                <c:pt idx="31">
                  <c:v>12.086271921800462</c:v>
                </c:pt>
                <c:pt idx="32">
                  <c:v>12.086271921800462</c:v>
                </c:pt>
                <c:pt idx="33">
                  <c:v>12.086271921800462</c:v>
                </c:pt>
                <c:pt idx="34">
                  <c:v>12.086271921800462</c:v>
                </c:pt>
                <c:pt idx="35">
                  <c:v>11.382304028190518</c:v>
                </c:pt>
                <c:pt idx="36">
                  <c:v>11.382304028190518</c:v>
                </c:pt>
                <c:pt idx="37">
                  <c:v>11.382304028190518</c:v>
                </c:pt>
                <c:pt idx="38">
                  <c:v>11.382304028190518</c:v>
                </c:pt>
                <c:pt idx="39">
                  <c:v>11.382304028190518</c:v>
                </c:pt>
                <c:pt idx="40">
                  <c:v>10.678336134580576</c:v>
                </c:pt>
                <c:pt idx="41">
                  <c:v>10.678336134580576</c:v>
                </c:pt>
                <c:pt idx="42">
                  <c:v>10.678336134580576</c:v>
                </c:pt>
                <c:pt idx="43">
                  <c:v>10.678336134580576</c:v>
                </c:pt>
                <c:pt idx="44">
                  <c:v>10.678336134580576</c:v>
                </c:pt>
                <c:pt idx="45">
                  <c:v>9.974368240970632</c:v>
                </c:pt>
                <c:pt idx="46">
                  <c:v>9.974368240970632</c:v>
                </c:pt>
                <c:pt idx="47">
                  <c:v>9.974368240970632</c:v>
                </c:pt>
                <c:pt idx="48">
                  <c:v>9.974368240970632</c:v>
                </c:pt>
                <c:pt idx="49">
                  <c:v>9.974368240970632</c:v>
                </c:pt>
                <c:pt idx="50">
                  <c:v>12.790239815410404</c:v>
                </c:pt>
                <c:pt idx="51">
                  <c:v>12.790239815410404</c:v>
                </c:pt>
                <c:pt idx="52">
                  <c:v>12.790239815410404</c:v>
                </c:pt>
                <c:pt idx="53">
                  <c:v>12.790239815410404</c:v>
                </c:pt>
                <c:pt idx="54">
                  <c:v>12.790239815410404</c:v>
                </c:pt>
                <c:pt idx="55">
                  <c:v>12.086271921800462</c:v>
                </c:pt>
                <c:pt idx="56">
                  <c:v>12.086271921800462</c:v>
                </c:pt>
                <c:pt idx="57">
                  <c:v>12.086271921800462</c:v>
                </c:pt>
                <c:pt idx="58">
                  <c:v>12.086271921800462</c:v>
                </c:pt>
                <c:pt idx="59">
                  <c:v>12.086271921800462</c:v>
                </c:pt>
                <c:pt idx="60">
                  <c:v>11.382304028190518</c:v>
                </c:pt>
                <c:pt idx="61">
                  <c:v>11.382304028190518</c:v>
                </c:pt>
                <c:pt idx="62">
                  <c:v>11.382304028190518</c:v>
                </c:pt>
                <c:pt idx="63">
                  <c:v>11.382304028190518</c:v>
                </c:pt>
                <c:pt idx="64">
                  <c:v>11.382304028190518</c:v>
                </c:pt>
                <c:pt idx="65">
                  <c:v>10.678336134580576</c:v>
                </c:pt>
                <c:pt idx="66">
                  <c:v>10.678336134580576</c:v>
                </c:pt>
                <c:pt idx="67">
                  <c:v>10.678336134580576</c:v>
                </c:pt>
                <c:pt idx="68">
                  <c:v>10.678336134580576</c:v>
                </c:pt>
                <c:pt idx="69">
                  <c:v>10.678336134580576</c:v>
                </c:pt>
                <c:pt idx="70">
                  <c:v>9.974368240970632</c:v>
                </c:pt>
                <c:pt idx="71">
                  <c:v>9.974368240970632</c:v>
                </c:pt>
                <c:pt idx="72">
                  <c:v>9.974368240970632</c:v>
                </c:pt>
                <c:pt idx="73">
                  <c:v>9.974368240970632</c:v>
                </c:pt>
                <c:pt idx="74">
                  <c:v>9.974368240970632</c:v>
                </c:pt>
                <c:pt idx="75">
                  <c:v>12.790239815410404</c:v>
                </c:pt>
                <c:pt idx="76">
                  <c:v>12.790239815410404</c:v>
                </c:pt>
                <c:pt idx="77">
                  <c:v>12.790239815410404</c:v>
                </c:pt>
                <c:pt idx="78">
                  <c:v>12.790239815410404</c:v>
                </c:pt>
                <c:pt idx="79">
                  <c:v>12.790239815410404</c:v>
                </c:pt>
                <c:pt idx="80">
                  <c:v>12.086271921800462</c:v>
                </c:pt>
                <c:pt idx="81">
                  <c:v>12.086271921800462</c:v>
                </c:pt>
                <c:pt idx="82">
                  <c:v>12.086271921800462</c:v>
                </c:pt>
                <c:pt idx="83">
                  <c:v>12.086271921800462</c:v>
                </c:pt>
                <c:pt idx="84">
                  <c:v>12.086271921800462</c:v>
                </c:pt>
                <c:pt idx="85">
                  <c:v>11.382304028190518</c:v>
                </c:pt>
                <c:pt idx="86">
                  <c:v>11.382304028190518</c:v>
                </c:pt>
                <c:pt idx="87">
                  <c:v>11.382304028190518</c:v>
                </c:pt>
                <c:pt idx="88">
                  <c:v>11.382304028190518</c:v>
                </c:pt>
                <c:pt idx="89">
                  <c:v>11.382304028190518</c:v>
                </c:pt>
                <c:pt idx="90">
                  <c:v>10.678336134580576</c:v>
                </c:pt>
                <c:pt idx="91">
                  <c:v>10.678336134580576</c:v>
                </c:pt>
                <c:pt idx="92">
                  <c:v>10.678336134580576</c:v>
                </c:pt>
                <c:pt idx="93">
                  <c:v>10.678336134580576</c:v>
                </c:pt>
                <c:pt idx="94">
                  <c:v>10.678336134580576</c:v>
                </c:pt>
                <c:pt idx="95">
                  <c:v>9.974368240970632</c:v>
                </c:pt>
                <c:pt idx="96">
                  <c:v>9.974368240970632</c:v>
                </c:pt>
                <c:pt idx="97">
                  <c:v>9.974368240970632</c:v>
                </c:pt>
                <c:pt idx="98">
                  <c:v>9.974368240970632</c:v>
                </c:pt>
                <c:pt idx="99">
                  <c:v>9.974368240970632</c:v>
                </c:pt>
                <c:pt idx="100">
                  <c:v>12.790239815410404</c:v>
                </c:pt>
                <c:pt idx="101">
                  <c:v>12.790239815410404</c:v>
                </c:pt>
                <c:pt idx="102">
                  <c:v>12.790239815410404</c:v>
                </c:pt>
                <c:pt idx="103">
                  <c:v>12.790239815410404</c:v>
                </c:pt>
                <c:pt idx="104">
                  <c:v>12.790239815410404</c:v>
                </c:pt>
                <c:pt idx="105">
                  <c:v>12.086271921800462</c:v>
                </c:pt>
                <c:pt idx="106">
                  <c:v>12.086271921800462</c:v>
                </c:pt>
                <c:pt idx="107">
                  <c:v>12.086271921800462</c:v>
                </c:pt>
                <c:pt idx="108">
                  <c:v>12.086271921800462</c:v>
                </c:pt>
                <c:pt idx="109">
                  <c:v>12.086271921800462</c:v>
                </c:pt>
                <c:pt idx="110">
                  <c:v>11.382304028190518</c:v>
                </c:pt>
                <c:pt idx="111">
                  <c:v>11.382304028190518</c:v>
                </c:pt>
                <c:pt idx="112">
                  <c:v>11.382304028190518</c:v>
                </c:pt>
                <c:pt idx="113">
                  <c:v>11.382304028190518</c:v>
                </c:pt>
                <c:pt idx="114">
                  <c:v>11.382304028190518</c:v>
                </c:pt>
                <c:pt idx="115">
                  <c:v>10.678336134580576</c:v>
                </c:pt>
                <c:pt idx="116">
                  <c:v>10.678336134580576</c:v>
                </c:pt>
                <c:pt idx="117">
                  <c:v>10.678336134580576</c:v>
                </c:pt>
                <c:pt idx="118">
                  <c:v>10.678336134580576</c:v>
                </c:pt>
                <c:pt idx="119">
                  <c:v>10.678336134580576</c:v>
                </c:pt>
                <c:pt idx="120">
                  <c:v>9.974368240970632</c:v>
                </c:pt>
                <c:pt idx="121">
                  <c:v>9.974368240970632</c:v>
                </c:pt>
                <c:pt idx="122">
                  <c:v>9.974368240970632</c:v>
                </c:pt>
                <c:pt idx="123">
                  <c:v>9.974368240970632</c:v>
                </c:pt>
                <c:pt idx="124">
                  <c:v>9.974368240970632</c:v>
                </c:pt>
                <c:pt idx="125">
                  <c:v>12.790239815410404</c:v>
                </c:pt>
                <c:pt idx="126">
                  <c:v>12.790239815410404</c:v>
                </c:pt>
                <c:pt idx="127">
                  <c:v>12.790239815410404</c:v>
                </c:pt>
                <c:pt idx="128">
                  <c:v>12.790239815410404</c:v>
                </c:pt>
                <c:pt idx="129">
                  <c:v>12.790239815410404</c:v>
                </c:pt>
                <c:pt idx="130">
                  <c:v>12.086271921800462</c:v>
                </c:pt>
                <c:pt idx="131">
                  <c:v>12.086271921800462</c:v>
                </c:pt>
                <c:pt idx="132">
                  <c:v>12.086271921800462</c:v>
                </c:pt>
                <c:pt idx="133">
                  <c:v>12.086271921800462</c:v>
                </c:pt>
                <c:pt idx="134">
                  <c:v>12.086271921800462</c:v>
                </c:pt>
                <c:pt idx="135">
                  <c:v>11.382304028190518</c:v>
                </c:pt>
                <c:pt idx="136">
                  <c:v>11.382304028190518</c:v>
                </c:pt>
                <c:pt idx="137">
                  <c:v>11.382304028190518</c:v>
                </c:pt>
                <c:pt idx="138">
                  <c:v>11.382304028190518</c:v>
                </c:pt>
                <c:pt idx="139">
                  <c:v>11.382304028190518</c:v>
                </c:pt>
                <c:pt idx="140">
                  <c:v>10.678336134580576</c:v>
                </c:pt>
                <c:pt idx="141">
                  <c:v>10.678336134580576</c:v>
                </c:pt>
                <c:pt idx="142">
                  <c:v>10.678336134580576</c:v>
                </c:pt>
                <c:pt idx="143">
                  <c:v>10.678336134580576</c:v>
                </c:pt>
                <c:pt idx="144">
                  <c:v>10.678336134580576</c:v>
                </c:pt>
                <c:pt idx="145">
                  <c:v>9.974368240970632</c:v>
                </c:pt>
                <c:pt idx="146">
                  <c:v>9.974368240970632</c:v>
                </c:pt>
                <c:pt idx="147">
                  <c:v>9.974368240970632</c:v>
                </c:pt>
                <c:pt idx="148">
                  <c:v>9.974368240970632</c:v>
                </c:pt>
                <c:pt idx="149">
                  <c:v>9.974368240970632</c:v>
                </c:pt>
                <c:pt idx="150">
                  <c:v>12.790239815410404</c:v>
                </c:pt>
                <c:pt idx="151">
                  <c:v>12.790239815410404</c:v>
                </c:pt>
                <c:pt idx="152">
                  <c:v>12.790239815410404</c:v>
                </c:pt>
                <c:pt idx="153">
                  <c:v>12.790239815410404</c:v>
                </c:pt>
                <c:pt idx="154">
                  <c:v>12.790239815410404</c:v>
                </c:pt>
                <c:pt idx="155">
                  <c:v>12.086271921800462</c:v>
                </c:pt>
                <c:pt idx="156">
                  <c:v>12.086271921800462</c:v>
                </c:pt>
                <c:pt idx="157">
                  <c:v>12.086271921800462</c:v>
                </c:pt>
                <c:pt idx="158">
                  <c:v>12.086271921800462</c:v>
                </c:pt>
                <c:pt idx="159">
                  <c:v>12.086271921800462</c:v>
                </c:pt>
                <c:pt idx="160">
                  <c:v>11.382304028190518</c:v>
                </c:pt>
                <c:pt idx="161">
                  <c:v>11.382304028190518</c:v>
                </c:pt>
                <c:pt idx="162">
                  <c:v>11.382304028190518</c:v>
                </c:pt>
                <c:pt idx="163">
                  <c:v>11.382304028190518</c:v>
                </c:pt>
                <c:pt idx="164">
                  <c:v>11.382304028190518</c:v>
                </c:pt>
                <c:pt idx="165">
                  <c:v>10.678336134580576</c:v>
                </c:pt>
                <c:pt idx="166">
                  <c:v>10.678336134580576</c:v>
                </c:pt>
                <c:pt idx="167">
                  <c:v>10.678336134580576</c:v>
                </c:pt>
                <c:pt idx="168">
                  <c:v>10.678336134580576</c:v>
                </c:pt>
                <c:pt idx="169">
                  <c:v>10.678336134580576</c:v>
                </c:pt>
                <c:pt idx="170">
                  <c:v>9.974368240970632</c:v>
                </c:pt>
                <c:pt idx="171">
                  <c:v>9.974368240970632</c:v>
                </c:pt>
                <c:pt idx="172">
                  <c:v>9.974368240970632</c:v>
                </c:pt>
                <c:pt idx="173">
                  <c:v>9.974368240970632</c:v>
                </c:pt>
                <c:pt idx="174">
                  <c:v>9.974368240970632</c:v>
                </c:pt>
                <c:pt idx="175">
                  <c:v>12.790239815410404</c:v>
                </c:pt>
                <c:pt idx="176">
                  <c:v>12.790239815410404</c:v>
                </c:pt>
                <c:pt idx="177">
                  <c:v>12.790239815410404</c:v>
                </c:pt>
                <c:pt idx="178">
                  <c:v>12.790239815410404</c:v>
                </c:pt>
                <c:pt idx="179">
                  <c:v>12.790239815410404</c:v>
                </c:pt>
                <c:pt idx="180">
                  <c:v>12.086271921800462</c:v>
                </c:pt>
                <c:pt idx="181">
                  <c:v>12.086271921800462</c:v>
                </c:pt>
                <c:pt idx="182">
                  <c:v>12.086271921800462</c:v>
                </c:pt>
                <c:pt idx="183">
                  <c:v>12.086271921800462</c:v>
                </c:pt>
                <c:pt idx="184">
                  <c:v>12.086271921800462</c:v>
                </c:pt>
                <c:pt idx="185">
                  <c:v>11.382304028190518</c:v>
                </c:pt>
                <c:pt idx="186">
                  <c:v>11.382304028190518</c:v>
                </c:pt>
                <c:pt idx="187">
                  <c:v>11.382304028190518</c:v>
                </c:pt>
                <c:pt idx="188">
                  <c:v>11.382304028190518</c:v>
                </c:pt>
                <c:pt idx="189">
                  <c:v>11.382304028190518</c:v>
                </c:pt>
                <c:pt idx="190">
                  <c:v>10.678336134580576</c:v>
                </c:pt>
                <c:pt idx="191">
                  <c:v>10.678336134580576</c:v>
                </c:pt>
                <c:pt idx="192">
                  <c:v>10.678336134580576</c:v>
                </c:pt>
                <c:pt idx="193">
                  <c:v>10.678336134580576</c:v>
                </c:pt>
                <c:pt idx="194">
                  <c:v>10.678336134580576</c:v>
                </c:pt>
                <c:pt idx="195">
                  <c:v>9.974368240970632</c:v>
                </c:pt>
                <c:pt idx="196">
                  <c:v>9.974368240970632</c:v>
                </c:pt>
                <c:pt idx="197">
                  <c:v>9.974368240970632</c:v>
                </c:pt>
                <c:pt idx="198">
                  <c:v>9.974368240970632</c:v>
                </c:pt>
                <c:pt idx="199">
                  <c:v>9.974368240970632</c:v>
                </c:pt>
                <c:pt idx="200">
                  <c:v>12.790239815410404</c:v>
                </c:pt>
                <c:pt idx="201">
                  <c:v>12.790239815410404</c:v>
                </c:pt>
                <c:pt idx="202">
                  <c:v>12.790239815410404</c:v>
                </c:pt>
                <c:pt idx="203">
                  <c:v>12.790239815410404</c:v>
                </c:pt>
                <c:pt idx="204">
                  <c:v>12.790239815410404</c:v>
                </c:pt>
                <c:pt idx="205">
                  <c:v>12.086271921800462</c:v>
                </c:pt>
                <c:pt idx="206">
                  <c:v>12.086271921800462</c:v>
                </c:pt>
                <c:pt idx="207">
                  <c:v>12.086271921800462</c:v>
                </c:pt>
                <c:pt idx="208">
                  <c:v>12.086271921800462</c:v>
                </c:pt>
                <c:pt idx="209">
                  <c:v>12.086271921800462</c:v>
                </c:pt>
                <c:pt idx="210">
                  <c:v>11.382304028190518</c:v>
                </c:pt>
                <c:pt idx="211">
                  <c:v>11.382304028190518</c:v>
                </c:pt>
                <c:pt idx="212">
                  <c:v>11.382304028190518</c:v>
                </c:pt>
                <c:pt idx="213">
                  <c:v>11.382304028190518</c:v>
                </c:pt>
                <c:pt idx="214">
                  <c:v>11.382304028190518</c:v>
                </c:pt>
                <c:pt idx="215">
                  <c:v>10.678336134580576</c:v>
                </c:pt>
                <c:pt idx="216">
                  <c:v>10.678336134580576</c:v>
                </c:pt>
                <c:pt idx="217">
                  <c:v>10.678336134580576</c:v>
                </c:pt>
                <c:pt idx="218">
                  <c:v>10.678336134580576</c:v>
                </c:pt>
                <c:pt idx="219">
                  <c:v>10.678336134580576</c:v>
                </c:pt>
                <c:pt idx="220">
                  <c:v>9.974368240970632</c:v>
                </c:pt>
                <c:pt idx="221">
                  <c:v>9.974368240970632</c:v>
                </c:pt>
                <c:pt idx="222">
                  <c:v>9.974368240970632</c:v>
                </c:pt>
                <c:pt idx="223">
                  <c:v>9.974368240970632</c:v>
                </c:pt>
                <c:pt idx="224">
                  <c:v>9.974368240970632</c:v>
                </c:pt>
                <c:pt idx="225">
                  <c:v>12.790239815410404</c:v>
                </c:pt>
                <c:pt idx="226">
                  <c:v>12.790239815410404</c:v>
                </c:pt>
                <c:pt idx="227">
                  <c:v>12.790239815410404</c:v>
                </c:pt>
                <c:pt idx="228">
                  <c:v>12.790239815410404</c:v>
                </c:pt>
                <c:pt idx="229">
                  <c:v>12.790239815410404</c:v>
                </c:pt>
                <c:pt idx="230">
                  <c:v>12.086271921800462</c:v>
                </c:pt>
                <c:pt idx="231">
                  <c:v>12.086271921800462</c:v>
                </c:pt>
                <c:pt idx="232">
                  <c:v>12.086271921800462</c:v>
                </c:pt>
                <c:pt idx="233">
                  <c:v>12.086271921800462</c:v>
                </c:pt>
                <c:pt idx="234">
                  <c:v>12.086271921800462</c:v>
                </c:pt>
                <c:pt idx="235">
                  <c:v>11.382304028190518</c:v>
                </c:pt>
                <c:pt idx="236">
                  <c:v>11.382304028190518</c:v>
                </c:pt>
                <c:pt idx="237">
                  <c:v>11.382304028190518</c:v>
                </c:pt>
                <c:pt idx="238">
                  <c:v>11.382304028190518</c:v>
                </c:pt>
                <c:pt idx="239">
                  <c:v>11.382304028190518</c:v>
                </c:pt>
                <c:pt idx="240">
                  <c:v>10.678336134580576</c:v>
                </c:pt>
                <c:pt idx="241">
                  <c:v>10.678336134580576</c:v>
                </c:pt>
                <c:pt idx="242">
                  <c:v>10.678336134580576</c:v>
                </c:pt>
                <c:pt idx="243">
                  <c:v>10.678336134580576</c:v>
                </c:pt>
                <c:pt idx="244">
                  <c:v>10.678336134580576</c:v>
                </c:pt>
                <c:pt idx="245">
                  <c:v>9.974368240970632</c:v>
                </c:pt>
                <c:pt idx="246">
                  <c:v>9.974368240970632</c:v>
                </c:pt>
                <c:pt idx="247">
                  <c:v>9.974368240970632</c:v>
                </c:pt>
                <c:pt idx="248">
                  <c:v>9.974368240970632</c:v>
                </c:pt>
                <c:pt idx="249">
                  <c:v>9.974368240970632</c:v>
                </c:pt>
                <c:pt idx="250">
                  <c:v>12.790239815410404</c:v>
                </c:pt>
                <c:pt idx="251">
                  <c:v>12.790239815410404</c:v>
                </c:pt>
                <c:pt idx="252">
                  <c:v>12.790239815410404</c:v>
                </c:pt>
                <c:pt idx="253">
                  <c:v>12.790239815410404</c:v>
                </c:pt>
                <c:pt idx="254">
                  <c:v>12.790239815410404</c:v>
                </c:pt>
                <c:pt idx="255">
                  <c:v>12.086271921800462</c:v>
                </c:pt>
                <c:pt idx="256">
                  <c:v>12.086271921800462</c:v>
                </c:pt>
                <c:pt idx="257">
                  <c:v>12.086271921800462</c:v>
                </c:pt>
                <c:pt idx="258">
                  <c:v>12.086271921800462</c:v>
                </c:pt>
                <c:pt idx="259">
                  <c:v>12.086271921800462</c:v>
                </c:pt>
                <c:pt idx="260">
                  <c:v>11.382304028190518</c:v>
                </c:pt>
                <c:pt idx="261">
                  <c:v>11.382304028190518</c:v>
                </c:pt>
                <c:pt idx="262">
                  <c:v>11.382304028190518</c:v>
                </c:pt>
                <c:pt idx="263">
                  <c:v>11.382304028190518</c:v>
                </c:pt>
                <c:pt idx="264">
                  <c:v>11.382304028190518</c:v>
                </c:pt>
                <c:pt idx="265">
                  <c:v>10.678336134580576</c:v>
                </c:pt>
                <c:pt idx="266">
                  <c:v>10.678336134580576</c:v>
                </c:pt>
                <c:pt idx="267">
                  <c:v>10.678336134580576</c:v>
                </c:pt>
                <c:pt idx="268">
                  <c:v>10.678336134580576</c:v>
                </c:pt>
                <c:pt idx="269">
                  <c:v>10.678336134580576</c:v>
                </c:pt>
                <c:pt idx="270">
                  <c:v>9.974368240970632</c:v>
                </c:pt>
                <c:pt idx="271">
                  <c:v>9.974368240970632</c:v>
                </c:pt>
                <c:pt idx="272">
                  <c:v>9.974368240970632</c:v>
                </c:pt>
                <c:pt idx="273">
                  <c:v>9.974368240970632</c:v>
                </c:pt>
                <c:pt idx="274">
                  <c:v>9.974368240970632</c:v>
                </c:pt>
                <c:pt idx="275">
                  <c:v>12.790239815410404</c:v>
                </c:pt>
                <c:pt idx="276">
                  <c:v>12.790239815410404</c:v>
                </c:pt>
                <c:pt idx="277">
                  <c:v>12.790239815410404</c:v>
                </c:pt>
                <c:pt idx="278">
                  <c:v>12.790239815410404</c:v>
                </c:pt>
                <c:pt idx="279">
                  <c:v>12.790239815410404</c:v>
                </c:pt>
                <c:pt idx="280">
                  <c:v>12.086271921800462</c:v>
                </c:pt>
                <c:pt idx="281">
                  <c:v>12.086271921800462</c:v>
                </c:pt>
                <c:pt idx="282">
                  <c:v>12.086271921800462</c:v>
                </c:pt>
                <c:pt idx="283">
                  <c:v>12.086271921800462</c:v>
                </c:pt>
                <c:pt idx="284">
                  <c:v>12.086271921800462</c:v>
                </c:pt>
                <c:pt idx="285">
                  <c:v>11.382304028190518</c:v>
                </c:pt>
                <c:pt idx="286">
                  <c:v>11.382304028190518</c:v>
                </c:pt>
                <c:pt idx="287">
                  <c:v>11.382304028190518</c:v>
                </c:pt>
                <c:pt idx="288">
                  <c:v>11.382304028190518</c:v>
                </c:pt>
                <c:pt idx="289">
                  <c:v>11.382304028190518</c:v>
                </c:pt>
                <c:pt idx="290">
                  <c:v>10.678336134580576</c:v>
                </c:pt>
                <c:pt idx="291">
                  <c:v>10.678336134580576</c:v>
                </c:pt>
                <c:pt idx="292">
                  <c:v>10.678336134580576</c:v>
                </c:pt>
                <c:pt idx="293">
                  <c:v>10.678336134580576</c:v>
                </c:pt>
                <c:pt idx="294">
                  <c:v>10.678336134580576</c:v>
                </c:pt>
                <c:pt idx="295">
                  <c:v>9.974368240970632</c:v>
                </c:pt>
                <c:pt idx="296">
                  <c:v>9.974368240970632</c:v>
                </c:pt>
                <c:pt idx="297">
                  <c:v>9.974368240970632</c:v>
                </c:pt>
                <c:pt idx="298">
                  <c:v>9.974368240970632</c:v>
                </c:pt>
                <c:pt idx="299">
                  <c:v>9.974368240970632</c:v>
                </c:pt>
                <c:pt idx="300">
                  <c:v>12.790239815410404</c:v>
                </c:pt>
                <c:pt idx="301">
                  <c:v>12.790239815410404</c:v>
                </c:pt>
                <c:pt idx="302">
                  <c:v>12.790239815410404</c:v>
                </c:pt>
                <c:pt idx="303">
                  <c:v>12.790239815410404</c:v>
                </c:pt>
                <c:pt idx="304">
                  <c:v>12.790239815410404</c:v>
                </c:pt>
                <c:pt idx="305">
                  <c:v>12.086271921800462</c:v>
                </c:pt>
                <c:pt idx="306">
                  <c:v>12.086271921800462</c:v>
                </c:pt>
                <c:pt idx="307">
                  <c:v>12.086271921800462</c:v>
                </c:pt>
                <c:pt idx="308">
                  <c:v>12.086271921800462</c:v>
                </c:pt>
                <c:pt idx="309">
                  <c:v>12.086271921800462</c:v>
                </c:pt>
                <c:pt idx="310">
                  <c:v>11.382304028190518</c:v>
                </c:pt>
                <c:pt idx="311">
                  <c:v>11.382304028190518</c:v>
                </c:pt>
                <c:pt idx="312">
                  <c:v>11.382304028190518</c:v>
                </c:pt>
                <c:pt idx="313">
                  <c:v>11.382304028190518</c:v>
                </c:pt>
                <c:pt idx="314">
                  <c:v>11.382304028190518</c:v>
                </c:pt>
                <c:pt idx="315">
                  <c:v>10.678336134580576</c:v>
                </c:pt>
                <c:pt idx="316">
                  <c:v>10.678336134580576</c:v>
                </c:pt>
                <c:pt idx="317">
                  <c:v>10.678336134580576</c:v>
                </c:pt>
                <c:pt idx="318">
                  <c:v>10.678336134580576</c:v>
                </c:pt>
                <c:pt idx="319">
                  <c:v>10.678336134580576</c:v>
                </c:pt>
                <c:pt idx="320">
                  <c:v>9.974368240970632</c:v>
                </c:pt>
                <c:pt idx="321">
                  <c:v>9.974368240970632</c:v>
                </c:pt>
                <c:pt idx="322">
                  <c:v>9.974368240970632</c:v>
                </c:pt>
                <c:pt idx="323">
                  <c:v>9.974368240970632</c:v>
                </c:pt>
                <c:pt idx="324">
                  <c:v>9.974368240970632</c:v>
                </c:pt>
                <c:pt idx="325">
                  <c:v>12.790239815410404</c:v>
                </c:pt>
                <c:pt idx="326">
                  <c:v>12.790239815410404</c:v>
                </c:pt>
                <c:pt idx="327">
                  <c:v>12.790239815410404</c:v>
                </c:pt>
                <c:pt idx="328">
                  <c:v>12.790239815410404</c:v>
                </c:pt>
                <c:pt idx="329">
                  <c:v>12.790239815410404</c:v>
                </c:pt>
                <c:pt idx="330">
                  <c:v>12.086271921800462</c:v>
                </c:pt>
                <c:pt idx="331">
                  <c:v>12.086271921800462</c:v>
                </c:pt>
                <c:pt idx="332">
                  <c:v>12.086271921800462</c:v>
                </c:pt>
                <c:pt idx="333">
                  <c:v>12.086271921800462</c:v>
                </c:pt>
                <c:pt idx="334">
                  <c:v>12.086271921800462</c:v>
                </c:pt>
                <c:pt idx="335">
                  <c:v>11.382304028190518</c:v>
                </c:pt>
                <c:pt idx="336">
                  <c:v>11.382304028190518</c:v>
                </c:pt>
                <c:pt idx="337">
                  <c:v>11.382304028190518</c:v>
                </c:pt>
                <c:pt idx="338">
                  <c:v>11.382304028190518</c:v>
                </c:pt>
                <c:pt idx="339">
                  <c:v>11.382304028190518</c:v>
                </c:pt>
                <c:pt idx="340">
                  <c:v>10.678336134580576</c:v>
                </c:pt>
                <c:pt idx="341">
                  <c:v>10.678336134580576</c:v>
                </c:pt>
                <c:pt idx="342">
                  <c:v>10.678336134580576</c:v>
                </c:pt>
                <c:pt idx="343">
                  <c:v>10.678336134580576</c:v>
                </c:pt>
                <c:pt idx="344">
                  <c:v>10.678336134580576</c:v>
                </c:pt>
                <c:pt idx="345">
                  <c:v>9.974368240970632</c:v>
                </c:pt>
                <c:pt idx="346">
                  <c:v>9.974368240970632</c:v>
                </c:pt>
                <c:pt idx="347">
                  <c:v>9.974368240970632</c:v>
                </c:pt>
                <c:pt idx="348">
                  <c:v>9.974368240970632</c:v>
                </c:pt>
                <c:pt idx="349">
                  <c:v>9.974368240970632</c:v>
                </c:pt>
                <c:pt idx="350">
                  <c:v>12.790239815410404</c:v>
                </c:pt>
                <c:pt idx="351">
                  <c:v>12.790239815410404</c:v>
                </c:pt>
                <c:pt idx="352">
                  <c:v>12.790239815410404</c:v>
                </c:pt>
                <c:pt idx="353">
                  <c:v>12.790239815410404</c:v>
                </c:pt>
                <c:pt idx="354">
                  <c:v>12.790239815410404</c:v>
                </c:pt>
                <c:pt idx="355">
                  <c:v>12.086271921800462</c:v>
                </c:pt>
                <c:pt idx="356">
                  <c:v>12.086271921800462</c:v>
                </c:pt>
                <c:pt idx="357">
                  <c:v>12.086271921800462</c:v>
                </c:pt>
                <c:pt idx="358">
                  <c:v>12.086271921800462</c:v>
                </c:pt>
                <c:pt idx="359">
                  <c:v>12.086271921800462</c:v>
                </c:pt>
                <c:pt idx="360">
                  <c:v>11.382304028190518</c:v>
                </c:pt>
                <c:pt idx="361">
                  <c:v>11.382304028190518</c:v>
                </c:pt>
                <c:pt idx="362">
                  <c:v>11.382304028190518</c:v>
                </c:pt>
                <c:pt idx="363">
                  <c:v>11.382304028190518</c:v>
                </c:pt>
                <c:pt idx="364">
                  <c:v>11.382304028190518</c:v>
                </c:pt>
                <c:pt idx="365">
                  <c:v>10.678336134580576</c:v>
                </c:pt>
                <c:pt idx="366">
                  <c:v>10.678336134580576</c:v>
                </c:pt>
                <c:pt idx="367">
                  <c:v>10.678336134580576</c:v>
                </c:pt>
                <c:pt idx="368">
                  <c:v>10.678336134580576</c:v>
                </c:pt>
                <c:pt idx="369">
                  <c:v>10.678336134580576</c:v>
                </c:pt>
                <c:pt idx="370">
                  <c:v>9.974368240970632</c:v>
                </c:pt>
                <c:pt idx="371">
                  <c:v>9.974368240970632</c:v>
                </c:pt>
                <c:pt idx="372">
                  <c:v>9.974368240970632</c:v>
                </c:pt>
                <c:pt idx="373">
                  <c:v>9.974368240970632</c:v>
                </c:pt>
                <c:pt idx="374">
                  <c:v>9.974368240970632</c:v>
                </c:pt>
                <c:pt idx="375">
                  <c:v>12.790239815410404</c:v>
                </c:pt>
                <c:pt idx="376">
                  <c:v>12.790239815410404</c:v>
                </c:pt>
                <c:pt idx="377">
                  <c:v>12.790239815410404</c:v>
                </c:pt>
                <c:pt idx="378">
                  <c:v>12.790239815410404</c:v>
                </c:pt>
                <c:pt idx="379">
                  <c:v>12.790239815410404</c:v>
                </c:pt>
                <c:pt idx="380">
                  <c:v>12.086271921800462</c:v>
                </c:pt>
                <c:pt idx="381">
                  <c:v>12.086271921800462</c:v>
                </c:pt>
                <c:pt idx="382">
                  <c:v>12.086271921800462</c:v>
                </c:pt>
                <c:pt idx="383">
                  <c:v>12.086271921800462</c:v>
                </c:pt>
                <c:pt idx="384">
                  <c:v>12.086271921800462</c:v>
                </c:pt>
                <c:pt idx="385">
                  <c:v>11.382304028190518</c:v>
                </c:pt>
                <c:pt idx="386">
                  <c:v>11.382304028190518</c:v>
                </c:pt>
                <c:pt idx="387">
                  <c:v>11.382304028190518</c:v>
                </c:pt>
                <c:pt idx="388">
                  <c:v>11.382304028190518</c:v>
                </c:pt>
                <c:pt idx="389">
                  <c:v>11.382304028190518</c:v>
                </c:pt>
                <c:pt idx="390">
                  <c:v>10.678336134580576</c:v>
                </c:pt>
                <c:pt idx="391">
                  <c:v>10.678336134580576</c:v>
                </c:pt>
                <c:pt idx="392">
                  <c:v>10.678336134580576</c:v>
                </c:pt>
                <c:pt idx="393">
                  <c:v>10.678336134580576</c:v>
                </c:pt>
                <c:pt idx="394">
                  <c:v>10.678336134580576</c:v>
                </c:pt>
                <c:pt idx="395">
                  <c:v>9.974368240970632</c:v>
                </c:pt>
                <c:pt idx="396">
                  <c:v>9.974368240970632</c:v>
                </c:pt>
                <c:pt idx="397">
                  <c:v>9.974368240970632</c:v>
                </c:pt>
                <c:pt idx="398">
                  <c:v>9.974368240970632</c:v>
                </c:pt>
                <c:pt idx="399">
                  <c:v>9.974368240970632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BE-8A46-AE8E-9101A3722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721759"/>
        <c:axId val="2140052655"/>
      </c:scatterChart>
      <c:valAx>
        <c:axId val="212572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0052655"/>
        <c:crosses val="autoZero"/>
        <c:crossBetween val="midCat"/>
      </c:valAx>
      <c:valAx>
        <c:axId val="2140052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125721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'D-Stat1'!$C$26:$C$425</c:f>
              <c:numCache>
                <c:formatCode>General</c:formatCode>
                <c:ptCount val="400"/>
                <c:pt idx="0">
                  <c:v>4.0856277665231033E-3</c:v>
                </c:pt>
                <c:pt idx="1">
                  <c:v>-6.4412256847390381E-4</c:v>
                </c:pt>
                <c:pt idx="2">
                  <c:v>-4.2820843967117383E-3</c:v>
                </c:pt>
                <c:pt idx="3">
                  <c:v>-6.9814876841700624E-3</c:v>
                </c:pt>
                <c:pt idx="4">
                  <c:v>-8.827611502216115E-3</c:v>
                </c:pt>
                <c:pt idx="5">
                  <c:v>-0.10561109549916381</c:v>
                </c:pt>
                <c:pt idx="6">
                  <c:v>-0.10038742364031172</c:v>
                </c:pt>
                <c:pt idx="7">
                  <c:v>-9.4250194930159736E-2</c:v>
                </c:pt>
                <c:pt idx="8">
                  <c:v>-8.7734736966236682E-2</c:v>
                </c:pt>
                <c:pt idx="9">
                  <c:v>-8.1020061530054477E-2</c:v>
                </c:pt>
                <c:pt idx="10">
                  <c:v>-0.16512353668786517</c:v>
                </c:pt>
                <c:pt idx="11">
                  <c:v>-0.1655508209286225</c:v>
                </c:pt>
                <c:pt idx="12">
                  <c:v>-0.16162514070911094</c:v>
                </c:pt>
                <c:pt idx="13">
                  <c:v>-0.15594099731130839</c:v>
                </c:pt>
                <c:pt idx="14">
                  <c:v>-0.14937238298874611</c:v>
                </c:pt>
                <c:pt idx="15">
                  <c:v>-9.0143718655093963E-2</c:v>
                </c:pt>
                <c:pt idx="16">
                  <c:v>-0.11689838667888175</c:v>
                </c:pt>
                <c:pt idx="17">
                  <c:v>-0.12669101992277021</c:v>
                </c:pt>
                <c:pt idx="18">
                  <c:v>-0.12941761317555667</c:v>
                </c:pt>
                <c:pt idx="19">
                  <c:v>-0.12852376676624289</c:v>
                </c:pt>
                <c:pt idx="20">
                  <c:v>0.16919199025907439</c:v>
                </c:pt>
                <c:pt idx="21">
                  <c:v>0.10057134836758763</c:v>
                </c:pt>
                <c:pt idx="22">
                  <c:v>6.5166409535398984E-2</c:v>
                </c:pt>
                <c:pt idx="23">
                  <c:v>4.5197539984211943E-2</c:v>
                </c:pt>
                <c:pt idx="24">
                  <c:v>3.3692085926425364E-2</c:v>
                </c:pt>
                <c:pt idx="25">
                  <c:v>8.573463348392707E-3</c:v>
                </c:pt>
                <c:pt idx="26">
                  <c:v>5.6493135976669606E-3</c:v>
                </c:pt>
                <c:pt idx="27">
                  <c:v>3.5529462196777217E-3</c:v>
                </c:pt>
                <c:pt idx="28">
                  <c:v>2.15319088244037E-3</c:v>
                </c:pt>
                <c:pt idx="29">
                  <c:v>1.3861118482445534E-3</c:v>
                </c:pt>
                <c:pt idx="30">
                  <c:v>-0.10513513934480478</c:v>
                </c:pt>
                <c:pt idx="31">
                  <c:v>-9.9680932826212043E-2</c:v>
                </c:pt>
                <c:pt idx="32">
                  <c:v>-9.3319341550179402E-2</c:v>
                </c:pt>
                <c:pt idx="33">
                  <c:v>-8.6585593566777419E-2</c:v>
                </c:pt>
                <c:pt idx="34">
                  <c:v>-7.9658599565654242E-2</c:v>
                </c:pt>
                <c:pt idx="35">
                  <c:v>-0.16509793409537643</c:v>
                </c:pt>
                <c:pt idx="36">
                  <c:v>-0.16551097930151215</c:v>
                </c:pt>
                <c:pt idx="37">
                  <c:v>-0.16157112293153197</c:v>
                </c:pt>
                <c:pt idx="38">
                  <c:v>-0.15587289123369885</c:v>
                </c:pt>
                <c:pt idx="39">
                  <c:v>-0.14929027100107639</c:v>
                </c:pt>
                <c:pt idx="40">
                  <c:v>-9.0146933263794082E-2</c:v>
                </c:pt>
                <c:pt idx="41">
                  <c:v>-0.11690235886778133</c:v>
                </c:pt>
                <c:pt idx="42">
                  <c:v>-0.12669569855006912</c:v>
                </c:pt>
                <c:pt idx="43">
                  <c:v>-0.12942297460055663</c:v>
                </c:pt>
                <c:pt idx="44">
                  <c:v>-0.12852979938044307</c:v>
                </c:pt>
                <c:pt idx="45">
                  <c:v>0.16919091015427412</c:v>
                </c:pt>
                <c:pt idx="46">
                  <c:v>0.10056988771628816</c:v>
                </c:pt>
                <c:pt idx="47">
                  <c:v>6.5164593155998318E-2</c:v>
                </c:pt>
                <c:pt idx="48">
                  <c:v>4.519539721551169E-2</c:v>
                </c:pt>
                <c:pt idx="49">
                  <c:v>3.3689625596924344E-2</c:v>
                </c:pt>
                <c:pt idx="50">
                  <c:v>1.184661040895385E-2</c:v>
                </c:pt>
                <c:pt idx="51">
                  <c:v>1.0289757251976894E-2</c:v>
                </c:pt>
                <c:pt idx="52">
                  <c:v>9.3951728314873861E-3</c:v>
                </c:pt>
                <c:pt idx="53">
                  <c:v>9.0430325674102363E-3</c:v>
                </c:pt>
                <c:pt idx="54">
                  <c:v>9.1805391867545438E-3</c:v>
                </c:pt>
                <c:pt idx="55">
                  <c:v>-0.10479375222748466</c:v>
                </c:pt>
                <c:pt idx="56">
                  <c:v>-9.9173138342260714E-2</c:v>
                </c:pt>
                <c:pt idx="57">
                  <c:v>-9.2648890212050361E-2</c:v>
                </c:pt>
                <c:pt idx="58">
                  <c:v>-8.5756185567078091E-2</c:v>
                </c:pt>
                <c:pt idx="59">
                  <c:v>-7.8673883753644702E-2</c:v>
                </c:pt>
                <c:pt idx="60">
                  <c:v>-0.1650796272547268</c:v>
                </c:pt>
                <c:pt idx="61">
                  <c:v>-0.16548247142660344</c:v>
                </c:pt>
                <c:pt idx="62">
                  <c:v>-0.16153245768955138</c:v>
                </c:pt>
                <c:pt idx="63">
                  <c:v>-0.15582411277584818</c:v>
                </c:pt>
                <c:pt idx="64">
                  <c:v>-0.14923143401643557</c:v>
                </c:pt>
                <c:pt idx="65">
                  <c:v>-9.0149227128193843E-2</c:v>
                </c:pt>
                <c:pt idx="66">
                  <c:v>-0.11690519564578139</c:v>
                </c:pt>
                <c:pt idx="67">
                  <c:v>-0.12669903906386892</c:v>
                </c:pt>
                <c:pt idx="68">
                  <c:v>-0.12942680408835727</c:v>
                </c:pt>
                <c:pt idx="69">
                  <c:v>-0.12853410755154293</c:v>
                </c:pt>
                <c:pt idx="70">
                  <c:v>0.16919014457327464</c:v>
                </c:pt>
                <c:pt idx="71">
                  <c:v>0.10056884299838842</c:v>
                </c:pt>
                <c:pt idx="72">
                  <c:v>6.5163297360799177E-2</c:v>
                </c:pt>
                <c:pt idx="73">
                  <c:v>4.5193865618511353E-2</c:v>
                </c:pt>
                <c:pt idx="74">
                  <c:v>3.3687870937425757E-2</c:v>
                </c:pt>
                <c:pt idx="75">
                  <c:v>1.4338896940213175E-2</c:v>
                </c:pt>
                <c:pt idx="76">
                  <c:v>1.3851118465936452E-2</c:v>
                </c:pt>
                <c:pt idx="77">
                  <c:v>1.39151876044874E-2</c:v>
                </c:pt>
                <c:pt idx="78">
                  <c:v>1.4417673694140376E-2</c:v>
                </c:pt>
                <c:pt idx="79">
                  <c:v>1.5312118286473719E-2</c:v>
                </c:pt>
                <c:pt idx="80">
                  <c:v>-0.10453693366307526</c:v>
                </c:pt>
                <c:pt idx="81">
                  <c:v>-9.8790557520741729E-2</c:v>
                </c:pt>
                <c:pt idx="82">
                  <c:v>-9.2142994751499785E-2</c:v>
                </c:pt>
                <c:pt idx="83">
                  <c:v>-8.5129395454178081E-2</c:v>
                </c:pt>
                <c:pt idx="84">
                  <c:v>-7.7928589953243588E-2</c:v>
                </c:pt>
                <c:pt idx="85">
                  <c:v>-0.16506588467012584</c:v>
                </c:pt>
                <c:pt idx="86">
                  <c:v>-0.16546106841795272</c:v>
                </c:pt>
                <c:pt idx="87">
                  <c:v>-0.1615034153784709</c:v>
                </c:pt>
                <c:pt idx="88">
                  <c:v>-0.15578745993163956</c:v>
                </c:pt>
                <c:pt idx="89">
                  <c:v>-0.14918720338887503</c:v>
                </c:pt>
                <c:pt idx="90">
                  <c:v>-9.0150949213693821E-2</c:v>
                </c:pt>
                <c:pt idx="91">
                  <c:v>-0.11690732321588015</c:v>
                </c:pt>
                <c:pt idx="92">
                  <c:v>-0.12670154508746911</c:v>
                </c:pt>
                <c:pt idx="93">
                  <c:v>-0.12942967554745621</c:v>
                </c:pt>
                <c:pt idx="94">
                  <c:v>-0.12853733739274276</c:v>
                </c:pt>
                <c:pt idx="95">
                  <c:v>0.16918955974257521</c:v>
                </c:pt>
                <c:pt idx="96">
                  <c:v>0.10056805369778843</c:v>
                </c:pt>
                <c:pt idx="97">
                  <c:v>6.5162325905998131E-2</c:v>
                </c:pt>
                <c:pt idx="98">
                  <c:v>4.5192718649811781E-2</c:v>
                </c:pt>
                <c:pt idx="99">
                  <c:v>3.3686552248125778E-2</c:v>
                </c:pt>
                <c:pt idx="100">
                  <c:v>4.0006282709883934E-2</c:v>
                </c:pt>
                <c:pt idx="101">
                  <c:v>4.89349278910165E-2</c:v>
                </c:pt>
                <c:pt idx="102">
                  <c:v>5.7551142309817394E-2</c:v>
                </c:pt>
                <c:pt idx="103">
                  <c:v>6.6073774464850743E-2</c:v>
                </c:pt>
                <c:pt idx="104">
                  <c:v>7.4558852851183133E-2</c:v>
                </c:pt>
                <c:pt idx="105">
                  <c:v>-3.0979731846095149E-2</c:v>
                </c:pt>
                <c:pt idx="106">
                  <c:v>-1.3329039223812345E-2</c:v>
                </c:pt>
                <c:pt idx="107">
                  <c:v>-8.9621586625021621E-4</c:v>
                </c:pt>
                <c:pt idx="108">
                  <c:v>9.6192780890227425E-3</c:v>
                </c:pt>
                <c:pt idx="109">
                  <c:v>1.9272237736425168E-2</c:v>
                </c:pt>
                <c:pt idx="110">
                  <c:v>-0.12423774816797639</c:v>
                </c:pt>
                <c:pt idx="111">
                  <c:v>-9.8388085375383127E-2</c:v>
                </c:pt>
                <c:pt idx="112">
                  <c:v>-7.487612181894221E-2</c:v>
                </c:pt>
                <c:pt idx="113">
                  <c:v>-5.4746498998829551E-2</c:v>
                </c:pt>
                <c:pt idx="114">
                  <c:v>-3.7363201693395354E-2</c:v>
                </c:pt>
                <c:pt idx="115">
                  <c:v>-6.7758360502594428E-2</c:v>
                </c:pt>
                <c:pt idx="116">
                  <c:v>-8.714738506368036E-2</c:v>
                </c:pt>
                <c:pt idx="117">
                  <c:v>-8.9655667327569688E-2</c:v>
                </c:pt>
                <c:pt idx="118">
                  <c:v>-8.5259749461256362E-2</c:v>
                </c:pt>
                <c:pt idx="119">
                  <c:v>-7.7486794449743712E-2</c:v>
                </c:pt>
                <c:pt idx="120">
                  <c:v>0.17558920469197403</c:v>
                </c:pt>
                <c:pt idx="121">
                  <c:v>0.10922029559928781</c:v>
                </c:pt>
                <c:pt idx="122">
                  <c:v>7.5825007779698694E-2</c:v>
                </c:pt>
                <c:pt idx="123">
                  <c:v>5.771912281041125E-2</c:v>
                </c:pt>
                <c:pt idx="124">
                  <c:v>4.7976269520024317E-2</c:v>
                </c:pt>
                <c:pt idx="125">
                  <c:v>3.2725104758753787E-2</c:v>
                </c:pt>
                <c:pt idx="126">
                  <c:v>4.1861697759026484E-2</c:v>
                </c:pt>
                <c:pt idx="127">
                  <c:v>5.0554707014066835E-2</c:v>
                </c:pt>
                <c:pt idx="128">
                  <c:v>5.9113881221870557E-2</c:v>
                </c:pt>
                <c:pt idx="129">
                  <c:v>6.7619166372153927E-2</c:v>
                </c:pt>
                <c:pt idx="130">
                  <c:v>-4.3185021672185187E-2</c:v>
                </c:pt>
                <c:pt idx="131">
                  <c:v>-2.3019572157771506E-2</c:v>
                </c:pt>
                <c:pt idx="132">
                  <c:v>-9.3069762918105425E-3</c:v>
                </c:pt>
                <c:pt idx="133">
                  <c:v>1.9312001041029703E-3</c:v>
                </c:pt>
                <c:pt idx="134">
                  <c:v>1.2028609082376462E-2</c:v>
                </c:pt>
                <c:pt idx="135">
                  <c:v>-0.13771813698572544</c:v>
                </c:pt>
                <c:pt idx="136">
                  <c:v>-0.11412085273699368</c:v>
                </c:pt>
                <c:pt idx="137">
                  <c:v>-9.0868350785612506E-2</c:v>
                </c:pt>
                <c:pt idx="138">
                  <c:v>-7.0184937351758236E-2</c:v>
                </c:pt>
                <c:pt idx="139">
                  <c:v>-5.1965056481424909E-2</c:v>
                </c:pt>
                <c:pt idx="140">
                  <c:v>-7.1799625189294503E-2</c:v>
                </c:pt>
                <c:pt idx="141">
                  <c:v>-9.2585925276681635E-2</c:v>
                </c:pt>
                <c:pt idx="142">
                  <c:v>-9.6394211770070015E-2</c:v>
                </c:pt>
                <c:pt idx="143">
                  <c:v>-9.317030088445577E-2</c:v>
                </c:pt>
                <c:pt idx="144">
                  <c:v>-8.6428182017543875E-2</c:v>
                </c:pt>
                <c:pt idx="145">
                  <c:v>0.17453029884227433</c:v>
                </c:pt>
                <c:pt idx="146">
                  <c:v>0.10779464569848685</c:v>
                </c:pt>
                <c:pt idx="147">
                  <c:v>7.407609208459931E-2</c:v>
                </c:pt>
                <c:pt idx="148">
                  <c:v>5.5674509362312108E-2</c:v>
                </c:pt>
                <c:pt idx="149">
                  <c:v>4.5655774531725868E-2</c:v>
                </c:pt>
                <c:pt idx="150">
                  <c:v>2.7312518750832737E-2</c:v>
                </c:pt>
                <c:pt idx="151">
                  <c:v>3.6688116135206172E-2</c:v>
                </c:pt>
                <c:pt idx="152">
                  <c:v>4.5470296332347004E-2</c:v>
                </c:pt>
                <c:pt idx="153">
                  <c:v>5.407212591008026E-2</c:v>
                </c:pt>
                <c:pt idx="154">
                  <c:v>6.2601072340322972E-2</c:v>
                </c:pt>
                <c:pt idx="155">
                  <c:v>-5.3834886738714616E-2</c:v>
                </c:pt>
                <c:pt idx="156">
                  <c:v>-3.1283102433292242E-2</c:v>
                </c:pt>
                <c:pt idx="157">
                  <c:v>-1.6270646997980975E-2</c:v>
                </c:pt>
                <c:pt idx="158">
                  <c:v>-4.2718266019878826E-3</c:v>
                </c:pt>
                <c:pt idx="159">
                  <c:v>6.3038724714861161E-3</c:v>
                </c:pt>
                <c:pt idx="160">
                  <c:v>-0.14746771431960681</c:v>
                </c:pt>
                <c:pt idx="161">
                  <c:v>-0.12636017907178321</c:v>
                </c:pt>
                <c:pt idx="162">
                  <c:v>-0.10388130398041184</c:v>
                </c:pt>
                <c:pt idx="163">
                  <c:v>-8.3122131706648617E-2</c:v>
                </c:pt>
                <c:pt idx="164">
                  <c:v>-6.4443378011954877E-2</c:v>
                </c:pt>
                <c:pt idx="165">
                  <c:v>-7.4633435593693065E-2</c:v>
                </c:pt>
                <c:pt idx="166">
                  <c:v>-9.641065377068081E-2</c:v>
                </c:pt>
                <c:pt idx="167">
                  <c:v>-0.10117136616496936</c:v>
                </c:pt>
                <c:pt idx="168">
                  <c:v>-9.8837488917757454E-2</c:v>
                </c:pt>
                <c:pt idx="169">
                  <c:v>-9.2908050970743616E-2</c:v>
                </c:pt>
                <c:pt idx="170">
                  <c:v>0.17377188576467439</c:v>
                </c:pt>
                <c:pt idx="171">
                  <c:v>0.10677209978138791</c:v>
                </c:pt>
                <c:pt idx="172">
                  <c:v>7.2819725775298494E-2</c:v>
                </c:pt>
                <c:pt idx="173">
                  <c:v>5.4203274495511877E-2</c:v>
                </c:pt>
                <c:pt idx="174">
                  <c:v>4.3983109304825518E-2</c:v>
                </c:pt>
                <c:pt idx="175">
                  <c:v>2.3059754448222947E-2</c:v>
                </c:pt>
                <c:pt idx="176">
                  <c:v>3.2703153325355672E-2</c:v>
                </c:pt>
                <c:pt idx="177">
                  <c:v>4.1586272466958007E-2</c:v>
                </c:pt>
                <c:pt idx="178">
                  <c:v>5.023668479905119E-2</c:v>
                </c:pt>
                <c:pt idx="179">
                  <c:v>5.8792625983333124E-2</c:v>
                </c:pt>
                <c:pt idx="180">
                  <c:v>-6.341105010734438E-2</c:v>
                </c:pt>
                <c:pt idx="181">
                  <c:v>-3.8655087076522321E-2</c:v>
                </c:pt>
                <c:pt idx="182">
                  <c:v>-2.2355374083860013E-2</c:v>
                </c:pt>
                <c:pt idx="183">
                  <c:v>-9.5757897674975112E-3</c:v>
                </c:pt>
                <c:pt idx="184">
                  <c:v>1.5018723118362942E-3</c:v>
                </c:pt>
                <c:pt idx="185">
                  <c:v>-0.15466591710264588</c:v>
                </c:pt>
                <c:pt idx="186">
                  <c:v>-0.1360277548308737</c:v>
                </c:pt>
                <c:pt idx="187">
                  <c:v>-0.11460829716461163</c:v>
                </c:pt>
                <c:pt idx="188">
                  <c:v>-9.4102710617448793E-2</c:v>
                </c:pt>
                <c:pt idx="189">
                  <c:v>-7.5255651571525917E-2</c:v>
                </c:pt>
                <c:pt idx="190">
                  <c:v>-7.6724431708193208E-2</c:v>
                </c:pt>
                <c:pt idx="191">
                  <c:v>-9.9233745163980203E-2</c:v>
                </c:pt>
                <c:pt idx="192">
                  <c:v>-0.10471393264326956</c:v>
                </c:pt>
                <c:pt idx="193">
                  <c:v>-0.10306973854775592</c:v>
                </c:pt>
                <c:pt idx="194">
                  <c:v>-9.7787190909343735E-2</c:v>
                </c:pt>
                <c:pt idx="195">
                  <c:v>0.17320195933897509</c:v>
                </c:pt>
                <c:pt idx="196">
                  <c:v>0.10600287915858786</c:v>
                </c:pt>
                <c:pt idx="197">
                  <c:v>7.1873535050798409E-2</c:v>
                </c:pt>
                <c:pt idx="198">
                  <c:v>5.309391979311151E-2</c:v>
                </c:pt>
                <c:pt idx="199">
                  <c:v>4.2720259774224445E-2</c:v>
                </c:pt>
                <c:pt idx="200">
                  <c:v>8.0877282875423617E-2</c:v>
                </c:pt>
                <c:pt idx="201">
                  <c:v>8.9437574215516236E-2</c:v>
                </c:pt>
                <c:pt idx="202">
                  <c:v>9.7919969306348165E-2</c:v>
                </c:pt>
                <c:pt idx="203">
                  <c:v>0.10637943894847091</c:v>
                </c:pt>
                <c:pt idx="204">
                  <c:v>0.11482980546896293</c:v>
                </c:pt>
                <c:pt idx="205">
                  <c:v>1.7445586638595856E-2</c:v>
                </c:pt>
                <c:pt idx="206">
                  <c:v>2.8952596687638277E-2</c:v>
                </c:pt>
                <c:pt idx="207">
                  <c:v>3.859672012023907E-2</c:v>
                </c:pt>
                <c:pt idx="208">
                  <c:v>4.7629077459513169E-2</c:v>
                </c:pt>
                <c:pt idx="209">
                  <c:v>5.6403193991515721E-2</c:v>
                </c:pt>
                <c:pt idx="210">
                  <c:v>-5.7023090531805209E-2</c:v>
                </c:pt>
                <c:pt idx="211">
                  <c:v>-3.1034818681062504E-2</c:v>
                </c:pt>
                <c:pt idx="212">
                  <c:v>-1.1676382981541167E-2</c:v>
                </c:pt>
                <c:pt idx="213">
                  <c:v>3.7540458239604391E-3</c:v>
                </c:pt>
                <c:pt idx="214">
                  <c:v>1.6883229771304187E-2</c:v>
                </c:pt>
                <c:pt idx="215">
                  <c:v>-4.2568869162193934E-2</c:v>
                </c:pt>
                <c:pt idx="216">
                  <c:v>-5.4200211750980998E-2</c:v>
                </c:pt>
                <c:pt idx="217">
                  <c:v>-5.0416631263368927E-2</c:v>
                </c:pt>
                <c:pt idx="218">
                  <c:v>-4.1097516978457094E-2</c:v>
                </c:pt>
                <c:pt idx="219">
                  <c:v>-2.9582196995344034E-2</c:v>
                </c:pt>
                <c:pt idx="220">
                  <c:v>0.18187299240647548</c:v>
                </c:pt>
                <c:pt idx="221">
                  <c:v>0.11763089601448762</c:v>
                </c:pt>
                <c:pt idx="222">
                  <c:v>8.6077261235299574E-2</c:v>
                </c:pt>
                <c:pt idx="223">
                  <c:v>6.9624164733211202E-2</c:v>
                </c:pt>
                <c:pt idx="224">
                  <c:v>6.1392879463225469E-2</c:v>
                </c:pt>
                <c:pt idx="225">
                  <c:v>6.7583235522453933E-2</c:v>
                </c:pt>
                <c:pt idx="226">
                  <c:v>7.6198654608825578E-2</c:v>
                </c:pt>
                <c:pt idx="227">
                  <c:v>8.4700844797728436E-2</c:v>
                </c:pt>
                <c:pt idx="228">
                  <c:v>9.3169607422451506E-2</c:v>
                </c:pt>
                <c:pt idx="229">
                  <c:v>0.10162507042541336</c:v>
                </c:pt>
                <c:pt idx="230">
                  <c:v>3.6811066720456864E-3</c:v>
                </c:pt>
                <c:pt idx="231">
                  <c:v>1.6319106335139111E-2</c:v>
                </c:pt>
                <c:pt idx="232">
                  <c:v>2.6441826799919355E-2</c:v>
                </c:pt>
                <c:pt idx="233">
                  <c:v>3.57191553795424E-2</c:v>
                </c:pt>
                <c:pt idx="234">
                  <c:v>4.4634957902475847E-2</c:v>
                </c:pt>
                <c:pt idx="235">
                  <c:v>-7.6718838698036862E-2</c:v>
                </c:pt>
                <c:pt idx="236">
                  <c:v>-4.9539055523963427E-2</c:v>
                </c:pt>
                <c:pt idx="237">
                  <c:v>-2.8551686133361898E-2</c:v>
                </c:pt>
                <c:pt idx="238">
                  <c:v>-1.1719155895018929E-2</c:v>
                </c:pt>
                <c:pt idx="239">
                  <c:v>2.5213883426538075E-3</c:v>
                </c:pt>
                <c:pt idx="240">
                  <c:v>-5.105925092029473E-2</c:v>
                </c:pt>
                <c:pt idx="241">
                  <c:v>-6.509142678178037E-2</c:v>
                </c:pt>
                <c:pt idx="242">
                  <c:v>-6.3086978923269754E-2</c:v>
                </c:pt>
                <c:pt idx="243">
                  <c:v>-5.5024167900656451E-2</c:v>
                </c:pt>
                <c:pt idx="244">
                  <c:v>-4.4354142487144088E-2</c:v>
                </c:pt>
                <c:pt idx="245">
                  <c:v>0.17979161903387464</c:v>
                </c:pt>
                <c:pt idx="246">
                  <c:v>0.11485447550248828</c:v>
                </c:pt>
                <c:pt idx="247">
                  <c:v>8.270531622309818E-2</c:v>
                </c:pt>
                <c:pt idx="248">
                  <c:v>6.5723884160711066E-2</c:v>
                </c:pt>
                <c:pt idx="249">
                  <c:v>5.7015271306925186E-2</c:v>
                </c:pt>
                <c:pt idx="250">
                  <c:v>5.7920794442363643E-2</c:v>
                </c:pt>
                <c:pt idx="251">
                  <c:v>6.6600916505755947E-2</c:v>
                </c:pt>
                <c:pt idx="252">
                  <c:v>7.5126477415267345E-2</c:v>
                </c:pt>
                <c:pt idx="253">
                  <c:v>8.3606232576061146E-2</c:v>
                </c:pt>
                <c:pt idx="254">
                  <c:v>9.2067714225313679E-2</c:v>
                </c:pt>
                <c:pt idx="255">
                  <c:v>-7.1656121982943688E-3</c:v>
                </c:pt>
                <c:pt idx="256">
                  <c:v>6.6780509274178002E-3</c:v>
                </c:pt>
                <c:pt idx="257">
                  <c:v>1.7328390991139031E-2</c:v>
                </c:pt>
                <c:pt idx="258">
                  <c:v>2.6880669268093627E-2</c:v>
                </c:pt>
                <c:pt idx="259">
                  <c:v>3.5957273488225638E-2</c:v>
                </c:pt>
                <c:pt idx="260">
                  <c:v>-9.2375186901396233E-2</c:v>
                </c:pt>
                <c:pt idx="261">
                  <c:v>-6.4812743453343202E-2</c:v>
                </c:pt>
                <c:pt idx="262">
                  <c:v>-4.2661606982361988E-2</c:v>
                </c:pt>
                <c:pt idx="263">
                  <c:v>-2.467129049024841E-2</c:v>
                </c:pt>
                <c:pt idx="264">
                  <c:v>-9.4443252925948684E-3</c:v>
                </c:pt>
                <c:pt idx="265">
                  <c:v>-5.7089519268094691E-2</c:v>
                </c:pt>
                <c:pt idx="266">
                  <c:v>-7.2964157649181516E-2</c:v>
                </c:pt>
                <c:pt idx="267">
                  <c:v>-7.2427527031770467E-2</c:v>
                </c:pt>
                <c:pt idx="268">
                  <c:v>-6.5486038209956021E-2</c:v>
                </c:pt>
                <c:pt idx="269">
                  <c:v>-5.564260309964375E-2</c:v>
                </c:pt>
                <c:pt idx="270">
                  <c:v>0.17829684669197476</c:v>
                </c:pt>
                <c:pt idx="271">
                  <c:v>0.11285478117348724</c:v>
                </c:pt>
                <c:pt idx="272">
                  <c:v>8.0269104023498627E-2</c:v>
                </c:pt>
                <c:pt idx="273">
                  <c:v>6.2896628705711777E-2</c:v>
                </c:pt>
                <c:pt idx="274">
                  <c:v>5.3831102274424225E-2</c:v>
                </c:pt>
                <c:pt idx="275">
                  <c:v>5.0556653903193194E-2</c:v>
                </c:pt>
                <c:pt idx="276">
                  <c:v>5.9310761707836335E-2</c:v>
                </c:pt>
                <c:pt idx="277">
                  <c:v>6.7863162947666922E-2</c:v>
                </c:pt>
                <c:pt idx="278">
                  <c:v>7.6355571336049977E-2</c:v>
                </c:pt>
                <c:pt idx="279">
                  <c:v>8.482401116398286E-2</c:v>
                </c:pt>
                <c:pt idx="280">
                  <c:v>-1.6193899589675098E-2</c:v>
                </c:pt>
                <c:pt idx="281">
                  <c:v>-1.0981847317719229E-3</c:v>
                </c:pt>
                <c:pt idx="282">
                  <c:v>1.0118722776459421E-2</c:v>
                </c:pt>
                <c:pt idx="283">
                  <c:v>1.9971565153863224E-2</c:v>
                </c:pt>
                <c:pt idx="284">
                  <c:v>2.922593349063618E-2</c:v>
                </c:pt>
                <c:pt idx="285">
                  <c:v>-0.1050790128933663</c:v>
                </c:pt>
                <c:pt idx="286">
                  <c:v>-7.7720784515612706E-2</c:v>
                </c:pt>
                <c:pt idx="287">
                  <c:v>-5.4806025996962049E-2</c:v>
                </c:pt>
                <c:pt idx="288">
                  <c:v>-3.5894471828319396E-2</c:v>
                </c:pt>
                <c:pt idx="289">
                  <c:v>-1.9816450838476385E-2</c:v>
                </c:pt>
                <c:pt idx="290">
                  <c:v>-6.1572661462394151E-2</c:v>
                </c:pt>
                <c:pt idx="291">
                  <c:v>-7.8887488566580899E-2</c:v>
                </c:pt>
                <c:pt idx="292">
                  <c:v>-7.955974574966973E-2</c:v>
                </c:pt>
                <c:pt idx="293">
                  <c:v>-7.3594604447256629E-2</c:v>
                </c:pt>
                <c:pt idx="294">
                  <c:v>-6.451603314214438E-2</c:v>
                </c:pt>
                <c:pt idx="295">
                  <c:v>0.17717133346537395</c:v>
                </c:pt>
                <c:pt idx="296">
                  <c:v>0.11134590101958786</c:v>
                </c:pt>
                <c:pt idx="297">
                  <c:v>7.8426650004198351E-2</c:v>
                </c:pt>
                <c:pt idx="298">
                  <c:v>6.0753255628412717E-2</c:v>
                </c:pt>
                <c:pt idx="299">
                  <c:v>5.1411041731725504E-2</c:v>
                </c:pt>
                <c:pt idx="300">
                  <c:v>0.11953708908949245</c:v>
                </c:pt>
                <c:pt idx="301">
                  <c:v>0.12802771011949687</c:v>
                </c:pt>
                <c:pt idx="302">
                  <c:v>0.13648522654454709</c:v>
                </c:pt>
                <c:pt idx="303">
                  <c:v>0.14493306509707082</c:v>
                </c:pt>
                <c:pt idx="304">
                  <c:v>0.15337706168284448</c:v>
                </c:pt>
                <c:pt idx="305">
                  <c:v>5.3951234606165244E-2</c:v>
                </c:pt>
                <c:pt idx="306">
                  <c:v>6.3835805325219042E-2</c:v>
                </c:pt>
                <c:pt idx="307">
                  <c:v>7.2822975266010559E-2</c:v>
                </c:pt>
                <c:pt idx="308">
                  <c:v>8.1526839142293639E-2</c:v>
                </c:pt>
                <c:pt idx="309">
                  <c:v>9.0113709973506317E-2</c:v>
                </c:pt>
                <c:pt idx="310">
                  <c:v>-9.3334407482768E-3</c:v>
                </c:pt>
                <c:pt idx="311">
                  <c:v>1.2187760718576968E-2</c:v>
                </c:pt>
                <c:pt idx="312">
                  <c:v>2.7719015654387391E-2</c:v>
                </c:pt>
                <c:pt idx="313">
                  <c:v>4.0341655557002198E-2</c:v>
                </c:pt>
                <c:pt idx="314">
                  <c:v>5.1435924821493728E-2</c:v>
                </c:pt>
                <c:pt idx="315">
                  <c:v>-1.7286041038293121E-2</c:v>
                </c:pt>
                <c:pt idx="316">
                  <c:v>-2.3071806370580816E-2</c:v>
                </c:pt>
                <c:pt idx="317">
                  <c:v>-1.5620940602369515E-2</c:v>
                </c:pt>
                <c:pt idx="318">
                  <c:v>-4.1712126461561638E-3</c:v>
                </c:pt>
                <c:pt idx="319">
                  <c:v>8.4341056353558486E-3</c:v>
                </c:pt>
                <c:pt idx="320">
                  <c:v>0.18803863573057455</c:v>
                </c:pt>
                <c:pt idx="321">
                  <c:v>0.12580054747368763</c:v>
                </c:pt>
                <c:pt idx="322">
                  <c:v>9.5928068547898704E-2</c:v>
                </c:pt>
                <c:pt idx="323">
                  <c:v>8.0932814946711673E-2</c:v>
                </c:pt>
                <c:pt idx="324">
                  <c:v>7.3987374598624811E-2</c:v>
                </c:pt>
                <c:pt idx="325">
                  <c:v>0.10041150197986326</c:v>
                </c:pt>
                <c:pt idx="326">
                  <c:v>0.10892659030710661</c:v>
                </c:pt>
                <c:pt idx="327">
                  <c:v>0.1173928234580881</c:v>
                </c:pt>
                <c:pt idx="328">
                  <c:v>0.12584473258342044</c:v>
                </c:pt>
                <c:pt idx="329">
                  <c:v>0.13429095202504371</c:v>
                </c:pt>
                <c:pt idx="330">
                  <c:v>3.6312082471965823E-2</c:v>
                </c:pt>
                <c:pt idx="331">
                  <c:v>4.6797161718618696E-2</c:v>
                </c:pt>
                <c:pt idx="332">
                  <c:v>5.602315042123962E-2</c:v>
                </c:pt>
                <c:pt idx="333">
                  <c:v>6.4845282425832096E-2</c:v>
                </c:pt>
                <c:pt idx="334">
                  <c:v>7.3499163785575305E-2</c:v>
                </c:pt>
                <c:pt idx="335">
                  <c:v>-3.1417905616326181E-2</c:v>
                </c:pt>
                <c:pt idx="336">
                  <c:v>-7.6852753052634171E-3</c:v>
                </c:pt>
                <c:pt idx="337">
                  <c:v>9.5390393128980122E-3</c:v>
                </c:pt>
                <c:pt idx="338">
                  <c:v>2.3341424619511386E-2</c:v>
                </c:pt>
                <c:pt idx="339">
                  <c:v>3.5264035366274982E-2</c:v>
                </c:pt>
                <c:pt idx="340">
                  <c:v>-2.9852460331394326E-2</c:v>
                </c:pt>
                <c:pt idx="341">
                  <c:v>-3.8308724075580614E-2</c:v>
                </c:pt>
                <c:pt idx="342">
                  <c:v>-3.2410985880169108E-2</c:v>
                </c:pt>
                <c:pt idx="343">
                  <c:v>-2.1772138017956522E-2</c:v>
                </c:pt>
                <c:pt idx="344">
                  <c:v>-9.5026688234440826E-3</c:v>
                </c:pt>
                <c:pt idx="345">
                  <c:v>0.18497045361387521</c:v>
                </c:pt>
                <c:pt idx="346">
                  <c:v>0.12174539128928785</c:v>
                </c:pt>
                <c:pt idx="347">
                  <c:v>9.1051704978898584E-2</c:v>
                </c:pt>
                <c:pt idx="348">
                  <c:v>7.5350688824311618E-2</c:v>
                </c:pt>
                <c:pt idx="349">
                  <c:v>6.7788688286125165E-2</c:v>
                </c:pt>
                <c:pt idx="350">
                  <c:v>8.6504445355062742E-2</c:v>
                </c:pt>
                <c:pt idx="351">
                  <c:v>9.5048550976725821E-2</c:v>
                </c:pt>
                <c:pt idx="352">
                  <c:v>0.10352515205230794</c:v>
                </c:pt>
                <c:pt idx="353">
                  <c:v>0.11198191100875121</c:v>
                </c:pt>
                <c:pt idx="354">
                  <c:v>0.12043079223550457</c:v>
                </c:pt>
                <c:pt idx="355">
                  <c:v>2.3006780872435684E-2</c:v>
                </c:pt>
                <c:pt idx="356">
                  <c:v>3.4159143359548949E-2</c:v>
                </c:pt>
                <c:pt idx="357">
                  <c:v>4.3656560812140199E-2</c:v>
                </c:pt>
                <c:pt idx="358">
                  <c:v>5.2614730842462265E-2</c:v>
                </c:pt>
                <c:pt idx="359">
                  <c:v>6.1346261356135301E-2</c:v>
                </c:pt>
                <c:pt idx="360">
                  <c:v>-4.92742804872357E-2</c:v>
                </c:pt>
                <c:pt idx="361">
                  <c:v>-2.3906847483333493E-2</c:v>
                </c:pt>
                <c:pt idx="362">
                  <c:v>-5.2030922933017365E-3</c:v>
                </c:pt>
                <c:pt idx="363">
                  <c:v>9.7077050293314926E-3</c:v>
                </c:pt>
                <c:pt idx="364">
                  <c:v>2.2443026385024822E-2</c:v>
                </c:pt>
                <c:pt idx="365">
                  <c:v>-3.8927622515393168E-2</c:v>
                </c:pt>
                <c:pt idx="366">
                  <c:v>-4.9598962149781656E-2</c:v>
                </c:pt>
                <c:pt idx="367">
                  <c:v>-4.5146930153769915E-2</c:v>
                </c:pt>
                <c:pt idx="368">
                  <c:v>-3.5388210553357169E-2</c:v>
                </c:pt>
                <c:pt idx="369">
                  <c:v>-2.3602845519944182E-2</c:v>
                </c:pt>
                <c:pt idx="370">
                  <c:v>0.18276098750937386</c:v>
                </c:pt>
                <c:pt idx="371">
                  <c:v>0.11881257942788714</c:v>
                </c:pt>
                <c:pt idx="372">
                  <c:v>8.7508678081698932E-2</c:v>
                </c:pt>
                <c:pt idx="373">
                  <c:v>7.1275332355211773E-2</c:v>
                </c:pt>
                <c:pt idx="374">
                  <c:v>6.3240868156924535E-2</c:v>
                </c:pt>
                <c:pt idx="375">
                  <c:v>7.5920353732293222E-2</c:v>
                </c:pt>
                <c:pt idx="376">
                  <c:v>8.4497939345236972E-2</c:v>
                </c:pt>
                <c:pt idx="377">
                  <c:v>9.2986535941127713E-2</c:v>
                </c:pt>
                <c:pt idx="378">
                  <c:v>0.1014489098681004</c:v>
                </c:pt>
                <c:pt idx="379">
                  <c:v>0.10990086868287285</c:v>
                </c:pt>
                <c:pt idx="380">
                  <c:v>1.2431583757885889E-2</c:v>
                </c:pt>
                <c:pt idx="381">
                  <c:v>2.4305298203858072E-2</c:v>
                </c:pt>
                <c:pt idx="382">
                  <c:v>3.4102838908140143E-2</c:v>
                </c:pt>
                <c:pt idx="383">
                  <c:v>4.3213239523002045E-2</c:v>
                </c:pt>
                <c:pt idx="384">
                  <c:v>5.2032320690296174E-2</c:v>
                </c:pt>
                <c:pt idx="385">
                  <c:v>-6.4129101598766169E-2</c:v>
                </c:pt>
                <c:pt idx="386">
                  <c:v>-3.7638356114493732E-2</c:v>
                </c:pt>
                <c:pt idx="387">
                  <c:v>-1.7681913525001036E-2</c:v>
                </c:pt>
                <c:pt idx="388">
                  <c:v>-1.7573488243378677E-3</c:v>
                </c:pt>
                <c:pt idx="389">
                  <c:v>1.1754846332785007E-2</c:v>
                </c:pt>
                <c:pt idx="390">
                  <c:v>-4.5755603071894413E-2</c:v>
                </c:pt>
                <c:pt idx="391">
                  <c:v>-5.8261329404080797E-2</c:v>
                </c:pt>
                <c:pt idx="392">
                  <c:v>-5.5108075458170092E-2</c:v>
                </c:pt>
                <c:pt idx="393">
                  <c:v>-4.6220306308455861E-2</c:v>
                </c:pt>
                <c:pt idx="394">
                  <c:v>-3.4984040418343909E-2</c:v>
                </c:pt>
                <c:pt idx="395">
                  <c:v>0.18109402215517534</c:v>
                </c:pt>
                <c:pt idx="396">
                  <c:v>0.1165928924260875</c:v>
                </c:pt>
                <c:pt idx="397">
                  <c:v>8.4818049609898694E-2</c:v>
                </c:pt>
                <c:pt idx="398">
                  <c:v>6.8169403992811795E-2</c:v>
                </c:pt>
                <c:pt idx="399">
                  <c:v>5.9762123245324261E-2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F3-2B43-9ECD-0AA610B0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46048"/>
        <c:axId val="2046352111"/>
      </c:scatterChart>
      <c:valAx>
        <c:axId val="211946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6352111"/>
        <c:crosses val="autoZero"/>
        <c:crossBetween val="midCat"/>
      </c:valAx>
      <c:valAx>
        <c:axId val="2046352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9460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'D-Stat1'!$C$2:$C$401</c:f>
              <c:strCache>
                <c:ptCount val="400"/>
                <c:pt idx="9">
                  <c:v>SS</c:v>
                </c:pt>
                <c:pt idx="10">
                  <c:v>313,9091685</c:v>
                </c:pt>
                <c:pt idx="11">
                  <c:v>2,949689513</c:v>
                </c:pt>
                <c:pt idx="12">
                  <c:v>316,8588581</c:v>
                </c:pt>
                <c:pt idx="14">
                  <c:v>Standard Error</c:v>
                </c:pt>
                <c:pt idx="15">
                  <c:v>0,024945103</c:v>
                </c:pt>
                <c:pt idx="16">
                  <c:v>0,030475294</c:v>
                </c:pt>
                <c:pt idx="17">
                  <c:v>0,006095059</c:v>
                </c:pt>
                <c:pt idx="23">
                  <c:v>Residuals</c:v>
                </c:pt>
                <c:pt idx="24">
                  <c:v>0,004085628</c:v>
                </c:pt>
                <c:pt idx="25">
                  <c:v>-0,000644123</c:v>
                </c:pt>
                <c:pt idx="26">
                  <c:v>-0,004282084</c:v>
                </c:pt>
                <c:pt idx="27">
                  <c:v>-0,006981488</c:v>
                </c:pt>
                <c:pt idx="28">
                  <c:v>-0,008827612</c:v>
                </c:pt>
                <c:pt idx="29">
                  <c:v>-0,105611095</c:v>
                </c:pt>
                <c:pt idx="30">
                  <c:v>-0,100387424</c:v>
                </c:pt>
                <c:pt idx="31">
                  <c:v>-0,094250195</c:v>
                </c:pt>
                <c:pt idx="32">
                  <c:v>-0,087734737</c:v>
                </c:pt>
                <c:pt idx="33">
                  <c:v>-0,081020062</c:v>
                </c:pt>
                <c:pt idx="34">
                  <c:v>-0,165123537</c:v>
                </c:pt>
                <c:pt idx="35">
                  <c:v>-0,165550821</c:v>
                </c:pt>
                <c:pt idx="36">
                  <c:v>-0,161625141</c:v>
                </c:pt>
                <c:pt idx="37">
                  <c:v>-0,155940997</c:v>
                </c:pt>
                <c:pt idx="38">
                  <c:v>-0,149372383</c:v>
                </c:pt>
                <c:pt idx="39">
                  <c:v>-0,090143719</c:v>
                </c:pt>
                <c:pt idx="40">
                  <c:v>-0,116898387</c:v>
                </c:pt>
                <c:pt idx="41">
                  <c:v>-0,12669102</c:v>
                </c:pt>
                <c:pt idx="42">
                  <c:v>-0,129417613</c:v>
                </c:pt>
                <c:pt idx="43">
                  <c:v>-0,128523767</c:v>
                </c:pt>
                <c:pt idx="44">
                  <c:v>0,16919199</c:v>
                </c:pt>
                <c:pt idx="45">
                  <c:v>0,100571348</c:v>
                </c:pt>
                <c:pt idx="46">
                  <c:v>0,06516641</c:v>
                </c:pt>
                <c:pt idx="47">
                  <c:v>0,04519754</c:v>
                </c:pt>
                <c:pt idx="48">
                  <c:v>0,033692086</c:v>
                </c:pt>
                <c:pt idx="49">
                  <c:v>0,008573463</c:v>
                </c:pt>
                <c:pt idx="50">
                  <c:v>0,005649314</c:v>
                </c:pt>
                <c:pt idx="51">
                  <c:v>0,003552946</c:v>
                </c:pt>
                <c:pt idx="52">
                  <c:v>0,002153191</c:v>
                </c:pt>
                <c:pt idx="53">
                  <c:v>0,001386112</c:v>
                </c:pt>
                <c:pt idx="54">
                  <c:v>-0,105135139</c:v>
                </c:pt>
                <c:pt idx="55">
                  <c:v>-0,099680933</c:v>
                </c:pt>
                <c:pt idx="56">
                  <c:v>-0,093319342</c:v>
                </c:pt>
                <c:pt idx="57">
                  <c:v>-0,086585594</c:v>
                </c:pt>
                <c:pt idx="58">
                  <c:v>-0,0796586</c:v>
                </c:pt>
                <c:pt idx="59">
                  <c:v>-0,165097934</c:v>
                </c:pt>
                <c:pt idx="60">
                  <c:v>-0,165510979</c:v>
                </c:pt>
                <c:pt idx="61">
                  <c:v>-0,161571123</c:v>
                </c:pt>
                <c:pt idx="62">
                  <c:v>-0,155872891</c:v>
                </c:pt>
                <c:pt idx="63">
                  <c:v>-0,149290271</c:v>
                </c:pt>
                <c:pt idx="64">
                  <c:v>-0,090146933</c:v>
                </c:pt>
                <c:pt idx="65">
                  <c:v>-0,116902359</c:v>
                </c:pt>
                <c:pt idx="66">
                  <c:v>-0,126695699</c:v>
                </c:pt>
                <c:pt idx="67">
                  <c:v>-0,129422975</c:v>
                </c:pt>
                <c:pt idx="68">
                  <c:v>-0,128529799</c:v>
                </c:pt>
                <c:pt idx="69">
                  <c:v>0,16919091</c:v>
                </c:pt>
                <c:pt idx="70">
                  <c:v>0,100569888</c:v>
                </c:pt>
                <c:pt idx="71">
                  <c:v>0,065164593</c:v>
                </c:pt>
                <c:pt idx="72">
                  <c:v>0,045195397</c:v>
                </c:pt>
                <c:pt idx="73">
                  <c:v>0,033689626</c:v>
                </c:pt>
                <c:pt idx="74">
                  <c:v>0,01184661</c:v>
                </c:pt>
                <c:pt idx="75">
                  <c:v>0,010289757</c:v>
                </c:pt>
                <c:pt idx="76">
                  <c:v>0,009395173</c:v>
                </c:pt>
                <c:pt idx="77">
                  <c:v>0,009043033</c:v>
                </c:pt>
                <c:pt idx="78">
                  <c:v>0,009180539</c:v>
                </c:pt>
                <c:pt idx="79">
                  <c:v>-0,104793752</c:v>
                </c:pt>
                <c:pt idx="80">
                  <c:v>-0,099173138</c:v>
                </c:pt>
                <c:pt idx="81">
                  <c:v>-0,09264889</c:v>
                </c:pt>
                <c:pt idx="82">
                  <c:v>-0,085756186</c:v>
                </c:pt>
                <c:pt idx="83">
                  <c:v>-0,078673884</c:v>
                </c:pt>
                <c:pt idx="84">
                  <c:v>-0,165079627</c:v>
                </c:pt>
                <c:pt idx="85">
                  <c:v>-0,165482471</c:v>
                </c:pt>
                <c:pt idx="86">
                  <c:v>-0,161532458</c:v>
                </c:pt>
                <c:pt idx="87">
                  <c:v>-0,155824113</c:v>
                </c:pt>
                <c:pt idx="88">
                  <c:v>-0,149231434</c:v>
                </c:pt>
                <c:pt idx="89">
                  <c:v>-0,090149227</c:v>
                </c:pt>
                <c:pt idx="90">
                  <c:v>-0,116905196</c:v>
                </c:pt>
                <c:pt idx="91">
                  <c:v>-0,126699039</c:v>
                </c:pt>
                <c:pt idx="92">
                  <c:v>-0,129426804</c:v>
                </c:pt>
                <c:pt idx="93">
                  <c:v>-0,128534108</c:v>
                </c:pt>
                <c:pt idx="94">
                  <c:v>0,169190145</c:v>
                </c:pt>
                <c:pt idx="95">
                  <c:v>0,100568843</c:v>
                </c:pt>
                <c:pt idx="96">
                  <c:v>0,065163297</c:v>
                </c:pt>
                <c:pt idx="97">
                  <c:v>0,045193866</c:v>
                </c:pt>
                <c:pt idx="98">
                  <c:v>0,033687871</c:v>
                </c:pt>
                <c:pt idx="99">
                  <c:v>0,014338897</c:v>
                </c:pt>
                <c:pt idx="100">
                  <c:v>0,013851118</c:v>
                </c:pt>
                <c:pt idx="101">
                  <c:v>0,013915188</c:v>
                </c:pt>
                <c:pt idx="102">
                  <c:v>0,014417674</c:v>
                </c:pt>
                <c:pt idx="103">
                  <c:v>0,015312118</c:v>
                </c:pt>
                <c:pt idx="104">
                  <c:v>-0,104536934</c:v>
                </c:pt>
                <c:pt idx="105">
                  <c:v>-0,098790558</c:v>
                </c:pt>
                <c:pt idx="106">
                  <c:v>-0,092142995</c:v>
                </c:pt>
                <c:pt idx="107">
                  <c:v>-0,085129395</c:v>
                </c:pt>
                <c:pt idx="108">
                  <c:v>-0,07792859</c:v>
                </c:pt>
                <c:pt idx="109">
                  <c:v>-0,165065885</c:v>
                </c:pt>
                <c:pt idx="110">
                  <c:v>-0,165461068</c:v>
                </c:pt>
                <c:pt idx="111">
                  <c:v>-0,161503415</c:v>
                </c:pt>
                <c:pt idx="112">
                  <c:v>-0,15578746</c:v>
                </c:pt>
                <c:pt idx="113">
                  <c:v>-0,149187203</c:v>
                </c:pt>
                <c:pt idx="114">
                  <c:v>-0,090150949</c:v>
                </c:pt>
                <c:pt idx="115">
                  <c:v>-0,116907323</c:v>
                </c:pt>
                <c:pt idx="116">
                  <c:v>-0,126701545</c:v>
                </c:pt>
                <c:pt idx="117">
                  <c:v>-0,129429676</c:v>
                </c:pt>
                <c:pt idx="118">
                  <c:v>-0,128537337</c:v>
                </c:pt>
                <c:pt idx="119">
                  <c:v>0,16918956</c:v>
                </c:pt>
                <c:pt idx="120">
                  <c:v>0,100568054</c:v>
                </c:pt>
                <c:pt idx="121">
                  <c:v>0,065162326</c:v>
                </c:pt>
                <c:pt idx="122">
                  <c:v>0,045192719</c:v>
                </c:pt>
                <c:pt idx="123">
                  <c:v>0,033686552</c:v>
                </c:pt>
                <c:pt idx="124">
                  <c:v>0,040006283</c:v>
                </c:pt>
                <c:pt idx="125">
                  <c:v>0,048934928</c:v>
                </c:pt>
                <c:pt idx="126">
                  <c:v>0,057551142</c:v>
                </c:pt>
                <c:pt idx="127">
                  <c:v>0,066073774</c:v>
                </c:pt>
                <c:pt idx="128">
                  <c:v>0,074558853</c:v>
                </c:pt>
                <c:pt idx="129">
                  <c:v>-0,030979732</c:v>
                </c:pt>
                <c:pt idx="130">
                  <c:v>-0,013329039</c:v>
                </c:pt>
                <c:pt idx="131">
                  <c:v>-0,000896216</c:v>
                </c:pt>
                <c:pt idx="132">
                  <c:v>0,009619278</c:v>
                </c:pt>
                <c:pt idx="133">
                  <c:v>0,019272238</c:v>
                </c:pt>
                <c:pt idx="134">
                  <c:v>-0,124237748</c:v>
                </c:pt>
                <c:pt idx="135">
                  <c:v>-0,098388085</c:v>
                </c:pt>
                <c:pt idx="136">
                  <c:v>-0,074876122</c:v>
                </c:pt>
                <c:pt idx="137">
                  <c:v>-0,054746499</c:v>
                </c:pt>
                <c:pt idx="138">
                  <c:v>-0,037363202</c:v>
                </c:pt>
                <c:pt idx="139">
                  <c:v>-0,067758361</c:v>
                </c:pt>
                <c:pt idx="140">
                  <c:v>-0,087147385</c:v>
                </c:pt>
                <c:pt idx="141">
                  <c:v>-0,089655667</c:v>
                </c:pt>
                <c:pt idx="142">
                  <c:v>-0,085259749</c:v>
                </c:pt>
                <c:pt idx="143">
                  <c:v>-0,077486794</c:v>
                </c:pt>
                <c:pt idx="144">
                  <c:v>0,175589205</c:v>
                </c:pt>
                <c:pt idx="145">
                  <c:v>0,109220296</c:v>
                </c:pt>
                <c:pt idx="146">
                  <c:v>0,075825008</c:v>
                </c:pt>
                <c:pt idx="147">
                  <c:v>0,057719123</c:v>
                </c:pt>
                <c:pt idx="148">
                  <c:v>0,04797627</c:v>
                </c:pt>
                <c:pt idx="149">
                  <c:v>0,032725105</c:v>
                </c:pt>
                <c:pt idx="150">
                  <c:v>0,041861698</c:v>
                </c:pt>
                <c:pt idx="151">
                  <c:v>0,050554707</c:v>
                </c:pt>
                <c:pt idx="152">
                  <c:v>0,059113881</c:v>
                </c:pt>
                <c:pt idx="153">
                  <c:v>0,067619166</c:v>
                </c:pt>
                <c:pt idx="154">
                  <c:v>-0,043185022</c:v>
                </c:pt>
                <c:pt idx="155">
                  <c:v>-0,023019572</c:v>
                </c:pt>
                <c:pt idx="156">
                  <c:v>-0,009306976</c:v>
                </c:pt>
                <c:pt idx="157">
                  <c:v>0,0019312</c:v>
                </c:pt>
                <c:pt idx="158">
                  <c:v>0,012028609</c:v>
                </c:pt>
                <c:pt idx="159">
                  <c:v>-0,137718137</c:v>
                </c:pt>
                <c:pt idx="160">
                  <c:v>-0,114120853</c:v>
                </c:pt>
                <c:pt idx="161">
                  <c:v>-0,090868351</c:v>
                </c:pt>
                <c:pt idx="162">
                  <c:v>-0,070184937</c:v>
                </c:pt>
                <c:pt idx="163">
                  <c:v>-0,051965056</c:v>
                </c:pt>
                <c:pt idx="164">
                  <c:v>-0,071799625</c:v>
                </c:pt>
                <c:pt idx="165">
                  <c:v>-0,092585925</c:v>
                </c:pt>
                <c:pt idx="166">
                  <c:v>-0,096394212</c:v>
                </c:pt>
                <c:pt idx="167">
                  <c:v>-0,093170301</c:v>
                </c:pt>
                <c:pt idx="168">
                  <c:v>-0,086428182</c:v>
                </c:pt>
                <c:pt idx="169">
                  <c:v>0,174530299</c:v>
                </c:pt>
                <c:pt idx="170">
                  <c:v>0,107794646</c:v>
                </c:pt>
                <c:pt idx="171">
                  <c:v>0,074076092</c:v>
                </c:pt>
                <c:pt idx="172">
                  <c:v>0,055674509</c:v>
                </c:pt>
                <c:pt idx="173">
                  <c:v>0,045655775</c:v>
                </c:pt>
                <c:pt idx="174">
                  <c:v>0,027312519</c:v>
                </c:pt>
                <c:pt idx="175">
                  <c:v>0,036688116</c:v>
                </c:pt>
                <c:pt idx="176">
                  <c:v>0,045470296</c:v>
                </c:pt>
                <c:pt idx="177">
                  <c:v>0,054072126</c:v>
                </c:pt>
                <c:pt idx="178">
                  <c:v>0,062601072</c:v>
                </c:pt>
                <c:pt idx="179">
                  <c:v>-0,053834887</c:v>
                </c:pt>
                <c:pt idx="180">
                  <c:v>-0,031283102</c:v>
                </c:pt>
                <c:pt idx="181">
                  <c:v>-0,016270647</c:v>
                </c:pt>
                <c:pt idx="182">
                  <c:v>-0,004271827</c:v>
                </c:pt>
                <c:pt idx="183">
                  <c:v>0,006303872</c:v>
                </c:pt>
                <c:pt idx="184">
                  <c:v>-0,147467714</c:v>
                </c:pt>
                <c:pt idx="185">
                  <c:v>-0,126360179</c:v>
                </c:pt>
                <c:pt idx="186">
                  <c:v>-0,103881304</c:v>
                </c:pt>
                <c:pt idx="187">
                  <c:v>-0,083122132</c:v>
                </c:pt>
                <c:pt idx="188">
                  <c:v>-0,064443378</c:v>
                </c:pt>
                <c:pt idx="189">
                  <c:v>-0,074633436</c:v>
                </c:pt>
                <c:pt idx="190">
                  <c:v>-0,096410654</c:v>
                </c:pt>
                <c:pt idx="191">
                  <c:v>-0,101171366</c:v>
                </c:pt>
                <c:pt idx="192">
                  <c:v>-0,098837489</c:v>
                </c:pt>
                <c:pt idx="193">
                  <c:v>-0,092908051</c:v>
                </c:pt>
                <c:pt idx="194">
                  <c:v>0,173771886</c:v>
                </c:pt>
                <c:pt idx="195">
                  <c:v>0,1067721</c:v>
                </c:pt>
                <c:pt idx="196">
                  <c:v>0,072819726</c:v>
                </c:pt>
                <c:pt idx="197">
                  <c:v>0,054203274</c:v>
                </c:pt>
                <c:pt idx="198">
                  <c:v>0,043983109</c:v>
                </c:pt>
                <c:pt idx="199">
                  <c:v>0,023059754</c:v>
                </c:pt>
                <c:pt idx="200">
                  <c:v>0,032703153</c:v>
                </c:pt>
                <c:pt idx="201">
                  <c:v>0,041586272</c:v>
                </c:pt>
                <c:pt idx="202">
                  <c:v>0,050236685</c:v>
                </c:pt>
                <c:pt idx="203">
                  <c:v>0,058792626</c:v>
                </c:pt>
                <c:pt idx="204">
                  <c:v>-0,06341105</c:v>
                </c:pt>
                <c:pt idx="205">
                  <c:v>-0,038655087</c:v>
                </c:pt>
                <c:pt idx="206">
                  <c:v>-0,022355374</c:v>
                </c:pt>
                <c:pt idx="207">
                  <c:v>-0,00957579</c:v>
                </c:pt>
                <c:pt idx="208">
                  <c:v>0,001501872</c:v>
                </c:pt>
                <c:pt idx="209">
                  <c:v>-0,154665917</c:v>
                </c:pt>
                <c:pt idx="210">
                  <c:v>-0,136027755</c:v>
                </c:pt>
                <c:pt idx="211">
                  <c:v>-0,114608297</c:v>
                </c:pt>
                <c:pt idx="212">
                  <c:v>-0,094102711</c:v>
                </c:pt>
                <c:pt idx="213">
                  <c:v>-0,075255652</c:v>
                </c:pt>
                <c:pt idx="214">
                  <c:v>-0,076724432</c:v>
                </c:pt>
                <c:pt idx="215">
                  <c:v>-0,099233745</c:v>
                </c:pt>
                <c:pt idx="216">
                  <c:v>-0,104713933</c:v>
                </c:pt>
                <c:pt idx="217">
                  <c:v>-0,103069739</c:v>
                </c:pt>
                <c:pt idx="218">
                  <c:v>-0,097787191</c:v>
                </c:pt>
                <c:pt idx="219">
                  <c:v>0,173201959</c:v>
                </c:pt>
                <c:pt idx="220">
                  <c:v>0,106002879</c:v>
                </c:pt>
                <c:pt idx="221">
                  <c:v>0,071873535</c:v>
                </c:pt>
                <c:pt idx="222">
                  <c:v>0,05309392</c:v>
                </c:pt>
                <c:pt idx="223">
                  <c:v>0,04272026</c:v>
                </c:pt>
                <c:pt idx="224">
                  <c:v>0,080877283</c:v>
                </c:pt>
                <c:pt idx="225">
                  <c:v>0,089437574</c:v>
                </c:pt>
                <c:pt idx="226">
                  <c:v>0,097919969</c:v>
                </c:pt>
                <c:pt idx="227">
                  <c:v>0,106379439</c:v>
                </c:pt>
                <c:pt idx="228">
                  <c:v>0,114829805</c:v>
                </c:pt>
                <c:pt idx="229">
                  <c:v>0,017445587</c:v>
                </c:pt>
                <c:pt idx="230">
                  <c:v>0,028952597</c:v>
                </c:pt>
                <c:pt idx="231">
                  <c:v>0,03859672</c:v>
                </c:pt>
                <c:pt idx="232">
                  <c:v>0,047629077</c:v>
                </c:pt>
                <c:pt idx="233">
                  <c:v>0,056403194</c:v>
                </c:pt>
                <c:pt idx="234">
                  <c:v>-0,057023091</c:v>
                </c:pt>
                <c:pt idx="235">
                  <c:v>-0,031034819</c:v>
                </c:pt>
                <c:pt idx="236">
                  <c:v>-0,011676383</c:v>
                </c:pt>
                <c:pt idx="237">
                  <c:v>0,003754046</c:v>
                </c:pt>
                <c:pt idx="238">
                  <c:v>0,01688323</c:v>
                </c:pt>
                <c:pt idx="239">
                  <c:v>-0,042568869</c:v>
                </c:pt>
                <c:pt idx="240">
                  <c:v>-0,054200212</c:v>
                </c:pt>
                <c:pt idx="241">
                  <c:v>-0,050416631</c:v>
                </c:pt>
                <c:pt idx="242">
                  <c:v>-0,041097517</c:v>
                </c:pt>
                <c:pt idx="243">
                  <c:v>-0,029582197</c:v>
                </c:pt>
                <c:pt idx="244">
                  <c:v>0,181872992</c:v>
                </c:pt>
                <c:pt idx="245">
                  <c:v>0,117630896</c:v>
                </c:pt>
                <c:pt idx="246">
                  <c:v>0,086077261</c:v>
                </c:pt>
                <c:pt idx="247">
                  <c:v>0,069624165</c:v>
                </c:pt>
                <c:pt idx="248">
                  <c:v>0,061392879</c:v>
                </c:pt>
                <c:pt idx="249">
                  <c:v>0,067583236</c:v>
                </c:pt>
                <c:pt idx="250">
                  <c:v>0,076198655</c:v>
                </c:pt>
                <c:pt idx="251">
                  <c:v>0,084700845</c:v>
                </c:pt>
                <c:pt idx="252">
                  <c:v>0,093169607</c:v>
                </c:pt>
                <c:pt idx="253">
                  <c:v>0,10162507</c:v>
                </c:pt>
                <c:pt idx="254">
                  <c:v>0,003681107</c:v>
                </c:pt>
                <c:pt idx="255">
                  <c:v>0,016319106</c:v>
                </c:pt>
                <c:pt idx="256">
                  <c:v>0,026441827</c:v>
                </c:pt>
                <c:pt idx="257">
                  <c:v>0,035719155</c:v>
                </c:pt>
                <c:pt idx="258">
                  <c:v>0,044634958</c:v>
                </c:pt>
                <c:pt idx="259">
                  <c:v>-0,076718839</c:v>
                </c:pt>
                <c:pt idx="260">
                  <c:v>-0,049539056</c:v>
                </c:pt>
                <c:pt idx="261">
                  <c:v>-0,028551686</c:v>
                </c:pt>
                <c:pt idx="262">
                  <c:v>-0,011719156</c:v>
                </c:pt>
                <c:pt idx="263">
                  <c:v>0,002521388</c:v>
                </c:pt>
                <c:pt idx="264">
                  <c:v>-0,051059251</c:v>
                </c:pt>
                <c:pt idx="265">
                  <c:v>-0,065091427</c:v>
                </c:pt>
                <c:pt idx="266">
                  <c:v>-0,063086979</c:v>
                </c:pt>
                <c:pt idx="267">
                  <c:v>-0,055024168</c:v>
                </c:pt>
                <c:pt idx="268">
                  <c:v>-0,044354142</c:v>
                </c:pt>
                <c:pt idx="269">
                  <c:v>0,179791619</c:v>
                </c:pt>
                <c:pt idx="270">
                  <c:v>0,114854476</c:v>
                </c:pt>
                <c:pt idx="271">
                  <c:v>0,082705316</c:v>
                </c:pt>
                <c:pt idx="272">
                  <c:v>0,065723884</c:v>
                </c:pt>
                <c:pt idx="273">
                  <c:v>0,057015271</c:v>
                </c:pt>
                <c:pt idx="274">
                  <c:v>0,057920794</c:v>
                </c:pt>
                <c:pt idx="275">
                  <c:v>0,066600917</c:v>
                </c:pt>
                <c:pt idx="276">
                  <c:v>0,075126477</c:v>
                </c:pt>
                <c:pt idx="277">
                  <c:v>0,083606233</c:v>
                </c:pt>
                <c:pt idx="278">
                  <c:v>0,092067714</c:v>
                </c:pt>
                <c:pt idx="279">
                  <c:v>-0,007165612</c:v>
                </c:pt>
                <c:pt idx="280">
                  <c:v>0,006678051</c:v>
                </c:pt>
                <c:pt idx="281">
                  <c:v>0,017328391</c:v>
                </c:pt>
                <c:pt idx="282">
                  <c:v>0,026880669</c:v>
                </c:pt>
                <c:pt idx="283">
                  <c:v>0,035957273</c:v>
                </c:pt>
                <c:pt idx="284">
                  <c:v>-0,092375187</c:v>
                </c:pt>
                <c:pt idx="285">
                  <c:v>-0,064812743</c:v>
                </c:pt>
                <c:pt idx="286">
                  <c:v>-0,042661607</c:v>
                </c:pt>
                <c:pt idx="287">
                  <c:v>-0,02467129</c:v>
                </c:pt>
                <c:pt idx="288">
                  <c:v>-0,009444325</c:v>
                </c:pt>
                <c:pt idx="289">
                  <c:v>-0,057089519</c:v>
                </c:pt>
                <c:pt idx="290">
                  <c:v>-0,072964158</c:v>
                </c:pt>
                <c:pt idx="291">
                  <c:v>-0,072427527</c:v>
                </c:pt>
                <c:pt idx="292">
                  <c:v>-0,065486038</c:v>
                </c:pt>
                <c:pt idx="293">
                  <c:v>-0,055642603</c:v>
                </c:pt>
                <c:pt idx="294">
                  <c:v>0,178296847</c:v>
                </c:pt>
                <c:pt idx="295">
                  <c:v>0,112854781</c:v>
                </c:pt>
                <c:pt idx="296">
                  <c:v>0,080269104</c:v>
                </c:pt>
                <c:pt idx="297">
                  <c:v>0,062896629</c:v>
                </c:pt>
                <c:pt idx="298">
                  <c:v>0,053831102</c:v>
                </c:pt>
                <c:pt idx="299">
                  <c:v>0,050556654</c:v>
                </c:pt>
                <c:pt idx="300">
                  <c:v>0,059310762</c:v>
                </c:pt>
                <c:pt idx="301">
                  <c:v>0,067863163</c:v>
                </c:pt>
                <c:pt idx="302">
                  <c:v>0,076355571</c:v>
                </c:pt>
                <c:pt idx="303">
                  <c:v>0,084824011</c:v>
                </c:pt>
                <c:pt idx="304">
                  <c:v>-0,0161939</c:v>
                </c:pt>
                <c:pt idx="305">
                  <c:v>-0,001098185</c:v>
                </c:pt>
                <c:pt idx="306">
                  <c:v>0,010118723</c:v>
                </c:pt>
                <c:pt idx="307">
                  <c:v>0,019971565</c:v>
                </c:pt>
                <c:pt idx="308">
                  <c:v>0,029225933</c:v>
                </c:pt>
                <c:pt idx="309">
                  <c:v>-0,105079013</c:v>
                </c:pt>
                <c:pt idx="310">
                  <c:v>-0,077720785</c:v>
                </c:pt>
                <c:pt idx="311">
                  <c:v>-0,054806026</c:v>
                </c:pt>
                <c:pt idx="312">
                  <c:v>-0,035894472</c:v>
                </c:pt>
                <c:pt idx="313">
                  <c:v>-0,019816451</c:v>
                </c:pt>
                <c:pt idx="314">
                  <c:v>-0,061572661</c:v>
                </c:pt>
                <c:pt idx="315">
                  <c:v>-0,078887489</c:v>
                </c:pt>
                <c:pt idx="316">
                  <c:v>-0,079559746</c:v>
                </c:pt>
                <c:pt idx="317">
                  <c:v>-0,073594604</c:v>
                </c:pt>
                <c:pt idx="318">
                  <c:v>-0,064516033</c:v>
                </c:pt>
                <c:pt idx="319">
                  <c:v>0,177171333</c:v>
                </c:pt>
                <c:pt idx="320">
                  <c:v>0,111345901</c:v>
                </c:pt>
                <c:pt idx="321">
                  <c:v>0,07842665</c:v>
                </c:pt>
                <c:pt idx="322">
                  <c:v>0,060753256</c:v>
                </c:pt>
                <c:pt idx="323">
                  <c:v>0,051411042</c:v>
                </c:pt>
                <c:pt idx="324">
                  <c:v>0,119537089</c:v>
                </c:pt>
                <c:pt idx="325">
                  <c:v>0,12802771</c:v>
                </c:pt>
                <c:pt idx="326">
                  <c:v>0,136485227</c:v>
                </c:pt>
                <c:pt idx="327">
                  <c:v>0,144933065</c:v>
                </c:pt>
                <c:pt idx="328">
                  <c:v>0,153377062</c:v>
                </c:pt>
                <c:pt idx="329">
                  <c:v>0,053951235</c:v>
                </c:pt>
                <c:pt idx="330">
                  <c:v>0,063835805</c:v>
                </c:pt>
                <c:pt idx="331">
                  <c:v>0,072822975</c:v>
                </c:pt>
                <c:pt idx="332">
                  <c:v>0,081526839</c:v>
                </c:pt>
                <c:pt idx="333">
                  <c:v>0,09011371</c:v>
                </c:pt>
                <c:pt idx="334">
                  <c:v>-0,009333441</c:v>
                </c:pt>
                <c:pt idx="335">
                  <c:v>0,012187761</c:v>
                </c:pt>
                <c:pt idx="336">
                  <c:v>0,027719016</c:v>
                </c:pt>
                <c:pt idx="337">
                  <c:v>0,040341656</c:v>
                </c:pt>
                <c:pt idx="338">
                  <c:v>0,051435925</c:v>
                </c:pt>
                <c:pt idx="339">
                  <c:v>-0,017286041</c:v>
                </c:pt>
                <c:pt idx="340">
                  <c:v>-0,023071806</c:v>
                </c:pt>
                <c:pt idx="341">
                  <c:v>-0,015620941</c:v>
                </c:pt>
                <c:pt idx="342">
                  <c:v>-0,004171213</c:v>
                </c:pt>
                <c:pt idx="343">
                  <c:v>0,008434106</c:v>
                </c:pt>
                <c:pt idx="344">
                  <c:v>0,188038636</c:v>
                </c:pt>
                <c:pt idx="345">
                  <c:v>0,125800547</c:v>
                </c:pt>
                <c:pt idx="346">
                  <c:v>0,095928069</c:v>
                </c:pt>
                <c:pt idx="347">
                  <c:v>0,080932815</c:v>
                </c:pt>
                <c:pt idx="348">
                  <c:v>0,073987375</c:v>
                </c:pt>
                <c:pt idx="349">
                  <c:v>0,100411502</c:v>
                </c:pt>
                <c:pt idx="350">
                  <c:v>0,10892659</c:v>
                </c:pt>
                <c:pt idx="351">
                  <c:v>0,117392823</c:v>
                </c:pt>
                <c:pt idx="352">
                  <c:v>0,125844733</c:v>
                </c:pt>
                <c:pt idx="353">
                  <c:v>0,134290952</c:v>
                </c:pt>
                <c:pt idx="354">
                  <c:v>0,036312082</c:v>
                </c:pt>
                <c:pt idx="355">
                  <c:v>0,046797162</c:v>
                </c:pt>
                <c:pt idx="356">
                  <c:v>0,05602315</c:v>
                </c:pt>
                <c:pt idx="357">
                  <c:v>0,064845282</c:v>
                </c:pt>
                <c:pt idx="358">
                  <c:v>0,073499164</c:v>
                </c:pt>
                <c:pt idx="359">
                  <c:v>-0,031417906</c:v>
                </c:pt>
                <c:pt idx="360">
                  <c:v>-0,007685275</c:v>
                </c:pt>
                <c:pt idx="361">
                  <c:v>0,009539039</c:v>
                </c:pt>
                <c:pt idx="362">
                  <c:v>0,023341425</c:v>
                </c:pt>
                <c:pt idx="363">
                  <c:v>0,035264035</c:v>
                </c:pt>
                <c:pt idx="364">
                  <c:v>-0,02985246</c:v>
                </c:pt>
                <c:pt idx="365">
                  <c:v>-0,038308724</c:v>
                </c:pt>
                <c:pt idx="366">
                  <c:v>-0,032410986</c:v>
                </c:pt>
                <c:pt idx="367">
                  <c:v>-0,021772138</c:v>
                </c:pt>
                <c:pt idx="368">
                  <c:v>-0,009502669</c:v>
                </c:pt>
                <c:pt idx="369">
                  <c:v>0,184970454</c:v>
                </c:pt>
                <c:pt idx="370">
                  <c:v>0,121745391</c:v>
                </c:pt>
                <c:pt idx="371">
                  <c:v>0,091051705</c:v>
                </c:pt>
                <c:pt idx="372">
                  <c:v>0,075350689</c:v>
                </c:pt>
                <c:pt idx="373">
                  <c:v>0,067788688</c:v>
                </c:pt>
                <c:pt idx="374">
                  <c:v>0,086504445</c:v>
                </c:pt>
                <c:pt idx="375">
                  <c:v>0,095048551</c:v>
                </c:pt>
                <c:pt idx="376">
                  <c:v>0,103525152</c:v>
                </c:pt>
                <c:pt idx="377">
                  <c:v>0,111981911</c:v>
                </c:pt>
                <c:pt idx="378">
                  <c:v>0,120430792</c:v>
                </c:pt>
                <c:pt idx="379">
                  <c:v>0,023006781</c:v>
                </c:pt>
                <c:pt idx="380">
                  <c:v>0,034159143</c:v>
                </c:pt>
                <c:pt idx="381">
                  <c:v>0,043656561</c:v>
                </c:pt>
                <c:pt idx="382">
                  <c:v>0,052614731</c:v>
                </c:pt>
                <c:pt idx="383">
                  <c:v>0,061346261</c:v>
                </c:pt>
                <c:pt idx="384">
                  <c:v>-0,04927428</c:v>
                </c:pt>
                <c:pt idx="385">
                  <c:v>-0,023906847</c:v>
                </c:pt>
                <c:pt idx="386">
                  <c:v>-0,005203092</c:v>
                </c:pt>
                <c:pt idx="387">
                  <c:v>0,009707705</c:v>
                </c:pt>
                <c:pt idx="388">
                  <c:v>0,022443026</c:v>
                </c:pt>
                <c:pt idx="389">
                  <c:v>-0,038927623</c:v>
                </c:pt>
                <c:pt idx="390">
                  <c:v>-0,049598962</c:v>
                </c:pt>
                <c:pt idx="391">
                  <c:v>-0,04514693</c:v>
                </c:pt>
                <c:pt idx="392">
                  <c:v>-0,035388211</c:v>
                </c:pt>
                <c:pt idx="393">
                  <c:v>-0,023602846</c:v>
                </c:pt>
                <c:pt idx="394">
                  <c:v>0,182760988</c:v>
                </c:pt>
                <c:pt idx="395">
                  <c:v>0,118812579</c:v>
                </c:pt>
                <c:pt idx="396">
                  <c:v>0,087508678</c:v>
                </c:pt>
                <c:pt idx="397">
                  <c:v>0,071275332</c:v>
                </c:pt>
                <c:pt idx="398">
                  <c:v>0,063240868</c:v>
                </c:pt>
                <c:pt idx="399">
                  <c:v>0,075920354</c:v>
                </c:pt>
              </c:strCache>
            </c:strRef>
          </c:xVal>
          <c:yVal>
            <c:numRef>
              <c:f>'D-Stat1'!$C$26:$C$425</c:f>
              <c:numCache>
                <c:formatCode>General</c:formatCode>
                <c:ptCount val="400"/>
                <c:pt idx="0">
                  <c:v>4.0856277665231033E-3</c:v>
                </c:pt>
                <c:pt idx="1">
                  <c:v>-6.4412256847390381E-4</c:v>
                </c:pt>
                <c:pt idx="2">
                  <c:v>-4.2820843967117383E-3</c:v>
                </c:pt>
                <c:pt idx="3">
                  <c:v>-6.9814876841700624E-3</c:v>
                </c:pt>
                <c:pt idx="4">
                  <c:v>-8.827611502216115E-3</c:v>
                </c:pt>
                <c:pt idx="5">
                  <c:v>-0.10561109549916381</c:v>
                </c:pt>
                <c:pt idx="6">
                  <c:v>-0.10038742364031172</c:v>
                </c:pt>
                <c:pt idx="7">
                  <c:v>-9.4250194930159736E-2</c:v>
                </c:pt>
                <c:pt idx="8">
                  <c:v>-8.7734736966236682E-2</c:v>
                </c:pt>
                <c:pt idx="9">
                  <c:v>-8.1020061530054477E-2</c:v>
                </c:pt>
                <c:pt idx="10">
                  <c:v>-0.16512353668786517</c:v>
                </c:pt>
                <c:pt idx="11">
                  <c:v>-0.1655508209286225</c:v>
                </c:pt>
                <c:pt idx="12">
                  <c:v>-0.16162514070911094</c:v>
                </c:pt>
                <c:pt idx="13">
                  <c:v>-0.15594099731130839</c:v>
                </c:pt>
                <c:pt idx="14">
                  <c:v>-0.14937238298874611</c:v>
                </c:pt>
                <c:pt idx="15">
                  <c:v>-9.0143718655093963E-2</c:v>
                </c:pt>
                <c:pt idx="16">
                  <c:v>-0.11689838667888175</c:v>
                </c:pt>
                <c:pt idx="17">
                  <c:v>-0.12669101992277021</c:v>
                </c:pt>
                <c:pt idx="18">
                  <c:v>-0.12941761317555667</c:v>
                </c:pt>
                <c:pt idx="19">
                  <c:v>-0.12852376676624289</c:v>
                </c:pt>
                <c:pt idx="20">
                  <c:v>0.16919199025907439</c:v>
                </c:pt>
                <c:pt idx="21">
                  <c:v>0.10057134836758763</c:v>
                </c:pt>
                <c:pt idx="22">
                  <c:v>6.5166409535398984E-2</c:v>
                </c:pt>
                <c:pt idx="23">
                  <c:v>4.5197539984211943E-2</c:v>
                </c:pt>
                <c:pt idx="24">
                  <c:v>3.3692085926425364E-2</c:v>
                </c:pt>
                <c:pt idx="25">
                  <c:v>8.573463348392707E-3</c:v>
                </c:pt>
                <c:pt idx="26">
                  <c:v>5.6493135976669606E-3</c:v>
                </c:pt>
                <c:pt idx="27">
                  <c:v>3.5529462196777217E-3</c:v>
                </c:pt>
                <c:pt idx="28">
                  <c:v>2.15319088244037E-3</c:v>
                </c:pt>
                <c:pt idx="29">
                  <c:v>1.3861118482445534E-3</c:v>
                </c:pt>
                <c:pt idx="30">
                  <c:v>-0.10513513934480478</c:v>
                </c:pt>
                <c:pt idx="31">
                  <c:v>-9.9680932826212043E-2</c:v>
                </c:pt>
                <c:pt idx="32">
                  <c:v>-9.3319341550179402E-2</c:v>
                </c:pt>
                <c:pt idx="33">
                  <c:v>-8.6585593566777419E-2</c:v>
                </c:pt>
                <c:pt idx="34">
                  <c:v>-7.9658599565654242E-2</c:v>
                </c:pt>
                <c:pt idx="35">
                  <c:v>-0.16509793409537643</c:v>
                </c:pt>
                <c:pt idx="36">
                  <c:v>-0.16551097930151215</c:v>
                </c:pt>
                <c:pt idx="37">
                  <c:v>-0.16157112293153197</c:v>
                </c:pt>
                <c:pt idx="38">
                  <c:v>-0.15587289123369885</c:v>
                </c:pt>
                <c:pt idx="39">
                  <c:v>-0.14929027100107639</c:v>
                </c:pt>
                <c:pt idx="40">
                  <c:v>-9.0146933263794082E-2</c:v>
                </c:pt>
                <c:pt idx="41">
                  <c:v>-0.11690235886778133</c:v>
                </c:pt>
                <c:pt idx="42">
                  <c:v>-0.12669569855006912</c:v>
                </c:pt>
                <c:pt idx="43">
                  <c:v>-0.12942297460055663</c:v>
                </c:pt>
                <c:pt idx="44">
                  <c:v>-0.12852979938044307</c:v>
                </c:pt>
                <c:pt idx="45">
                  <c:v>0.16919091015427412</c:v>
                </c:pt>
                <c:pt idx="46">
                  <c:v>0.10056988771628816</c:v>
                </c:pt>
                <c:pt idx="47">
                  <c:v>6.5164593155998318E-2</c:v>
                </c:pt>
                <c:pt idx="48">
                  <c:v>4.519539721551169E-2</c:v>
                </c:pt>
                <c:pt idx="49">
                  <c:v>3.3689625596924344E-2</c:v>
                </c:pt>
                <c:pt idx="50">
                  <c:v>1.184661040895385E-2</c:v>
                </c:pt>
                <c:pt idx="51">
                  <c:v>1.0289757251976894E-2</c:v>
                </c:pt>
                <c:pt idx="52">
                  <c:v>9.3951728314873861E-3</c:v>
                </c:pt>
                <c:pt idx="53">
                  <c:v>9.0430325674102363E-3</c:v>
                </c:pt>
                <c:pt idx="54">
                  <c:v>9.1805391867545438E-3</c:v>
                </c:pt>
                <c:pt idx="55">
                  <c:v>-0.10479375222748466</c:v>
                </c:pt>
                <c:pt idx="56">
                  <c:v>-9.9173138342260714E-2</c:v>
                </c:pt>
                <c:pt idx="57">
                  <c:v>-9.2648890212050361E-2</c:v>
                </c:pt>
                <c:pt idx="58">
                  <c:v>-8.5756185567078091E-2</c:v>
                </c:pt>
                <c:pt idx="59">
                  <c:v>-7.8673883753644702E-2</c:v>
                </c:pt>
                <c:pt idx="60">
                  <c:v>-0.1650796272547268</c:v>
                </c:pt>
                <c:pt idx="61">
                  <c:v>-0.16548247142660344</c:v>
                </c:pt>
                <c:pt idx="62">
                  <c:v>-0.16153245768955138</c:v>
                </c:pt>
                <c:pt idx="63">
                  <c:v>-0.15582411277584818</c:v>
                </c:pt>
                <c:pt idx="64">
                  <c:v>-0.14923143401643557</c:v>
                </c:pt>
                <c:pt idx="65">
                  <c:v>-9.0149227128193843E-2</c:v>
                </c:pt>
                <c:pt idx="66">
                  <c:v>-0.11690519564578139</c:v>
                </c:pt>
                <c:pt idx="67">
                  <c:v>-0.12669903906386892</c:v>
                </c:pt>
                <c:pt idx="68">
                  <c:v>-0.12942680408835727</c:v>
                </c:pt>
                <c:pt idx="69">
                  <c:v>-0.12853410755154293</c:v>
                </c:pt>
                <c:pt idx="70">
                  <c:v>0.16919014457327464</c:v>
                </c:pt>
                <c:pt idx="71">
                  <c:v>0.10056884299838842</c:v>
                </c:pt>
                <c:pt idx="72">
                  <c:v>6.5163297360799177E-2</c:v>
                </c:pt>
                <c:pt idx="73">
                  <c:v>4.5193865618511353E-2</c:v>
                </c:pt>
                <c:pt idx="74">
                  <c:v>3.3687870937425757E-2</c:v>
                </c:pt>
                <c:pt idx="75">
                  <c:v>1.4338896940213175E-2</c:v>
                </c:pt>
                <c:pt idx="76">
                  <c:v>1.3851118465936452E-2</c:v>
                </c:pt>
                <c:pt idx="77">
                  <c:v>1.39151876044874E-2</c:v>
                </c:pt>
                <c:pt idx="78">
                  <c:v>1.4417673694140376E-2</c:v>
                </c:pt>
                <c:pt idx="79">
                  <c:v>1.5312118286473719E-2</c:v>
                </c:pt>
                <c:pt idx="80">
                  <c:v>-0.10453693366307526</c:v>
                </c:pt>
                <c:pt idx="81">
                  <c:v>-9.8790557520741729E-2</c:v>
                </c:pt>
                <c:pt idx="82">
                  <c:v>-9.2142994751499785E-2</c:v>
                </c:pt>
                <c:pt idx="83">
                  <c:v>-8.5129395454178081E-2</c:v>
                </c:pt>
                <c:pt idx="84">
                  <c:v>-7.7928589953243588E-2</c:v>
                </c:pt>
                <c:pt idx="85">
                  <c:v>-0.16506588467012584</c:v>
                </c:pt>
                <c:pt idx="86">
                  <c:v>-0.16546106841795272</c:v>
                </c:pt>
                <c:pt idx="87">
                  <c:v>-0.1615034153784709</c:v>
                </c:pt>
                <c:pt idx="88">
                  <c:v>-0.15578745993163956</c:v>
                </c:pt>
                <c:pt idx="89">
                  <c:v>-0.14918720338887503</c:v>
                </c:pt>
                <c:pt idx="90">
                  <c:v>-9.0150949213693821E-2</c:v>
                </c:pt>
                <c:pt idx="91">
                  <c:v>-0.11690732321588015</c:v>
                </c:pt>
                <c:pt idx="92">
                  <c:v>-0.12670154508746911</c:v>
                </c:pt>
                <c:pt idx="93">
                  <c:v>-0.12942967554745621</c:v>
                </c:pt>
                <c:pt idx="94">
                  <c:v>-0.12853733739274276</c:v>
                </c:pt>
                <c:pt idx="95">
                  <c:v>0.16918955974257521</c:v>
                </c:pt>
                <c:pt idx="96">
                  <c:v>0.10056805369778843</c:v>
                </c:pt>
                <c:pt idx="97">
                  <c:v>6.5162325905998131E-2</c:v>
                </c:pt>
                <c:pt idx="98">
                  <c:v>4.5192718649811781E-2</c:v>
                </c:pt>
                <c:pt idx="99">
                  <c:v>3.3686552248125778E-2</c:v>
                </c:pt>
                <c:pt idx="100">
                  <c:v>4.0006282709883934E-2</c:v>
                </c:pt>
                <c:pt idx="101">
                  <c:v>4.89349278910165E-2</c:v>
                </c:pt>
                <c:pt idx="102">
                  <c:v>5.7551142309817394E-2</c:v>
                </c:pt>
                <c:pt idx="103">
                  <c:v>6.6073774464850743E-2</c:v>
                </c:pt>
                <c:pt idx="104">
                  <c:v>7.4558852851183133E-2</c:v>
                </c:pt>
                <c:pt idx="105">
                  <c:v>-3.0979731846095149E-2</c:v>
                </c:pt>
                <c:pt idx="106">
                  <c:v>-1.3329039223812345E-2</c:v>
                </c:pt>
                <c:pt idx="107">
                  <c:v>-8.9621586625021621E-4</c:v>
                </c:pt>
                <c:pt idx="108">
                  <c:v>9.6192780890227425E-3</c:v>
                </c:pt>
                <c:pt idx="109">
                  <c:v>1.9272237736425168E-2</c:v>
                </c:pt>
                <c:pt idx="110">
                  <c:v>-0.12423774816797639</c:v>
                </c:pt>
                <c:pt idx="111">
                  <c:v>-9.8388085375383127E-2</c:v>
                </c:pt>
                <c:pt idx="112">
                  <c:v>-7.487612181894221E-2</c:v>
                </c:pt>
                <c:pt idx="113">
                  <c:v>-5.4746498998829551E-2</c:v>
                </c:pt>
                <c:pt idx="114">
                  <c:v>-3.7363201693395354E-2</c:v>
                </c:pt>
                <c:pt idx="115">
                  <c:v>-6.7758360502594428E-2</c:v>
                </c:pt>
                <c:pt idx="116">
                  <c:v>-8.714738506368036E-2</c:v>
                </c:pt>
                <c:pt idx="117">
                  <c:v>-8.9655667327569688E-2</c:v>
                </c:pt>
                <c:pt idx="118">
                  <c:v>-8.5259749461256362E-2</c:v>
                </c:pt>
                <c:pt idx="119">
                  <c:v>-7.7486794449743712E-2</c:v>
                </c:pt>
                <c:pt idx="120">
                  <c:v>0.17558920469197403</c:v>
                </c:pt>
                <c:pt idx="121">
                  <c:v>0.10922029559928781</c:v>
                </c:pt>
                <c:pt idx="122">
                  <c:v>7.5825007779698694E-2</c:v>
                </c:pt>
                <c:pt idx="123">
                  <c:v>5.771912281041125E-2</c:v>
                </c:pt>
                <c:pt idx="124">
                  <c:v>4.7976269520024317E-2</c:v>
                </c:pt>
                <c:pt idx="125">
                  <c:v>3.2725104758753787E-2</c:v>
                </c:pt>
                <c:pt idx="126">
                  <c:v>4.1861697759026484E-2</c:v>
                </c:pt>
                <c:pt idx="127">
                  <c:v>5.0554707014066835E-2</c:v>
                </c:pt>
                <c:pt idx="128">
                  <c:v>5.9113881221870557E-2</c:v>
                </c:pt>
                <c:pt idx="129">
                  <c:v>6.7619166372153927E-2</c:v>
                </c:pt>
                <c:pt idx="130">
                  <c:v>-4.3185021672185187E-2</c:v>
                </c:pt>
                <c:pt idx="131">
                  <c:v>-2.3019572157771506E-2</c:v>
                </c:pt>
                <c:pt idx="132">
                  <c:v>-9.3069762918105425E-3</c:v>
                </c:pt>
                <c:pt idx="133">
                  <c:v>1.9312001041029703E-3</c:v>
                </c:pt>
                <c:pt idx="134">
                  <c:v>1.2028609082376462E-2</c:v>
                </c:pt>
                <c:pt idx="135">
                  <c:v>-0.13771813698572544</c:v>
                </c:pt>
                <c:pt idx="136">
                  <c:v>-0.11412085273699368</c:v>
                </c:pt>
                <c:pt idx="137">
                  <c:v>-9.0868350785612506E-2</c:v>
                </c:pt>
                <c:pt idx="138">
                  <c:v>-7.0184937351758236E-2</c:v>
                </c:pt>
                <c:pt idx="139">
                  <c:v>-5.1965056481424909E-2</c:v>
                </c:pt>
                <c:pt idx="140">
                  <c:v>-7.1799625189294503E-2</c:v>
                </c:pt>
                <c:pt idx="141">
                  <c:v>-9.2585925276681635E-2</c:v>
                </c:pt>
                <c:pt idx="142">
                  <c:v>-9.6394211770070015E-2</c:v>
                </c:pt>
                <c:pt idx="143">
                  <c:v>-9.317030088445577E-2</c:v>
                </c:pt>
                <c:pt idx="144">
                  <c:v>-8.6428182017543875E-2</c:v>
                </c:pt>
                <c:pt idx="145">
                  <c:v>0.17453029884227433</c:v>
                </c:pt>
                <c:pt idx="146">
                  <c:v>0.10779464569848685</c:v>
                </c:pt>
                <c:pt idx="147">
                  <c:v>7.407609208459931E-2</c:v>
                </c:pt>
                <c:pt idx="148">
                  <c:v>5.5674509362312108E-2</c:v>
                </c:pt>
                <c:pt idx="149">
                  <c:v>4.5655774531725868E-2</c:v>
                </c:pt>
                <c:pt idx="150">
                  <c:v>2.7312518750832737E-2</c:v>
                </c:pt>
                <c:pt idx="151">
                  <c:v>3.6688116135206172E-2</c:v>
                </c:pt>
                <c:pt idx="152">
                  <c:v>4.5470296332347004E-2</c:v>
                </c:pt>
                <c:pt idx="153">
                  <c:v>5.407212591008026E-2</c:v>
                </c:pt>
                <c:pt idx="154">
                  <c:v>6.2601072340322972E-2</c:v>
                </c:pt>
                <c:pt idx="155">
                  <c:v>-5.3834886738714616E-2</c:v>
                </c:pt>
                <c:pt idx="156">
                  <c:v>-3.1283102433292242E-2</c:v>
                </c:pt>
                <c:pt idx="157">
                  <c:v>-1.6270646997980975E-2</c:v>
                </c:pt>
                <c:pt idx="158">
                  <c:v>-4.2718266019878826E-3</c:v>
                </c:pt>
                <c:pt idx="159">
                  <c:v>6.3038724714861161E-3</c:v>
                </c:pt>
                <c:pt idx="160">
                  <c:v>-0.14746771431960681</c:v>
                </c:pt>
                <c:pt idx="161">
                  <c:v>-0.12636017907178321</c:v>
                </c:pt>
                <c:pt idx="162">
                  <c:v>-0.10388130398041184</c:v>
                </c:pt>
                <c:pt idx="163">
                  <c:v>-8.3122131706648617E-2</c:v>
                </c:pt>
                <c:pt idx="164">
                  <c:v>-6.4443378011954877E-2</c:v>
                </c:pt>
                <c:pt idx="165">
                  <c:v>-7.4633435593693065E-2</c:v>
                </c:pt>
                <c:pt idx="166">
                  <c:v>-9.641065377068081E-2</c:v>
                </c:pt>
                <c:pt idx="167">
                  <c:v>-0.10117136616496936</c:v>
                </c:pt>
                <c:pt idx="168">
                  <c:v>-9.8837488917757454E-2</c:v>
                </c:pt>
                <c:pt idx="169">
                  <c:v>-9.2908050970743616E-2</c:v>
                </c:pt>
                <c:pt idx="170">
                  <c:v>0.17377188576467439</c:v>
                </c:pt>
                <c:pt idx="171">
                  <c:v>0.10677209978138791</c:v>
                </c:pt>
                <c:pt idx="172">
                  <c:v>7.2819725775298494E-2</c:v>
                </c:pt>
                <c:pt idx="173">
                  <c:v>5.4203274495511877E-2</c:v>
                </c:pt>
                <c:pt idx="174">
                  <c:v>4.3983109304825518E-2</c:v>
                </c:pt>
                <c:pt idx="175">
                  <c:v>2.3059754448222947E-2</c:v>
                </c:pt>
                <c:pt idx="176">
                  <c:v>3.2703153325355672E-2</c:v>
                </c:pt>
                <c:pt idx="177">
                  <c:v>4.1586272466958007E-2</c:v>
                </c:pt>
                <c:pt idx="178">
                  <c:v>5.023668479905119E-2</c:v>
                </c:pt>
                <c:pt idx="179">
                  <c:v>5.8792625983333124E-2</c:v>
                </c:pt>
                <c:pt idx="180">
                  <c:v>-6.341105010734438E-2</c:v>
                </c:pt>
                <c:pt idx="181">
                  <c:v>-3.8655087076522321E-2</c:v>
                </c:pt>
                <c:pt idx="182">
                  <c:v>-2.2355374083860013E-2</c:v>
                </c:pt>
                <c:pt idx="183">
                  <c:v>-9.5757897674975112E-3</c:v>
                </c:pt>
                <c:pt idx="184">
                  <c:v>1.5018723118362942E-3</c:v>
                </c:pt>
                <c:pt idx="185">
                  <c:v>-0.15466591710264588</c:v>
                </c:pt>
                <c:pt idx="186">
                  <c:v>-0.1360277548308737</c:v>
                </c:pt>
                <c:pt idx="187">
                  <c:v>-0.11460829716461163</c:v>
                </c:pt>
                <c:pt idx="188">
                  <c:v>-9.4102710617448793E-2</c:v>
                </c:pt>
                <c:pt idx="189">
                  <c:v>-7.5255651571525917E-2</c:v>
                </c:pt>
                <c:pt idx="190">
                  <c:v>-7.6724431708193208E-2</c:v>
                </c:pt>
                <c:pt idx="191">
                  <c:v>-9.9233745163980203E-2</c:v>
                </c:pt>
                <c:pt idx="192">
                  <c:v>-0.10471393264326956</c:v>
                </c:pt>
                <c:pt idx="193">
                  <c:v>-0.10306973854775592</c:v>
                </c:pt>
                <c:pt idx="194">
                  <c:v>-9.7787190909343735E-2</c:v>
                </c:pt>
                <c:pt idx="195">
                  <c:v>0.17320195933897509</c:v>
                </c:pt>
                <c:pt idx="196">
                  <c:v>0.10600287915858786</c:v>
                </c:pt>
                <c:pt idx="197">
                  <c:v>7.1873535050798409E-2</c:v>
                </c:pt>
                <c:pt idx="198">
                  <c:v>5.309391979311151E-2</c:v>
                </c:pt>
                <c:pt idx="199">
                  <c:v>4.2720259774224445E-2</c:v>
                </c:pt>
                <c:pt idx="200">
                  <c:v>8.0877282875423617E-2</c:v>
                </c:pt>
                <c:pt idx="201">
                  <c:v>8.9437574215516236E-2</c:v>
                </c:pt>
                <c:pt idx="202">
                  <c:v>9.7919969306348165E-2</c:v>
                </c:pt>
                <c:pt idx="203">
                  <c:v>0.10637943894847091</c:v>
                </c:pt>
                <c:pt idx="204">
                  <c:v>0.11482980546896293</c:v>
                </c:pt>
                <c:pt idx="205">
                  <c:v>1.7445586638595856E-2</c:v>
                </c:pt>
                <c:pt idx="206">
                  <c:v>2.8952596687638277E-2</c:v>
                </c:pt>
                <c:pt idx="207">
                  <c:v>3.859672012023907E-2</c:v>
                </c:pt>
                <c:pt idx="208">
                  <c:v>4.7629077459513169E-2</c:v>
                </c:pt>
                <c:pt idx="209">
                  <c:v>5.6403193991515721E-2</c:v>
                </c:pt>
                <c:pt idx="210">
                  <c:v>-5.7023090531805209E-2</c:v>
                </c:pt>
                <c:pt idx="211">
                  <c:v>-3.1034818681062504E-2</c:v>
                </c:pt>
                <c:pt idx="212">
                  <c:v>-1.1676382981541167E-2</c:v>
                </c:pt>
                <c:pt idx="213">
                  <c:v>3.7540458239604391E-3</c:v>
                </c:pt>
                <c:pt idx="214">
                  <c:v>1.6883229771304187E-2</c:v>
                </c:pt>
                <c:pt idx="215">
                  <c:v>-4.2568869162193934E-2</c:v>
                </c:pt>
                <c:pt idx="216">
                  <c:v>-5.4200211750980998E-2</c:v>
                </c:pt>
                <c:pt idx="217">
                  <c:v>-5.0416631263368927E-2</c:v>
                </c:pt>
                <c:pt idx="218">
                  <c:v>-4.1097516978457094E-2</c:v>
                </c:pt>
                <c:pt idx="219">
                  <c:v>-2.9582196995344034E-2</c:v>
                </c:pt>
                <c:pt idx="220">
                  <c:v>0.18187299240647548</c:v>
                </c:pt>
                <c:pt idx="221">
                  <c:v>0.11763089601448762</c:v>
                </c:pt>
                <c:pt idx="222">
                  <c:v>8.6077261235299574E-2</c:v>
                </c:pt>
                <c:pt idx="223">
                  <c:v>6.9624164733211202E-2</c:v>
                </c:pt>
                <c:pt idx="224">
                  <c:v>6.1392879463225469E-2</c:v>
                </c:pt>
                <c:pt idx="225">
                  <c:v>6.7583235522453933E-2</c:v>
                </c:pt>
                <c:pt idx="226">
                  <c:v>7.6198654608825578E-2</c:v>
                </c:pt>
                <c:pt idx="227">
                  <c:v>8.4700844797728436E-2</c:v>
                </c:pt>
                <c:pt idx="228">
                  <c:v>9.3169607422451506E-2</c:v>
                </c:pt>
                <c:pt idx="229">
                  <c:v>0.10162507042541336</c:v>
                </c:pt>
                <c:pt idx="230">
                  <c:v>3.6811066720456864E-3</c:v>
                </c:pt>
                <c:pt idx="231">
                  <c:v>1.6319106335139111E-2</c:v>
                </c:pt>
                <c:pt idx="232">
                  <c:v>2.6441826799919355E-2</c:v>
                </c:pt>
                <c:pt idx="233">
                  <c:v>3.57191553795424E-2</c:v>
                </c:pt>
                <c:pt idx="234">
                  <c:v>4.4634957902475847E-2</c:v>
                </c:pt>
                <c:pt idx="235">
                  <c:v>-7.6718838698036862E-2</c:v>
                </c:pt>
                <c:pt idx="236">
                  <c:v>-4.9539055523963427E-2</c:v>
                </c:pt>
                <c:pt idx="237">
                  <c:v>-2.8551686133361898E-2</c:v>
                </c:pt>
                <c:pt idx="238">
                  <c:v>-1.1719155895018929E-2</c:v>
                </c:pt>
                <c:pt idx="239">
                  <c:v>2.5213883426538075E-3</c:v>
                </c:pt>
                <c:pt idx="240">
                  <c:v>-5.105925092029473E-2</c:v>
                </c:pt>
                <c:pt idx="241">
                  <c:v>-6.509142678178037E-2</c:v>
                </c:pt>
                <c:pt idx="242">
                  <c:v>-6.3086978923269754E-2</c:v>
                </c:pt>
                <c:pt idx="243">
                  <c:v>-5.5024167900656451E-2</c:v>
                </c:pt>
                <c:pt idx="244">
                  <c:v>-4.4354142487144088E-2</c:v>
                </c:pt>
                <c:pt idx="245">
                  <c:v>0.17979161903387464</c:v>
                </c:pt>
                <c:pt idx="246">
                  <c:v>0.11485447550248828</c:v>
                </c:pt>
                <c:pt idx="247">
                  <c:v>8.270531622309818E-2</c:v>
                </c:pt>
                <c:pt idx="248">
                  <c:v>6.5723884160711066E-2</c:v>
                </c:pt>
                <c:pt idx="249">
                  <c:v>5.7015271306925186E-2</c:v>
                </c:pt>
                <c:pt idx="250">
                  <c:v>5.7920794442363643E-2</c:v>
                </c:pt>
                <c:pt idx="251">
                  <c:v>6.6600916505755947E-2</c:v>
                </c:pt>
                <c:pt idx="252">
                  <c:v>7.5126477415267345E-2</c:v>
                </c:pt>
                <c:pt idx="253">
                  <c:v>8.3606232576061146E-2</c:v>
                </c:pt>
                <c:pt idx="254">
                  <c:v>9.2067714225313679E-2</c:v>
                </c:pt>
                <c:pt idx="255">
                  <c:v>-7.1656121982943688E-3</c:v>
                </c:pt>
                <c:pt idx="256">
                  <c:v>6.6780509274178002E-3</c:v>
                </c:pt>
                <c:pt idx="257">
                  <c:v>1.7328390991139031E-2</c:v>
                </c:pt>
                <c:pt idx="258">
                  <c:v>2.6880669268093627E-2</c:v>
                </c:pt>
                <c:pt idx="259">
                  <c:v>3.5957273488225638E-2</c:v>
                </c:pt>
                <c:pt idx="260">
                  <c:v>-9.2375186901396233E-2</c:v>
                </c:pt>
                <c:pt idx="261">
                  <c:v>-6.4812743453343202E-2</c:v>
                </c:pt>
                <c:pt idx="262">
                  <c:v>-4.2661606982361988E-2</c:v>
                </c:pt>
                <c:pt idx="263">
                  <c:v>-2.467129049024841E-2</c:v>
                </c:pt>
                <c:pt idx="264">
                  <c:v>-9.4443252925948684E-3</c:v>
                </c:pt>
                <c:pt idx="265">
                  <c:v>-5.7089519268094691E-2</c:v>
                </c:pt>
                <c:pt idx="266">
                  <c:v>-7.2964157649181516E-2</c:v>
                </c:pt>
                <c:pt idx="267">
                  <c:v>-7.2427527031770467E-2</c:v>
                </c:pt>
                <c:pt idx="268">
                  <c:v>-6.5486038209956021E-2</c:v>
                </c:pt>
                <c:pt idx="269">
                  <c:v>-5.564260309964375E-2</c:v>
                </c:pt>
                <c:pt idx="270">
                  <c:v>0.17829684669197476</c:v>
                </c:pt>
                <c:pt idx="271">
                  <c:v>0.11285478117348724</c:v>
                </c:pt>
                <c:pt idx="272">
                  <c:v>8.0269104023498627E-2</c:v>
                </c:pt>
                <c:pt idx="273">
                  <c:v>6.2896628705711777E-2</c:v>
                </c:pt>
                <c:pt idx="274">
                  <c:v>5.3831102274424225E-2</c:v>
                </c:pt>
                <c:pt idx="275">
                  <c:v>5.0556653903193194E-2</c:v>
                </c:pt>
                <c:pt idx="276">
                  <c:v>5.9310761707836335E-2</c:v>
                </c:pt>
                <c:pt idx="277">
                  <c:v>6.7863162947666922E-2</c:v>
                </c:pt>
                <c:pt idx="278">
                  <c:v>7.6355571336049977E-2</c:v>
                </c:pt>
                <c:pt idx="279">
                  <c:v>8.482401116398286E-2</c:v>
                </c:pt>
                <c:pt idx="280">
                  <c:v>-1.6193899589675098E-2</c:v>
                </c:pt>
                <c:pt idx="281">
                  <c:v>-1.0981847317719229E-3</c:v>
                </c:pt>
                <c:pt idx="282">
                  <c:v>1.0118722776459421E-2</c:v>
                </c:pt>
                <c:pt idx="283">
                  <c:v>1.9971565153863224E-2</c:v>
                </c:pt>
                <c:pt idx="284">
                  <c:v>2.922593349063618E-2</c:v>
                </c:pt>
                <c:pt idx="285">
                  <c:v>-0.1050790128933663</c:v>
                </c:pt>
                <c:pt idx="286">
                  <c:v>-7.7720784515612706E-2</c:v>
                </c:pt>
                <c:pt idx="287">
                  <c:v>-5.4806025996962049E-2</c:v>
                </c:pt>
                <c:pt idx="288">
                  <c:v>-3.5894471828319396E-2</c:v>
                </c:pt>
                <c:pt idx="289">
                  <c:v>-1.9816450838476385E-2</c:v>
                </c:pt>
                <c:pt idx="290">
                  <c:v>-6.1572661462394151E-2</c:v>
                </c:pt>
                <c:pt idx="291">
                  <c:v>-7.8887488566580899E-2</c:v>
                </c:pt>
                <c:pt idx="292">
                  <c:v>-7.955974574966973E-2</c:v>
                </c:pt>
                <c:pt idx="293">
                  <c:v>-7.3594604447256629E-2</c:v>
                </c:pt>
                <c:pt idx="294">
                  <c:v>-6.451603314214438E-2</c:v>
                </c:pt>
                <c:pt idx="295">
                  <c:v>0.17717133346537395</c:v>
                </c:pt>
                <c:pt idx="296">
                  <c:v>0.11134590101958786</c:v>
                </c:pt>
                <c:pt idx="297">
                  <c:v>7.8426650004198351E-2</c:v>
                </c:pt>
                <c:pt idx="298">
                  <c:v>6.0753255628412717E-2</c:v>
                </c:pt>
                <c:pt idx="299">
                  <c:v>5.1411041731725504E-2</c:v>
                </c:pt>
                <c:pt idx="300">
                  <c:v>0.11953708908949245</c:v>
                </c:pt>
                <c:pt idx="301">
                  <c:v>0.12802771011949687</c:v>
                </c:pt>
                <c:pt idx="302">
                  <c:v>0.13648522654454709</c:v>
                </c:pt>
                <c:pt idx="303">
                  <c:v>0.14493306509707082</c:v>
                </c:pt>
                <c:pt idx="304">
                  <c:v>0.15337706168284448</c:v>
                </c:pt>
                <c:pt idx="305">
                  <c:v>5.3951234606165244E-2</c:v>
                </c:pt>
                <c:pt idx="306">
                  <c:v>6.3835805325219042E-2</c:v>
                </c:pt>
                <c:pt idx="307">
                  <c:v>7.2822975266010559E-2</c:v>
                </c:pt>
                <c:pt idx="308">
                  <c:v>8.1526839142293639E-2</c:v>
                </c:pt>
                <c:pt idx="309">
                  <c:v>9.0113709973506317E-2</c:v>
                </c:pt>
                <c:pt idx="310">
                  <c:v>-9.3334407482768E-3</c:v>
                </c:pt>
                <c:pt idx="311">
                  <c:v>1.2187760718576968E-2</c:v>
                </c:pt>
                <c:pt idx="312">
                  <c:v>2.7719015654387391E-2</c:v>
                </c:pt>
                <c:pt idx="313">
                  <c:v>4.0341655557002198E-2</c:v>
                </c:pt>
                <c:pt idx="314">
                  <c:v>5.1435924821493728E-2</c:v>
                </c:pt>
                <c:pt idx="315">
                  <c:v>-1.7286041038293121E-2</c:v>
                </c:pt>
                <c:pt idx="316">
                  <c:v>-2.3071806370580816E-2</c:v>
                </c:pt>
                <c:pt idx="317">
                  <c:v>-1.5620940602369515E-2</c:v>
                </c:pt>
                <c:pt idx="318">
                  <c:v>-4.1712126461561638E-3</c:v>
                </c:pt>
                <c:pt idx="319">
                  <c:v>8.4341056353558486E-3</c:v>
                </c:pt>
                <c:pt idx="320">
                  <c:v>0.18803863573057455</c:v>
                </c:pt>
                <c:pt idx="321">
                  <c:v>0.12580054747368763</c:v>
                </c:pt>
                <c:pt idx="322">
                  <c:v>9.5928068547898704E-2</c:v>
                </c:pt>
                <c:pt idx="323">
                  <c:v>8.0932814946711673E-2</c:v>
                </c:pt>
                <c:pt idx="324">
                  <c:v>7.3987374598624811E-2</c:v>
                </c:pt>
                <c:pt idx="325">
                  <c:v>0.10041150197986326</c:v>
                </c:pt>
                <c:pt idx="326">
                  <c:v>0.10892659030710661</c:v>
                </c:pt>
                <c:pt idx="327">
                  <c:v>0.1173928234580881</c:v>
                </c:pt>
                <c:pt idx="328">
                  <c:v>0.12584473258342044</c:v>
                </c:pt>
                <c:pt idx="329">
                  <c:v>0.13429095202504371</c:v>
                </c:pt>
                <c:pt idx="330">
                  <c:v>3.6312082471965823E-2</c:v>
                </c:pt>
                <c:pt idx="331">
                  <c:v>4.6797161718618696E-2</c:v>
                </c:pt>
                <c:pt idx="332">
                  <c:v>5.602315042123962E-2</c:v>
                </c:pt>
                <c:pt idx="333">
                  <c:v>6.4845282425832096E-2</c:v>
                </c:pt>
                <c:pt idx="334">
                  <c:v>7.3499163785575305E-2</c:v>
                </c:pt>
                <c:pt idx="335">
                  <c:v>-3.1417905616326181E-2</c:v>
                </c:pt>
                <c:pt idx="336">
                  <c:v>-7.6852753052634171E-3</c:v>
                </c:pt>
                <c:pt idx="337">
                  <c:v>9.5390393128980122E-3</c:v>
                </c:pt>
                <c:pt idx="338">
                  <c:v>2.3341424619511386E-2</c:v>
                </c:pt>
                <c:pt idx="339">
                  <c:v>3.5264035366274982E-2</c:v>
                </c:pt>
                <c:pt idx="340">
                  <c:v>-2.9852460331394326E-2</c:v>
                </c:pt>
                <c:pt idx="341">
                  <c:v>-3.8308724075580614E-2</c:v>
                </c:pt>
                <c:pt idx="342">
                  <c:v>-3.2410985880169108E-2</c:v>
                </c:pt>
                <c:pt idx="343">
                  <c:v>-2.1772138017956522E-2</c:v>
                </c:pt>
                <c:pt idx="344">
                  <c:v>-9.5026688234440826E-3</c:v>
                </c:pt>
                <c:pt idx="345">
                  <c:v>0.18497045361387521</c:v>
                </c:pt>
                <c:pt idx="346">
                  <c:v>0.12174539128928785</c:v>
                </c:pt>
                <c:pt idx="347">
                  <c:v>9.1051704978898584E-2</c:v>
                </c:pt>
                <c:pt idx="348">
                  <c:v>7.5350688824311618E-2</c:v>
                </c:pt>
                <c:pt idx="349">
                  <c:v>6.7788688286125165E-2</c:v>
                </c:pt>
                <c:pt idx="350">
                  <c:v>8.6504445355062742E-2</c:v>
                </c:pt>
                <c:pt idx="351">
                  <c:v>9.5048550976725821E-2</c:v>
                </c:pt>
                <c:pt idx="352">
                  <c:v>0.10352515205230794</c:v>
                </c:pt>
                <c:pt idx="353">
                  <c:v>0.11198191100875121</c:v>
                </c:pt>
                <c:pt idx="354">
                  <c:v>0.12043079223550457</c:v>
                </c:pt>
                <c:pt idx="355">
                  <c:v>2.3006780872435684E-2</c:v>
                </c:pt>
                <c:pt idx="356">
                  <c:v>3.4159143359548949E-2</c:v>
                </c:pt>
                <c:pt idx="357">
                  <c:v>4.3656560812140199E-2</c:v>
                </c:pt>
                <c:pt idx="358">
                  <c:v>5.2614730842462265E-2</c:v>
                </c:pt>
                <c:pt idx="359">
                  <c:v>6.1346261356135301E-2</c:v>
                </c:pt>
                <c:pt idx="360">
                  <c:v>-4.92742804872357E-2</c:v>
                </c:pt>
                <c:pt idx="361">
                  <c:v>-2.3906847483333493E-2</c:v>
                </c:pt>
                <c:pt idx="362">
                  <c:v>-5.2030922933017365E-3</c:v>
                </c:pt>
                <c:pt idx="363">
                  <c:v>9.7077050293314926E-3</c:v>
                </c:pt>
                <c:pt idx="364">
                  <c:v>2.2443026385024822E-2</c:v>
                </c:pt>
                <c:pt idx="365">
                  <c:v>-3.8927622515393168E-2</c:v>
                </c:pt>
                <c:pt idx="366">
                  <c:v>-4.9598962149781656E-2</c:v>
                </c:pt>
                <c:pt idx="367">
                  <c:v>-4.5146930153769915E-2</c:v>
                </c:pt>
                <c:pt idx="368">
                  <c:v>-3.5388210553357169E-2</c:v>
                </c:pt>
                <c:pt idx="369">
                  <c:v>-2.3602845519944182E-2</c:v>
                </c:pt>
                <c:pt idx="370">
                  <c:v>0.18276098750937386</c:v>
                </c:pt>
                <c:pt idx="371">
                  <c:v>0.11881257942788714</c:v>
                </c:pt>
                <c:pt idx="372">
                  <c:v>8.7508678081698932E-2</c:v>
                </c:pt>
                <c:pt idx="373">
                  <c:v>7.1275332355211773E-2</c:v>
                </c:pt>
                <c:pt idx="374">
                  <c:v>6.3240868156924535E-2</c:v>
                </c:pt>
                <c:pt idx="375">
                  <c:v>7.5920353732293222E-2</c:v>
                </c:pt>
                <c:pt idx="376">
                  <c:v>8.4497939345236972E-2</c:v>
                </c:pt>
                <c:pt idx="377">
                  <c:v>9.2986535941127713E-2</c:v>
                </c:pt>
                <c:pt idx="378">
                  <c:v>0.1014489098681004</c:v>
                </c:pt>
                <c:pt idx="379">
                  <c:v>0.10990086868287285</c:v>
                </c:pt>
                <c:pt idx="380">
                  <c:v>1.2431583757885889E-2</c:v>
                </c:pt>
                <c:pt idx="381">
                  <c:v>2.4305298203858072E-2</c:v>
                </c:pt>
                <c:pt idx="382">
                  <c:v>3.4102838908140143E-2</c:v>
                </c:pt>
                <c:pt idx="383">
                  <c:v>4.3213239523002045E-2</c:v>
                </c:pt>
                <c:pt idx="384">
                  <c:v>5.2032320690296174E-2</c:v>
                </c:pt>
                <c:pt idx="385">
                  <c:v>-6.4129101598766169E-2</c:v>
                </c:pt>
                <c:pt idx="386">
                  <c:v>-3.7638356114493732E-2</c:v>
                </c:pt>
                <c:pt idx="387">
                  <c:v>-1.7681913525001036E-2</c:v>
                </c:pt>
                <c:pt idx="388">
                  <c:v>-1.7573488243378677E-3</c:v>
                </c:pt>
                <c:pt idx="389">
                  <c:v>1.1754846332785007E-2</c:v>
                </c:pt>
                <c:pt idx="390">
                  <c:v>-4.5755603071894413E-2</c:v>
                </c:pt>
                <c:pt idx="391">
                  <c:v>-5.8261329404080797E-2</c:v>
                </c:pt>
                <c:pt idx="392">
                  <c:v>-5.5108075458170092E-2</c:v>
                </c:pt>
                <c:pt idx="393">
                  <c:v>-4.6220306308455861E-2</c:v>
                </c:pt>
                <c:pt idx="394">
                  <c:v>-3.4984040418343909E-2</c:v>
                </c:pt>
                <c:pt idx="395">
                  <c:v>0.18109402215517534</c:v>
                </c:pt>
                <c:pt idx="396">
                  <c:v>0.1165928924260875</c:v>
                </c:pt>
                <c:pt idx="397">
                  <c:v>8.4818049609898694E-2</c:v>
                </c:pt>
                <c:pt idx="398">
                  <c:v>6.8169403992811795E-2</c:v>
                </c:pt>
                <c:pt idx="399">
                  <c:v>5.9762123245324261E-2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D2-CC49-BBD6-6B72E20FF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457456"/>
        <c:axId val="212441008"/>
      </c:scatterChart>
      <c:valAx>
        <c:axId val="23445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2</a:t>
                </a:r>
              </a:p>
            </c:rich>
          </c:tx>
          <c:overlay val="0"/>
        </c:title>
        <c:majorTickMark val="out"/>
        <c:minorTickMark val="none"/>
        <c:tickLblPos val="nextTo"/>
        <c:crossAx val="212441008"/>
        <c:crosses val="autoZero"/>
        <c:crossBetween val="midCat"/>
      </c:valAx>
      <c:valAx>
        <c:axId val="212441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44574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DATA!$H$2:$H$401</c:f>
              <c:numCache>
                <c:formatCode>0.00</c:formatCode>
                <c:ptCount val="400"/>
                <c:pt idx="0">
                  <c:v>8.2991007410791298</c:v>
                </c:pt>
                <c:pt idx="1">
                  <c:v>8.2859315845766197</c:v>
                </c:pt>
                <c:pt idx="2">
                  <c:v>8.2738542165808706</c:v>
                </c:pt>
                <c:pt idx="3">
                  <c:v>8.2627154071258992</c:v>
                </c:pt>
                <c:pt idx="4">
                  <c:v>8.2524298771403402</c:v>
                </c:pt>
                <c:pt idx="5">
                  <c:v>8.8157547479129708</c:v>
                </c:pt>
                <c:pt idx="6">
                  <c:v>8.8125390136043098</c:v>
                </c:pt>
                <c:pt idx="7">
                  <c:v>8.8102368361469505</c:v>
                </c:pt>
                <c:pt idx="8">
                  <c:v>8.8083128879433605</c:v>
                </c:pt>
                <c:pt idx="9">
                  <c:v>8.8065881572120297</c:v>
                </c:pt>
                <c:pt idx="10">
                  <c:v>9.3825930368238009</c:v>
                </c:pt>
                <c:pt idx="11">
                  <c:v>9.3737263464155305</c:v>
                </c:pt>
                <c:pt idx="12">
                  <c:v>9.3692126204675308</c:v>
                </c:pt>
                <c:pt idx="13">
                  <c:v>9.3664573576978203</c:v>
                </c:pt>
                <c:pt idx="14">
                  <c:v>9.3645865658528695</c:v>
                </c:pt>
                <c:pt idx="15">
                  <c:v>10.0839235849561</c:v>
                </c:pt>
                <c:pt idx="16">
                  <c:v>10.048729510764799</c:v>
                </c:pt>
                <c:pt idx="17">
                  <c:v>10.030497471353399</c:v>
                </c:pt>
                <c:pt idx="18">
                  <c:v>10.0193314719331</c:v>
                </c:pt>
                <c:pt idx="19">
                  <c:v>10.011785912174901</c:v>
                </c:pt>
                <c:pt idx="20">
                  <c:v>10.9696100239698</c:v>
                </c:pt>
                <c:pt idx="21">
                  <c:v>10.8925499759108</c:v>
                </c:pt>
                <c:pt idx="22">
                  <c:v>10.8487056309111</c:v>
                </c:pt>
                <c:pt idx="23">
                  <c:v>10.8202973551924</c:v>
                </c:pt>
                <c:pt idx="24">
                  <c:v>10.8003524949671</c:v>
                </c:pt>
                <c:pt idx="25">
                  <c:v>8.3035885766609994</c:v>
                </c:pt>
                <c:pt idx="26">
                  <c:v>8.2922250207427606</c:v>
                </c:pt>
                <c:pt idx="27">
                  <c:v>8.2816892471972601</c:v>
                </c:pt>
                <c:pt idx="28">
                  <c:v>8.2718500856925097</c:v>
                </c:pt>
                <c:pt idx="29">
                  <c:v>8.2626436004908008</c:v>
                </c:pt>
                <c:pt idx="30">
                  <c:v>8.8162307040673298</c:v>
                </c:pt>
                <c:pt idx="31">
                  <c:v>8.8132455044184095</c:v>
                </c:pt>
                <c:pt idx="32">
                  <c:v>8.8111676895269309</c:v>
                </c:pt>
                <c:pt idx="33">
                  <c:v>8.8094620313428198</c:v>
                </c:pt>
                <c:pt idx="34">
                  <c:v>8.8079496191764299</c:v>
                </c:pt>
                <c:pt idx="35">
                  <c:v>9.3826186394162896</c:v>
                </c:pt>
                <c:pt idx="36">
                  <c:v>9.3737661880426408</c:v>
                </c:pt>
                <c:pt idx="37">
                  <c:v>9.3692666382451097</c:v>
                </c:pt>
                <c:pt idx="38">
                  <c:v>9.3665254637754298</c:v>
                </c:pt>
                <c:pt idx="39">
                  <c:v>9.3646686778405392</c:v>
                </c:pt>
                <c:pt idx="40">
                  <c:v>10.0839203703474</c:v>
                </c:pt>
                <c:pt idx="41">
                  <c:v>10.0487255385759</c:v>
                </c:pt>
                <c:pt idx="42">
                  <c:v>10.030492792726101</c:v>
                </c:pt>
                <c:pt idx="43">
                  <c:v>10.0193261105081</c:v>
                </c:pt>
                <c:pt idx="44">
                  <c:v>10.0117798795607</c:v>
                </c:pt>
                <c:pt idx="45">
                  <c:v>10.969608943865</c:v>
                </c:pt>
                <c:pt idx="46">
                  <c:v>10.892548515259501</c:v>
                </c:pt>
                <c:pt idx="47">
                  <c:v>10.848703814531699</c:v>
                </c:pt>
                <c:pt idx="48">
                  <c:v>10.8202952124237</c:v>
                </c:pt>
                <c:pt idx="49">
                  <c:v>10.800350034637599</c:v>
                </c:pt>
                <c:pt idx="50">
                  <c:v>8.3068617237215605</c:v>
                </c:pt>
                <c:pt idx="51">
                  <c:v>8.2968654643970705</c:v>
                </c:pt>
                <c:pt idx="52">
                  <c:v>8.2875314738090697</c:v>
                </c:pt>
                <c:pt idx="53">
                  <c:v>8.2787399273774795</c:v>
                </c:pt>
                <c:pt idx="54">
                  <c:v>8.2704380278293108</c:v>
                </c:pt>
                <c:pt idx="55">
                  <c:v>8.8165720911846499</c:v>
                </c:pt>
                <c:pt idx="56">
                  <c:v>8.8137532989023608</c:v>
                </c:pt>
                <c:pt idx="57">
                  <c:v>8.8118381408650599</c:v>
                </c:pt>
                <c:pt idx="58">
                  <c:v>8.8102914393425191</c:v>
                </c:pt>
                <c:pt idx="59">
                  <c:v>8.8089343349884395</c:v>
                </c:pt>
                <c:pt idx="60">
                  <c:v>9.3826369462569392</c:v>
                </c:pt>
                <c:pt idx="61">
                  <c:v>9.3737946959175495</c:v>
                </c:pt>
                <c:pt idx="62">
                  <c:v>9.3693053034870903</c:v>
                </c:pt>
                <c:pt idx="63">
                  <c:v>9.3665742422332805</c:v>
                </c:pt>
                <c:pt idx="64">
                  <c:v>9.3647275148251801</c:v>
                </c:pt>
                <c:pt idx="65">
                  <c:v>10.083918076483</c:v>
                </c:pt>
                <c:pt idx="66">
                  <c:v>10.0487227017979</c:v>
                </c:pt>
                <c:pt idx="67">
                  <c:v>10.030489452212301</c:v>
                </c:pt>
                <c:pt idx="68">
                  <c:v>10.019322281020299</c:v>
                </c:pt>
                <c:pt idx="69">
                  <c:v>10.011775571389601</c:v>
                </c:pt>
                <c:pt idx="70">
                  <c:v>10.969608178284</c:v>
                </c:pt>
                <c:pt idx="71">
                  <c:v>10.892547470541601</c:v>
                </c:pt>
                <c:pt idx="72">
                  <c:v>10.8487025187365</c:v>
                </c:pt>
                <c:pt idx="73">
                  <c:v>10.820293680826699</c:v>
                </c:pt>
                <c:pt idx="74">
                  <c:v>10.800348279978101</c:v>
                </c:pt>
                <c:pt idx="75">
                  <c:v>8.3093540102528198</c:v>
                </c:pt>
                <c:pt idx="76">
                  <c:v>8.3004268256110301</c:v>
                </c:pt>
                <c:pt idx="77">
                  <c:v>8.2920514885820698</c:v>
                </c:pt>
                <c:pt idx="78">
                  <c:v>8.2841145685042097</c:v>
                </c:pt>
                <c:pt idx="79">
                  <c:v>8.27656960692903</c:v>
                </c:pt>
                <c:pt idx="80">
                  <c:v>8.8168289097490593</c:v>
                </c:pt>
                <c:pt idx="81">
                  <c:v>8.8141358797238798</c:v>
                </c:pt>
                <c:pt idx="82">
                  <c:v>8.8123440363256105</c:v>
                </c:pt>
                <c:pt idx="83">
                  <c:v>8.8109182294554191</c:v>
                </c:pt>
                <c:pt idx="84">
                  <c:v>8.8096796287888406</c:v>
                </c:pt>
                <c:pt idx="85">
                  <c:v>9.3826506888415402</c:v>
                </c:pt>
                <c:pt idx="86">
                  <c:v>9.3738160989262003</c:v>
                </c:pt>
                <c:pt idx="87">
                  <c:v>9.3693343457981708</c:v>
                </c:pt>
                <c:pt idx="88">
                  <c:v>9.3666108950774891</c:v>
                </c:pt>
                <c:pt idx="89">
                  <c:v>9.3647717454527406</c:v>
                </c:pt>
                <c:pt idx="90">
                  <c:v>10.0839163543975</c:v>
                </c:pt>
                <c:pt idx="91">
                  <c:v>10.048720574227801</c:v>
                </c:pt>
                <c:pt idx="92">
                  <c:v>10.030486946188701</c:v>
                </c:pt>
                <c:pt idx="93">
                  <c:v>10.0193194095612</c:v>
                </c:pt>
                <c:pt idx="94">
                  <c:v>10.011772341548401</c:v>
                </c:pt>
                <c:pt idx="95">
                  <c:v>10.969607593453301</c:v>
                </c:pt>
                <c:pt idx="96">
                  <c:v>10.892546681241001</c:v>
                </c:pt>
                <c:pt idx="97">
                  <c:v>10.848701547281699</c:v>
                </c:pt>
                <c:pt idx="98">
                  <c:v>10.820292533858</c:v>
                </c:pt>
                <c:pt idx="99">
                  <c:v>10.800346961288801</c:v>
                </c:pt>
                <c:pt idx="100">
                  <c:v>8.3350213960224906</c:v>
                </c:pt>
                <c:pt idx="101">
                  <c:v>8.3355106350361101</c:v>
                </c:pt>
                <c:pt idx="102">
                  <c:v>8.3356874432873997</c:v>
                </c:pt>
                <c:pt idx="103">
                  <c:v>8.3357706692749201</c:v>
                </c:pt>
                <c:pt idx="104">
                  <c:v>8.3358163414937394</c:v>
                </c:pt>
                <c:pt idx="105">
                  <c:v>8.8903861115660394</c:v>
                </c:pt>
                <c:pt idx="106">
                  <c:v>8.8995973980208092</c:v>
                </c:pt>
                <c:pt idx="107">
                  <c:v>8.90359081521086</c:v>
                </c:pt>
                <c:pt idx="108">
                  <c:v>8.90566690299862</c:v>
                </c:pt>
                <c:pt idx="109">
                  <c:v>8.9068804564785093</c:v>
                </c:pt>
                <c:pt idx="110">
                  <c:v>9.4234788253436896</c:v>
                </c:pt>
                <c:pt idx="111">
                  <c:v>9.4408890819687699</c:v>
                </c:pt>
                <c:pt idx="112">
                  <c:v>9.4559616393576995</c:v>
                </c:pt>
                <c:pt idx="113">
                  <c:v>9.4676518560102991</c:v>
                </c:pt>
                <c:pt idx="114">
                  <c:v>9.4765957471482203</c:v>
                </c:pt>
                <c:pt idx="115">
                  <c:v>10.1063089431086</c:v>
                </c:pt>
                <c:pt idx="116">
                  <c:v>10.078480512380001</c:v>
                </c:pt>
                <c:pt idx="117">
                  <c:v>10.0675328239486</c:v>
                </c:pt>
                <c:pt idx="118">
                  <c:v>10.0634893356474</c:v>
                </c:pt>
                <c:pt idx="119">
                  <c:v>10.0628228844914</c:v>
                </c:pt>
                <c:pt idx="120">
                  <c:v>10.976007238402699</c:v>
                </c:pt>
                <c:pt idx="121">
                  <c:v>10.9011989231425</c:v>
                </c:pt>
                <c:pt idx="122">
                  <c:v>10.8593642291554</c:v>
                </c:pt>
                <c:pt idx="123">
                  <c:v>10.832818938018599</c:v>
                </c:pt>
                <c:pt idx="124">
                  <c:v>10.814636678560699</c:v>
                </c:pt>
                <c:pt idx="125">
                  <c:v>8.3277402180713604</c:v>
                </c:pt>
                <c:pt idx="126">
                  <c:v>8.3284374049041201</c:v>
                </c:pt>
                <c:pt idx="127">
                  <c:v>8.3286910079916492</c:v>
                </c:pt>
                <c:pt idx="128">
                  <c:v>8.3288107760319399</c:v>
                </c:pt>
                <c:pt idx="129">
                  <c:v>8.3288766550147102</c:v>
                </c:pt>
                <c:pt idx="130">
                  <c:v>8.8781808217399494</c:v>
                </c:pt>
                <c:pt idx="131">
                  <c:v>8.88990686508685</c:v>
                </c:pt>
                <c:pt idx="132">
                  <c:v>8.8951800547852997</c:v>
                </c:pt>
                <c:pt idx="133">
                  <c:v>8.8979788250137002</c:v>
                </c:pt>
                <c:pt idx="134">
                  <c:v>8.8996368278244606</c:v>
                </c:pt>
                <c:pt idx="135">
                  <c:v>9.4099984365259406</c:v>
                </c:pt>
                <c:pt idx="136">
                  <c:v>9.4251563146071593</c:v>
                </c:pt>
                <c:pt idx="137">
                  <c:v>9.4399694103910292</c:v>
                </c:pt>
                <c:pt idx="138">
                  <c:v>9.4522134176573704</c:v>
                </c:pt>
                <c:pt idx="139">
                  <c:v>9.4619938923601907</c:v>
                </c:pt>
                <c:pt idx="140">
                  <c:v>10.102267678421899</c:v>
                </c:pt>
                <c:pt idx="141">
                  <c:v>10.073041972166999</c:v>
                </c:pt>
                <c:pt idx="142">
                  <c:v>10.0607942795061</c:v>
                </c:pt>
                <c:pt idx="143">
                  <c:v>10.055578784224201</c:v>
                </c:pt>
                <c:pt idx="144">
                  <c:v>10.0538814969236</c:v>
                </c:pt>
                <c:pt idx="145">
                  <c:v>10.974948332553</c:v>
                </c:pt>
                <c:pt idx="146">
                  <c:v>10.899773273241699</c:v>
                </c:pt>
                <c:pt idx="147">
                  <c:v>10.8576153134603</c:v>
                </c:pt>
                <c:pt idx="148">
                  <c:v>10.8307743245705</c:v>
                </c:pt>
                <c:pt idx="149">
                  <c:v>10.812316183572401</c:v>
                </c:pt>
                <c:pt idx="150">
                  <c:v>8.3223276320634394</c:v>
                </c:pt>
                <c:pt idx="151">
                  <c:v>8.3232638232802998</c:v>
                </c:pt>
                <c:pt idx="152">
                  <c:v>8.3236065973099294</c:v>
                </c:pt>
                <c:pt idx="153">
                  <c:v>8.3237690207201496</c:v>
                </c:pt>
                <c:pt idx="154">
                  <c:v>8.3238585609828792</c:v>
                </c:pt>
                <c:pt idx="155">
                  <c:v>8.86753095667342</c:v>
                </c:pt>
                <c:pt idx="156">
                  <c:v>8.8816433348113293</c:v>
                </c:pt>
                <c:pt idx="157">
                  <c:v>8.8882163840791293</c:v>
                </c:pt>
                <c:pt idx="158">
                  <c:v>8.8917757983076093</c:v>
                </c:pt>
                <c:pt idx="159">
                  <c:v>8.8939120912135703</c:v>
                </c:pt>
                <c:pt idx="160">
                  <c:v>9.4002488591920592</c:v>
                </c:pt>
                <c:pt idx="161">
                  <c:v>9.4129169882723698</c:v>
                </c:pt>
                <c:pt idx="162">
                  <c:v>9.4269564571962299</c:v>
                </c:pt>
                <c:pt idx="163">
                  <c:v>9.4392762233024801</c:v>
                </c:pt>
                <c:pt idx="164">
                  <c:v>9.4495155708296608</c:v>
                </c:pt>
                <c:pt idx="165">
                  <c:v>10.099433868017501</c:v>
                </c:pt>
                <c:pt idx="166">
                  <c:v>10.069217243673</c:v>
                </c:pt>
                <c:pt idx="167">
                  <c:v>10.0560171251112</c:v>
                </c:pt>
                <c:pt idx="168">
                  <c:v>10.049911596190899</c:v>
                </c:pt>
                <c:pt idx="169">
                  <c:v>10.0474016279704</c:v>
                </c:pt>
                <c:pt idx="170">
                  <c:v>10.9741899194754</c:v>
                </c:pt>
                <c:pt idx="171">
                  <c:v>10.8987507273246</c:v>
                </c:pt>
                <c:pt idx="172">
                  <c:v>10.856358947151</c:v>
                </c:pt>
                <c:pt idx="173">
                  <c:v>10.8293030897037</c:v>
                </c:pt>
                <c:pt idx="174">
                  <c:v>10.810643518345501</c:v>
                </c:pt>
                <c:pt idx="175">
                  <c:v>8.3180748677608296</c:v>
                </c:pt>
                <c:pt idx="176">
                  <c:v>8.3192788604704493</c:v>
                </c:pt>
                <c:pt idx="177">
                  <c:v>8.3197225734445404</c:v>
                </c:pt>
                <c:pt idx="178">
                  <c:v>8.3199335796091205</c:v>
                </c:pt>
                <c:pt idx="179">
                  <c:v>8.3200501146258894</c:v>
                </c:pt>
                <c:pt idx="180">
                  <c:v>8.8579547933047902</c:v>
                </c:pt>
                <c:pt idx="181">
                  <c:v>8.8742713501680992</c:v>
                </c:pt>
                <c:pt idx="182">
                  <c:v>8.8821316569932502</c:v>
                </c:pt>
                <c:pt idx="183">
                  <c:v>8.8864718351420997</c:v>
                </c:pt>
                <c:pt idx="184">
                  <c:v>8.8891100910539205</c:v>
                </c:pt>
                <c:pt idx="185">
                  <c:v>9.3930506564090201</c:v>
                </c:pt>
                <c:pt idx="186">
                  <c:v>9.4032494125132793</c:v>
                </c:pt>
                <c:pt idx="187">
                  <c:v>9.4162294640120301</c:v>
                </c:pt>
                <c:pt idx="188">
                  <c:v>9.4282956443916799</c:v>
                </c:pt>
                <c:pt idx="189">
                  <c:v>9.4387032972700897</c:v>
                </c:pt>
                <c:pt idx="190">
                  <c:v>10.097342871903001</c:v>
                </c:pt>
                <c:pt idx="191">
                  <c:v>10.066394152279701</c:v>
                </c:pt>
                <c:pt idx="192">
                  <c:v>10.0524745586329</c:v>
                </c:pt>
                <c:pt idx="193">
                  <c:v>10.045679346560901</c:v>
                </c:pt>
                <c:pt idx="194">
                  <c:v>10.0425224880318</c:v>
                </c:pt>
                <c:pt idx="195">
                  <c:v>10.9736199930497</c:v>
                </c:pt>
                <c:pt idx="196">
                  <c:v>10.8979815067018</c:v>
                </c:pt>
                <c:pt idx="197">
                  <c:v>10.855412756426499</c:v>
                </c:pt>
                <c:pt idx="198">
                  <c:v>10.8281937350013</c:v>
                </c:pt>
                <c:pt idx="199">
                  <c:v>10.809380668814899</c:v>
                </c:pt>
                <c:pt idx="200">
                  <c:v>8.3758923961880303</c:v>
                </c:pt>
                <c:pt idx="201">
                  <c:v>8.3760132813606099</c:v>
                </c:pt>
                <c:pt idx="202">
                  <c:v>8.3760562702839305</c:v>
                </c:pt>
                <c:pt idx="203">
                  <c:v>8.3760763337585402</c:v>
                </c:pt>
                <c:pt idx="204">
                  <c:v>8.3760872941115192</c:v>
                </c:pt>
                <c:pt idx="205">
                  <c:v>8.9388114300507304</c:v>
                </c:pt>
                <c:pt idx="206">
                  <c:v>8.9418790339322598</c:v>
                </c:pt>
                <c:pt idx="207">
                  <c:v>8.9430837511973493</c:v>
                </c:pt>
                <c:pt idx="208">
                  <c:v>8.9436767023691104</c:v>
                </c:pt>
                <c:pt idx="209">
                  <c:v>8.9440114127335999</c:v>
                </c:pt>
                <c:pt idx="210">
                  <c:v>9.4906934829798608</c:v>
                </c:pt>
                <c:pt idx="211">
                  <c:v>9.5082423486630905</c:v>
                </c:pt>
                <c:pt idx="212">
                  <c:v>9.5191613781951006</c:v>
                </c:pt>
                <c:pt idx="213">
                  <c:v>9.5261524008330891</c:v>
                </c:pt>
                <c:pt idx="214">
                  <c:v>9.5308421786129198</c:v>
                </c:pt>
                <c:pt idx="215">
                  <c:v>10.131498434449</c:v>
                </c:pt>
                <c:pt idx="216">
                  <c:v>10.1114276856927</c:v>
                </c:pt>
                <c:pt idx="217">
                  <c:v>10.106771860012801</c:v>
                </c:pt>
                <c:pt idx="218">
                  <c:v>10.107651568130199</c:v>
                </c:pt>
                <c:pt idx="219">
                  <c:v>10.1107274819458</c:v>
                </c:pt>
                <c:pt idx="220">
                  <c:v>10.982291026117201</c:v>
                </c:pt>
                <c:pt idx="221">
                  <c:v>10.9096095235577</c:v>
                </c:pt>
                <c:pt idx="222">
                  <c:v>10.869616482611001</c:v>
                </c:pt>
                <c:pt idx="223">
                  <c:v>10.844723979941399</c:v>
                </c:pt>
                <c:pt idx="224">
                  <c:v>10.8280532885039</c:v>
                </c:pt>
                <c:pt idx="225">
                  <c:v>8.3625983488350606</c:v>
                </c:pt>
                <c:pt idx="226">
                  <c:v>8.3627743617539192</c:v>
                </c:pt>
                <c:pt idx="227">
                  <c:v>8.3628371457753108</c:v>
                </c:pt>
                <c:pt idx="228">
                  <c:v>8.3628665022325208</c:v>
                </c:pt>
                <c:pt idx="229">
                  <c:v>8.3628825590679696</c:v>
                </c:pt>
                <c:pt idx="230">
                  <c:v>8.9250469500841803</c:v>
                </c:pt>
                <c:pt idx="231">
                  <c:v>8.9292455435797606</c:v>
                </c:pt>
                <c:pt idx="232">
                  <c:v>8.9309288578770296</c:v>
                </c:pt>
                <c:pt idx="233">
                  <c:v>8.9317667802891396</c:v>
                </c:pt>
                <c:pt idx="234">
                  <c:v>8.93224317664456</c:v>
                </c:pt>
                <c:pt idx="235">
                  <c:v>9.4709977348136292</c:v>
                </c:pt>
                <c:pt idx="236">
                  <c:v>9.4897381118201896</c:v>
                </c:pt>
                <c:pt idx="237">
                  <c:v>9.5022860750432798</c:v>
                </c:pt>
                <c:pt idx="238">
                  <c:v>9.5106791991141097</c:v>
                </c:pt>
                <c:pt idx="239">
                  <c:v>9.5164803371842694</c:v>
                </c:pt>
                <c:pt idx="240">
                  <c:v>10.123008052690899</c:v>
                </c:pt>
                <c:pt idx="241">
                  <c:v>10.100536470661901</c:v>
                </c:pt>
                <c:pt idx="242">
                  <c:v>10.0941015123529</c:v>
                </c:pt>
                <c:pt idx="243">
                  <c:v>10.093724917208</c:v>
                </c:pt>
                <c:pt idx="244">
                  <c:v>10.095955536453999</c:v>
                </c:pt>
                <c:pt idx="245">
                  <c:v>10.9802096527446</c:v>
                </c:pt>
                <c:pt idx="246">
                  <c:v>10.906833103045701</c:v>
                </c:pt>
                <c:pt idx="247">
                  <c:v>10.866244537598799</c:v>
                </c:pt>
                <c:pt idx="248">
                  <c:v>10.840823699368899</c:v>
                </c:pt>
                <c:pt idx="249">
                  <c:v>10.8236756803476</c:v>
                </c:pt>
                <c:pt idx="250">
                  <c:v>8.3529359077549703</c:v>
                </c:pt>
                <c:pt idx="251">
                  <c:v>8.3531766236508496</c:v>
                </c:pt>
                <c:pt idx="252">
                  <c:v>8.3532627783928497</c:v>
                </c:pt>
                <c:pt idx="253">
                  <c:v>8.3533031273861305</c:v>
                </c:pt>
                <c:pt idx="254">
                  <c:v>8.3533252028678699</c:v>
                </c:pt>
                <c:pt idx="255">
                  <c:v>8.9142002312138402</c:v>
                </c:pt>
                <c:pt idx="256">
                  <c:v>8.9196044881720393</c:v>
                </c:pt>
                <c:pt idx="257">
                  <c:v>8.9218154220682493</c:v>
                </c:pt>
                <c:pt idx="258">
                  <c:v>8.9229282941776908</c:v>
                </c:pt>
                <c:pt idx="259">
                  <c:v>8.9235654922303098</c:v>
                </c:pt>
                <c:pt idx="260">
                  <c:v>9.4553413866102698</c:v>
                </c:pt>
                <c:pt idx="261">
                  <c:v>9.4744644238908098</c:v>
                </c:pt>
                <c:pt idx="262">
                  <c:v>9.4881761541942797</c:v>
                </c:pt>
                <c:pt idx="263">
                  <c:v>9.4977270645188803</c:v>
                </c:pt>
                <c:pt idx="264">
                  <c:v>9.5045146235490208</c:v>
                </c:pt>
                <c:pt idx="265">
                  <c:v>10.116977784343099</c:v>
                </c:pt>
                <c:pt idx="266">
                  <c:v>10.092663739794499</c:v>
                </c:pt>
                <c:pt idx="267">
                  <c:v>10.084760964244399</c:v>
                </c:pt>
                <c:pt idx="268">
                  <c:v>10.083263046898701</c:v>
                </c:pt>
                <c:pt idx="269">
                  <c:v>10.0846670758415</c:v>
                </c:pt>
                <c:pt idx="270">
                  <c:v>10.9787148804027</c:v>
                </c:pt>
                <c:pt idx="271">
                  <c:v>10.9048334087167</c:v>
                </c:pt>
                <c:pt idx="272">
                  <c:v>10.8638083253992</c:v>
                </c:pt>
                <c:pt idx="273">
                  <c:v>10.8379964439139</c:v>
                </c:pt>
                <c:pt idx="274">
                  <c:v>10.820491511315099</c:v>
                </c:pt>
                <c:pt idx="275">
                  <c:v>8.3455717672157999</c:v>
                </c:pt>
                <c:pt idx="276">
                  <c:v>8.34588646885293</c:v>
                </c:pt>
                <c:pt idx="277">
                  <c:v>8.3459994639252493</c:v>
                </c:pt>
                <c:pt idx="278">
                  <c:v>8.3460524661461193</c:v>
                </c:pt>
                <c:pt idx="279">
                  <c:v>8.3460814998065391</c:v>
                </c:pt>
                <c:pt idx="280">
                  <c:v>8.9051719438224595</c:v>
                </c:pt>
                <c:pt idx="281">
                  <c:v>8.9118282525128496</c:v>
                </c:pt>
                <c:pt idx="282">
                  <c:v>8.9146057538535697</c:v>
                </c:pt>
                <c:pt idx="283">
                  <c:v>8.9160191900634604</c:v>
                </c:pt>
                <c:pt idx="284">
                  <c:v>8.9168341522327204</c:v>
                </c:pt>
                <c:pt idx="285">
                  <c:v>9.4426375606182997</c:v>
                </c:pt>
                <c:pt idx="286">
                  <c:v>9.4615563828285403</c:v>
                </c:pt>
                <c:pt idx="287">
                  <c:v>9.4760317351796797</c:v>
                </c:pt>
                <c:pt idx="288">
                  <c:v>9.4865038831808093</c:v>
                </c:pt>
                <c:pt idx="289">
                  <c:v>9.4941424980031393</c:v>
                </c:pt>
                <c:pt idx="290">
                  <c:v>10.1124946421488</c:v>
                </c:pt>
                <c:pt idx="291">
                  <c:v>10.0867404088771</c:v>
                </c:pt>
                <c:pt idx="292">
                  <c:v>10.0776287455265</c:v>
                </c:pt>
                <c:pt idx="293">
                  <c:v>10.0751544806614</c:v>
                </c:pt>
                <c:pt idx="294">
                  <c:v>10.075793645798999</c:v>
                </c:pt>
                <c:pt idx="295">
                  <c:v>10.977589367176099</c:v>
                </c:pt>
                <c:pt idx="296">
                  <c:v>10.9033245285628</c:v>
                </c:pt>
                <c:pt idx="297">
                  <c:v>10.861965871379899</c:v>
                </c:pt>
                <c:pt idx="298">
                  <c:v>10.835853070836601</c:v>
                </c:pt>
                <c:pt idx="299">
                  <c:v>10.818071450772401</c:v>
                </c:pt>
                <c:pt idx="300">
                  <c:v>8.4145522024020991</c:v>
                </c:pt>
                <c:pt idx="301">
                  <c:v>8.4146034172645905</c:v>
                </c:pt>
                <c:pt idx="302">
                  <c:v>8.4146215275221294</c:v>
                </c:pt>
                <c:pt idx="303">
                  <c:v>8.4146299599071401</c:v>
                </c:pt>
                <c:pt idx="304">
                  <c:v>8.4146345503254008</c:v>
                </c:pt>
                <c:pt idx="305">
                  <c:v>8.9753170780182998</c:v>
                </c:pt>
                <c:pt idx="306">
                  <c:v>8.9767622425698406</c:v>
                </c:pt>
                <c:pt idx="307">
                  <c:v>8.9773100063431208</c:v>
                </c:pt>
                <c:pt idx="308">
                  <c:v>8.9775744640518909</c:v>
                </c:pt>
                <c:pt idx="309">
                  <c:v>8.9777219287155905</c:v>
                </c:pt>
                <c:pt idx="310">
                  <c:v>9.5383831327633892</c:v>
                </c:pt>
                <c:pt idx="311">
                  <c:v>9.55146492806273</c:v>
                </c:pt>
                <c:pt idx="312">
                  <c:v>9.5585567768310291</c:v>
                </c:pt>
                <c:pt idx="313">
                  <c:v>9.5627400105661309</c:v>
                </c:pt>
                <c:pt idx="314">
                  <c:v>9.5653948736631094</c:v>
                </c:pt>
                <c:pt idx="315">
                  <c:v>10.156781262572901</c:v>
                </c:pt>
                <c:pt idx="316">
                  <c:v>10.1425560910731</c:v>
                </c:pt>
                <c:pt idx="317">
                  <c:v>10.1415675506738</c:v>
                </c:pt>
                <c:pt idx="318">
                  <c:v>10.1445778724625</c:v>
                </c:pt>
                <c:pt idx="319">
                  <c:v>10.148743784576499</c:v>
                </c:pt>
                <c:pt idx="320">
                  <c:v>10.9884566694413</c:v>
                </c:pt>
                <c:pt idx="321">
                  <c:v>10.9177791750169</c:v>
                </c:pt>
                <c:pt idx="322">
                  <c:v>10.8794672899236</c:v>
                </c:pt>
                <c:pt idx="323">
                  <c:v>10.8560326301549</c:v>
                </c:pt>
                <c:pt idx="324">
                  <c:v>10.8406477836393</c:v>
                </c:pt>
                <c:pt idx="325">
                  <c:v>8.3954266152924699</c:v>
                </c:pt>
                <c:pt idx="326">
                  <c:v>8.3955022974522002</c:v>
                </c:pt>
                <c:pt idx="327">
                  <c:v>8.3955291244356705</c:v>
                </c:pt>
                <c:pt idx="328">
                  <c:v>8.3955416273934897</c:v>
                </c:pt>
                <c:pt idx="329">
                  <c:v>8.3955484406676</c:v>
                </c:pt>
                <c:pt idx="330">
                  <c:v>8.9576779258841004</c:v>
                </c:pt>
                <c:pt idx="331">
                  <c:v>8.9597235989632402</c:v>
                </c:pt>
                <c:pt idx="332">
                  <c:v>8.9605101814983499</c:v>
                </c:pt>
                <c:pt idx="333">
                  <c:v>8.9608929073354293</c:v>
                </c:pt>
                <c:pt idx="334">
                  <c:v>8.9611073825276595</c:v>
                </c:pt>
                <c:pt idx="335">
                  <c:v>9.5162986678953398</c:v>
                </c:pt>
                <c:pt idx="336">
                  <c:v>9.5315918920388896</c:v>
                </c:pt>
                <c:pt idx="337">
                  <c:v>9.5403768004895397</c:v>
                </c:pt>
                <c:pt idx="338">
                  <c:v>9.5457397796286401</c:v>
                </c:pt>
                <c:pt idx="339">
                  <c:v>9.5492229842078906</c:v>
                </c:pt>
                <c:pt idx="340">
                  <c:v>10.1442148432798</c:v>
                </c:pt>
                <c:pt idx="341">
                  <c:v>10.1273191733681</c:v>
                </c:pt>
                <c:pt idx="342">
                  <c:v>10.124777505396001</c:v>
                </c:pt>
                <c:pt idx="343">
                  <c:v>10.1269769470907</c:v>
                </c:pt>
                <c:pt idx="344">
                  <c:v>10.130807010117699</c:v>
                </c:pt>
                <c:pt idx="345">
                  <c:v>10.985388487324601</c:v>
                </c:pt>
                <c:pt idx="346">
                  <c:v>10.9137240188325</c:v>
                </c:pt>
                <c:pt idx="347">
                  <c:v>10.8745909263546</c:v>
                </c:pt>
                <c:pt idx="348">
                  <c:v>10.8504505040325</c:v>
                </c:pt>
                <c:pt idx="349">
                  <c:v>10.8344490973268</c:v>
                </c:pt>
                <c:pt idx="350">
                  <c:v>8.3815195586676694</c:v>
                </c:pt>
                <c:pt idx="351">
                  <c:v>8.3816242581218194</c:v>
                </c:pt>
                <c:pt idx="352">
                  <c:v>8.3816614530298903</c:v>
                </c:pt>
                <c:pt idx="353">
                  <c:v>8.3816788058188205</c:v>
                </c:pt>
                <c:pt idx="354">
                  <c:v>8.3816882808780608</c:v>
                </c:pt>
                <c:pt idx="355">
                  <c:v>8.9443726242845703</c:v>
                </c:pt>
                <c:pt idx="356">
                  <c:v>8.9470855806041705</c:v>
                </c:pt>
                <c:pt idx="357">
                  <c:v>8.9481435918892505</c:v>
                </c:pt>
                <c:pt idx="358">
                  <c:v>8.9486623557520595</c:v>
                </c:pt>
                <c:pt idx="359">
                  <c:v>8.9489544800982195</c:v>
                </c:pt>
                <c:pt idx="360">
                  <c:v>9.4984422930244303</c:v>
                </c:pt>
                <c:pt idx="361">
                  <c:v>9.5153703198608195</c:v>
                </c:pt>
                <c:pt idx="362">
                  <c:v>9.52563466888334</c:v>
                </c:pt>
                <c:pt idx="363">
                  <c:v>9.5321060600384602</c:v>
                </c:pt>
                <c:pt idx="364">
                  <c:v>9.5364019752266405</c:v>
                </c:pt>
                <c:pt idx="365">
                  <c:v>10.135139681095801</c:v>
                </c:pt>
                <c:pt idx="366">
                  <c:v>10.116028935293899</c:v>
                </c:pt>
                <c:pt idx="367">
                  <c:v>10.1120415611224</c:v>
                </c:pt>
                <c:pt idx="368">
                  <c:v>10.113360874555299</c:v>
                </c:pt>
                <c:pt idx="369">
                  <c:v>10.116706833421199</c:v>
                </c:pt>
                <c:pt idx="370">
                  <c:v>10.983179021220099</c:v>
                </c:pt>
                <c:pt idx="371">
                  <c:v>10.910791206971099</c:v>
                </c:pt>
                <c:pt idx="372">
                  <c:v>10.8710478994574</c:v>
                </c:pt>
                <c:pt idx="373">
                  <c:v>10.8463751475634</c:v>
                </c:pt>
                <c:pt idx="374">
                  <c:v>10.8299012771976</c:v>
                </c:pt>
                <c:pt idx="375">
                  <c:v>8.3709354670448999</c:v>
                </c:pt>
                <c:pt idx="376">
                  <c:v>8.3710736464903306</c:v>
                </c:pt>
                <c:pt idx="377">
                  <c:v>8.3711228369187101</c:v>
                </c:pt>
                <c:pt idx="378">
                  <c:v>8.3711458046781697</c:v>
                </c:pt>
                <c:pt idx="379">
                  <c:v>8.3711583573254291</c:v>
                </c:pt>
                <c:pt idx="380">
                  <c:v>8.9337974271700205</c:v>
                </c:pt>
                <c:pt idx="381">
                  <c:v>8.9372317354484796</c:v>
                </c:pt>
                <c:pt idx="382">
                  <c:v>8.9385898699852504</c:v>
                </c:pt>
                <c:pt idx="383">
                  <c:v>8.9392608644325993</c:v>
                </c:pt>
                <c:pt idx="384">
                  <c:v>8.9396405394323804</c:v>
                </c:pt>
                <c:pt idx="385">
                  <c:v>9.4835874719128999</c:v>
                </c:pt>
                <c:pt idx="386">
                  <c:v>9.5016388112296593</c:v>
                </c:pt>
                <c:pt idx="387">
                  <c:v>9.5131558476516407</c:v>
                </c:pt>
                <c:pt idx="388">
                  <c:v>9.5206410061847908</c:v>
                </c:pt>
                <c:pt idx="389">
                  <c:v>9.5257137951744006</c:v>
                </c:pt>
                <c:pt idx="390">
                  <c:v>10.1283117005393</c:v>
                </c:pt>
                <c:pt idx="391">
                  <c:v>10.1073665680396</c:v>
                </c:pt>
                <c:pt idx="392">
                  <c:v>10.102080415818</c:v>
                </c:pt>
                <c:pt idx="393">
                  <c:v>10.102528778800201</c:v>
                </c:pt>
                <c:pt idx="394">
                  <c:v>10.1053256385228</c:v>
                </c:pt>
                <c:pt idx="395">
                  <c:v>10.981512055865901</c:v>
                </c:pt>
                <c:pt idx="396">
                  <c:v>10.9085715199693</c:v>
                </c:pt>
                <c:pt idx="397">
                  <c:v>10.8683572709856</c:v>
                </c:pt>
                <c:pt idx="398">
                  <c:v>10.843269219201</c:v>
                </c:pt>
                <c:pt idx="399">
                  <c:v>10.826422532285999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55-3F48-98FE-8FB3D8FE7C45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'D-Stat1'!$B$26:$B$425</c:f>
              <c:numCache>
                <c:formatCode>General</c:formatCode>
                <c:ptCount val="400"/>
                <c:pt idx="0">
                  <c:v>8.2950151133126067</c:v>
                </c:pt>
                <c:pt idx="1">
                  <c:v>8.2865757071450936</c:v>
                </c:pt>
                <c:pt idx="2">
                  <c:v>8.2781363009775824</c:v>
                </c:pt>
                <c:pt idx="3">
                  <c:v>8.2696968948100693</c:v>
                </c:pt>
                <c:pt idx="4">
                  <c:v>8.2612574886425563</c:v>
                </c:pt>
                <c:pt idx="5">
                  <c:v>8.9213658434121346</c:v>
                </c:pt>
                <c:pt idx="6">
                  <c:v>8.9129264372446215</c:v>
                </c:pt>
                <c:pt idx="7">
                  <c:v>8.9044870310771103</c:v>
                </c:pt>
                <c:pt idx="8">
                  <c:v>8.8960476249095972</c:v>
                </c:pt>
                <c:pt idx="9">
                  <c:v>8.8876082187420842</c:v>
                </c:pt>
                <c:pt idx="10">
                  <c:v>9.547716573511666</c:v>
                </c:pt>
                <c:pt idx="11">
                  <c:v>9.539277167344153</c:v>
                </c:pt>
                <c:pt idx="12">
                  <c:v>9.5308377611766417</c:v>
                </c:pt>
                <c:pt idx="13">
                  <c:v>9.5223983550091287</c:v>
                </c:pt>
                <c:pt idx="14">
                  <c:v>9.5139589488416156</c:v>
                </c:pt>
                <c:pt idx="15">
                  <c:v>10.174067303611194</c:v>
                </c:pt>
                <c:pt idx="16">
                  <c:v>10.165627897443681</c:v>
                </c:pt>
                <c:pt idx="17">
                  <c:v>10.15718849127617</c:v>
                </c:pt>
                <c:pt idx="18">
                  <c:v>10.148749085108657</c:v>
                </c:pt>
                <c:pt idx="19">
                  <c:v>10.140309678941144</c:v>
                </c:pt>
                <c:pt idx="20">
                  <c:v>10.800418033710725</c:v>
                </c:pt>
                <c:pt idx="21">
                  <c:v>10.791978627543212</c:v>
                </c:pt>
                <c:pt idx="22">
                  <c:v>10.783539221375701</c:v>
                </c:pt>
                <c:pt idx="23">
                  <c:v>10.775099815208188</c:v>
                </c:pt>
                <c:pt idx="24">
                  <c:v>10.766660409040675</c:v>
                </c:pt>
                <c:pt idx="25">
                  <c:v>8.2950151133126067</c:v>
                </c:pt>
                <c:pt idx="26">
                  <c:v>8.2865757071450936</c:v>
                </c:pt>
                <c:pt idx="27">
                  <c:v>8.2781363009775824</c:v>
                </c:pt>
                <c:pt idx="28">
                  <c:v>8.2696968948100693</c:v>
                </c:pt>
                <c:pt idx="29">
                  <c:v>8.2612574886425563</c:v>
                </c:pt>
                <c:pt idx="30">
                  <c:v>8.9213658434121346</c:v>
                </c:pt>
                <c:pt idx="31">
                  <c:v>8.9129264372446215</c:v>
                </c:pt>
                <c:pt idx="32">
                  <c:v>8.9044870310771103</c:v>
                </c:pt>
                <c:pt idx="33">
                  <c:v>8.8960476249095972</c:v>
                </c:pt>
                <c:pt idx="34">
                  <c:v>8.8876082187420842</c:v>
                </c:pt>
                <c:pt idx="35">
                  <c:v>9.547716573511666</c:v>
                </c:pt>
                <c:pt idx="36">
                  <c:v>9.539277167344153</c:v>
                </c:pt>
                <c:pt idx="37">
                  <c:v>9.5308377611766417</c:v>
                </c:pt>
                <c:pt idx="38">
                  <c:v>9.5223983550091287</c:v>
                </c:pt>
                <c:pt idx="39">
                  <c:v>9.5139589488416156</c:v>
                </c:pt>
                <c:pt idx="40">
                  <c:v>10.174067303611194</c:v>
                </c:pt>
                <c:pt idx="41">
                  <c:v>10.165627897443681</c:v>
                </c:pt>
                <c:pt idx="42">
                  <c:v>10.15718849127617</c:v>
                </c:pt>
                <c:pt idx="43">
                  <c:v>10.148749085108657</c:v>
                </c:pt>
                <c:pt idx="44">
                  <c:v>10.140309678941144</c:v>
                </c:pt>
                <c:pt idx="45">
                  <c:v>10.800418033710725</c:v>
                </c:pt>
                <c:pt idx="46">
                  <c:v>10.791978627543212</c:v>
                </c:pt>
                <c:pt idx="47">
                  <c:v>10.783539221375701</c:v>
                </c:pt>
                <c:pt idx="48">
                  <c:v>10.775099815208188</c:v>
                </c:pt>
                <c:pt idx="49">
                  <c:v>10.766660409040675</c:v>
                </c:pt>
                <c:pt idx="50">
                  <c:v>8.2950151133126067</c:v>
                </c:pt>
                <c:pt idx="51">
                  <c:v>8.2865757071450936</c:v>
                </c:pt>
                <c:pt idx="52">
                  <c:v>8.2781363009775824</c:v>
                </c:pt>
                <c:pt idx="53">
                  <c:v>8.2696968948100693</c:v>
                </c:pt>
                <c:pt idx="54">
                  <c:v>8.2612574886425563</c:v>
                </c:pt>
                <c:pt idx="55">
                  <c:v>8.9213658434121346</c:v>
                </c:pt>
                <c:pt idx="56">
                  <c:v>8.9129264372446215</c:v>
                </c:pt>
                <c:pt idx="57">
                  <c:v>8.9044870310771103</c:v>
                </c:pt>
                <c:pt idx="58">
                  <c:v>8.8960476249095972</c:v>
                </c:pt>
                <c:pt idx="59">
                  <c:v>8.8876082187420842</c:v>
                </c:pt>
                <c:pt idx="60">
                  <c:v>9.547716573511666</c:v>
                </c:pt>
                <c:pt idx="61">
                  <c:v>9.539277167344153</c:v>
                </c:pt>
                <c:pt idx="62">
                  <c:v>9.5308377611766417</c:v>
                </c:pt>
                <c:pt idx="63">
                  <c:v>9.5223983550091287</c:v>
                </c:pt>
                <c:pt idx="64">
                  <c:v>9.5139589488416156</c:v>
                </c:pt>
                <c:pt idx="65">
                  <c:v>10.174067303611194</c:v>
                </c:pt>
                <c:pt idx="66">
                  <c:v>10.165627897443681</c:v>
                </c:pt>
                <c:pt idx="67">
                  <c:v>10.15718849127617</c:v>
                </c:pt>
                <c:pt idx="68">
                  <c:v>10.148749085108657</c:v>
                </c:pt>
                <c:pt idx="69">
                  <c:v>10.140309678941144</c:v>
                </c:pt>
                <c:pt idx="70">
                  <c:v>10.800418033710725</c:v>
                </c:pt>
                <c:pt idx="71">
                  <c:v>10.791978627543212</c:v>
                </c:pt>
                <c:pt idx="72">
                  <c:v>10.783539221375701</c:v>
                </c:pt>
                <c:pt idx="73">
                  <c:v>10.775099815208188</c:v>
                </c:pt>
                <c:pt idx="74">
                  <c:v>10.766660409040675</c:v>
                </c:pt>
                <c:pt idx="75">
                  <c:v>8.2950151133126067</c:v>
                </c:pt>
                <c:pt idx="76">
                  <c:v>8.2865757071450936</c:v>
                </c:pt>
                <c:pt idx="77">
                  <c:v>8.2781363009775824</c:v>
                </c:pt>
                <c:pt idx="78">
                  <c:v>8.2696968948100693</c:v>
                </c:pt>
                <c:pt idx="79">
                  <c:v>8.2612574886425563</c:v>
                </c:pt>
                <c:pt idx="80">
                  <c:v>8.9213658434121346</c:v>
                </c:pt>
                <c:pt idx="81">
                  <c:v>8.9129264372446215</c:v>
                </c:pt>
                <c:pt idx="82">
                  <c:v>8.9044870310771103</c:v>
                </c:pt>
                <c:pt idx="83">
                  <c:v>8.8960476249095972</c:v>
                </c:pt>
                <c:pt idx="84">
                  <c:v>8.8876082187420842</c:v>
                </c:pt>
                <c:pt idx="85">
                  <c:v>9.547716573511666</c:v>
                </c:pt>
                <c:pt idx="86">
                  <c:v>9.539277167344153</c:v>
                </c:pt>
                <c:pt idx="87">
                  <c:v>9.5308377611766417</c:v>
                </c:pt>
                <c:pt idx="88">
                  <c:v>9.5223983550091287</c:v>
                </c:pt>
                <c:pt idx="89">
                  <c:v>9.5139589488416156</c:v>
                </c:pt>
                <c:pt idx="90">
                  <c:v>10.174067303611194</c:v>
                </c:pt>
                <c:pt idx="91">
                  <c:v>10.165627897443681</c:v>
                </c:pt>
                <c:pt idx="92">
                  <c:v>10.15718849127617</c:v>
                </c:pt>
                <c:pt idx="93">
                  <c:v>10.148749085108657</c:v>
                </c:pt>
                <c:pt idx="94">
                  <c:v>10.140309678941144</c:v>
                </c:pt>
                <c:pt idx="95">
                  <c:v>10.800418033710725</c:v>
                </c:pt>
                <c:pt idx="96">
                  <c:v>10.791978627543212</c:v>
                </c:pt>
                <c:pt idx="97">
                  <c:v>10.783539221375701</c:v>
                </c:pt>
                <c:pt idx="98">
                  <c:v>10.775099815208188</c:v>
                </c:pt>
                <c:pt idx="99">
                  <c:v>10.766660409040675</c:v>
                </c:pt>
                <c:pt idx="100">
                  <c:v>8.2950151133126067</c:v>
                </c:pt>
                <c:pt idx="101">
                  <c:v>8.2865757071450936</c:v>
                </c:pt>
                <c:pt idx="102">
                  <c:v>8.2781363009775824</c:v>
                </c:pt>
                <c:pt idx="103">
                  <c:v>8.2696968948100693</c:v>
                </c:pt>
                <c:pt idx="104">
                  <c:v>8.2612574886425563</c:v>
                </c:pt>
                <c:pt idx="105">
                  <c:v>8.9213658434121346</c:v>
                </c:pt>
                <c:pt idx="106">
                  <c:v>8.9129264372446215</c:v>
                </c:pt>
                <c:pt idx="107">
                  <c:v>8.9044870310771103</c:v>
                </c:pt>
                <c:pt idx="108">
                  <c:v>8.8960476249095972</c:v>
                </c:pt>
                <c:pt idx="109">
                  <c:v>8.8876082187420842</c:v>
                </c:pt>
                <c:pt idx="110">
                  <c:v>9.547716573511666</c:v>
                </c:pt>
                <c:pt idx="111">
                  <c:v>9.539277167344153</c:v>
                </c:pt>
                <c:pt idx="112">
                  <c:v>9.5308377611766417</c:v>
                </c:pt>
                <c:pt idx="113">
                  <c:v>9.5223983550091287</c:v>
                </c:pt>
                <c:pt idx="114">
                  <c:v>9.5139589488416156</c:v>
                </c:pt>
                <c:pt idx="115">
                  <c:v>10.174067303611194</c:v>
                </c:pt>
                <c:pt idx="116">
                  <c:v>10.165627897443681</c:v>
                </c:pt>
                <c:pt idx="117">
                  <c:v>10.15718849127617</c:v>
                </c:pt>
                <c:pt idx="118">
                  <c:v>10.148749085108657</c:v>
                </c:pt>
                <c:pt idx="119">
                  <c:v>10.140309678941144</c:v>
                </c:pt>
                <c:pt idx="120">
                  <c:v>10.800418033710725</c:v>
                </c:pt>
                <c:pt idx="121">
                  <c:v>10.791978627543212</c:v>
                </c:pt>
                <c:pt idx="122">
                  <c:v>10.783539221375701</c:v>
                </c:pt>
                <c:pt idx="123">
                  <c:v>10.775099815208188</c:v>
                </c:pt>
                <c:pt idx="124">
                  <c:v>10.766660409040675</c:v>
                </c:pt>
                <c:pt idx="125">
                  <c:v>8.2950151133126067</c:v>
                </c:pt>
                <c:pt idx="126">
                  <c:v>8.2865757071450936</c:v>
                </c:pt>
                <c:pt idx="127">
                  <c:v>8.2781363009775824</c:v>
                </c:pt>
                <c:pt idx="128">
                  <c:v>8.2696968948100693</c:v>
                </c:pt>
                <c:pt idx="129">
                  <c:v>8.2612574886425563</c:v>
                </c:pt>
                <c:pt idx="130">
                  <c:v>8.9213658434121346</c:v>
                </c:pt>
                <c:pt idx="131">
                  <c:v>8.9129264372446215</c:v>
                </c:pt>
                <c:pt idx="132">
                  <c:v>8.9044870310771103</c:v>
                </c:pt>
                <c:pt idx="133">
                  <c:v>8.8960476249095972</c:v>
                </c:pt>
                <c:pt idx="134">
                  <c:v>8.8876082187420842</c:v>
                </c:pt>
                <c:pt idx="135">
                  <c:v>9.547716573511666</c:v>
                </c:pt>
                <c:pt idx="136">
                  <c:v>9.539277167344153</c:v>
                </c:pt>
                <c:pt idx="137">
                  <c:v>9.5308377611766417</c:v>
                </c:pt>
                <c:pt idx="138">
                  <c:v>9.5223983550091287</c:v>
                </c:pt>
                <c:pt idx="139">
                  <c:v>9.5139589488416156</c:v>
                </c:pt>
                <c:pt idx="140">
                  <c:v>10.174067303611194</c:v>
                </c:pt>
                <c:pt idx="141">
                  <c:v>10.165627897443681</c:v>
                </c:pt>
                <c:pt idx="142">
                  <c:v>10.15718849127617</c:v>
                </c:pt>
                <c:pt idx="143">
                  <c:v>10.148749085108657</c:v>
                </c:pt>
                <c:pt idx="144">
                  <c:v>10.140309678941144</c:v>
                </c:pt>
                <c:pt idx="145">
                  <c:v>10.800418033710725</c:v>
                </c:pt>
                <c:pt idx="146">
                  <c:v>10.791978627543212</c:v>
                </c:pt>
                <c:pt idx="147">
                  <c:v>10.783539221375701</c:v>
                </c:pt>
                <c:pt idx="148">
                  <c:v>10.775099815208188</c:v>
                </c:pt>
                <c:pt idx="149">
                  <c:v>10.766660409040675</c:v>
                </c:pt>
                <c:pt idx="150">
                  <c:v>8.2950151133126067</c:v>
                </c:pt>
                <c:pt idx="151">
                  <c:v>8.2865757071450936</c:v>
                </c:pt>
                <c:pt idx="152">
                  <c:v>8.2781363009775824</c:v>
                </c:pt>
                <c:pt idx="153">
                  <c:v>8.2696968948100693</c:v>
                </c:pt>
                <c:pt idx="154">
                  <c:v>8.2612574886425563</c:v>
                </c:pt>
                <c:pt idx="155">
                  <c:v>8.9213658434121346</c:v>
                </c:pt>
                <c:pt idx="156">
                  <c:v>8.9129264372446215</c:v>
                </c:pt>
                <c:pt idx="157">
                  <c:v>8.9044870310771103</c:v>
                </c:pt>
                <c:pt idx="158">
                  <c:v>8.8960476249095972</c:v>
                </c:pt>
                <c:pt idx="159">
                  <c:v>8.8876082187420842</c:v>
                </c:pt>
                <c:pt idx="160">
                  <c:v>9.547716573511666</c:v>
                </c:pt>
                <c:pt idx="161">
                  <c:v>9.539277167344153</c:v>
                </c:pt>
                <c:pt idx="162">
                  <c:v>9.5308377611766417</c:v>
                </c:pt>
                <c:pt idx="163">
                  <c:v>9.5223983550091287</c:v>
                </c:pt>
                <c:pt idx="164">
                  <c:v>9.5139589488416156</c:v>
                </c:pt>
                <c:pt idx="165">
                  <c:v>10.174067303611194</c:v>
                </c:pt>
                <c:pt idx="166">
                  <c:v>10.165627897443681</c:v>
                </c:pt>
                <c:pt idx="167">
                  <c:v>10.15718849127617</c:v>
                </c:pt>
                <c:pt idx="168">
                  <c:v>10.148749085108657</c:v>
                </c:pt>
                <c:pt idx="169">
                  <c:v>10.140309678941144</c:v>
                </c:pt>
                <c:pt idx="170">
                  <c:v>10.800418033710725</c:v>
                </c:pt>
                <c:pt idx="171">
                  <c:v>10.791978627543212</c:v>
                </c:pt>
                <c:pt idx="172">
                  <c:v>10.783539221375701</c:v>
                </c:pt>
                <c:pt idx="173">
                  <c:v>10.775099815208188</c:v>
                </c:pt>
                <c:pt idx="174">
                  <c:v>10.766660409040675</c:v>
                </c:pt>
                <c:pt idx="175">
                  <c:v>8.2950151133126067</c:v>
                </c:pt>
                <c:pt idx="176">
                  <c:v>8.2865757071450936</c:v>
                </c:pt>
                <c:pt idx="177">
                  <c:v>8.2781363009775824</c:v>
                </c:pt>
                <c:pt idx="178">
                  <c:v>8.2696968948100693</c:v>
                </c:pt>
                <c:pt idx="179">
                  <c:v>8.2612574886425563</c:v>
                </c:pt>
                <c:pt idx="180">
                  <c:v>8.9213658434121346</c:v>
                </c:pt>
                <c:pt idx="181">
                  <c:v>8.9129264372446215</c:v>
                </c:pt>
                <c:pt idx="182">
                  <c:v>8.9044870310771103</c:v>
                </c:pt>
                <c:pt idx="183">
                  <c:v>8.8960476249095972</c:v>
                </c:pt>
                <c:pt idx="184">
                  <c:v>8.8876082187420842</c:v>
                </c:pt>
                <c:pt idx="185">
                  <c:v>9.547716573511666</c:v>
                </c:pt>
                <c:pt idx="186">
                  <c:v>9.539277167344153</c:v>
                </c:pt>
                <c:pt idx="187">
                  <c:v>9.5308377611766417</c:v>
                </c:pt>
                <c:pt idx="188">
                  <c:v>9.5223983550091287</c:v>
                </c:pt>
                <c:pt idx="189">
                  <c:v>9.5139589488416156</c:v>
                </c:pt>
                <c:pt idx="190">
                  <c:v>10.174067303611194</c:v>
                </c:pt>
                <c:pt idx="191">
                  <c:v>10.165627897443681</c:v>
                </c:pt>
                <c:pt idx="192">
                  <c:v>10.15718849127617</c:v>
                </c:pt>
                <c:pt idx="193">
                  <c:v>10.148749085108657</c:v>
                </c:pt>
                <c:pt idx="194">
                  <c:v>10.140309678941144</c:v>
                </c:pt>
                <c:pt idx="195">
                  <c:v>10.800418033710725</c:v>
                </c:pt>
                <c:pt idx="196">
                  <c:v>10.791978627543212</c:v>
                </c:pt>
                <c:pt idx="197">
                  <c:v>10.783539221375701</c:v>
                </c:pt>
                <c:pt idx="198">
                  <c:v>10.775099815208188</c:v>
                </c:pt>
                <c:pt idx="199">
                  <c:v>10.766660409040675</c:v>
                </c:pt>
                <c:pt idx="200">
                  <c:v>8.2950151133126067</c:v>
                </c:pt>
                <c:pt idx="201">
                  <c:v>8.2865757071450936</c:v>
                </c:pt>
                <c:pt idx="202">
                  <c:v>8.2781363009775824</c:v>
                </c:pt>
                <c:pt idx="203">
                  <c:v>8.2696968948100693</c:v>
                </c:pt>
                <c:pt idx="204">
                  <c:v>8.2612574886425563</c:v>
                </c:pt>
                <c:pt idx="205">
                  <c:v>8.9213658434121346</c:v>
                </c:pt>
                <c:pt idx="206">
                  <c:v>8.9129264372446215</c:v>
                </c:pt>
                <c:pt idx="207">
                  <c:v>8.9044870310771103</c:v>
                </c:pt>
                <c:pt idx="208">
                  <c:v>8.8960476249095972</c:v>
                </c:pt>
                <c:pt idx="209">
                  <c:v>8.8876082187420842</c:v>
                </c:pt>
                <c:pt idx="210">
                  <c:v>9.547716573511666</c:v>
                </c:pt>
                <c:pt idx="211">
                  <c:v>9.539277167344153</c:v>
                </c:pt>
                <c:pt idx="212">
                  <c:v>9.5308377611766417</c:v>
                </c:pt>
                <c:pt idx="213">
                  <c:v>9.5223983550091287</c:v>
                </c:pt>
                <c:pt idx="214">
                  <c:v>9.5139589488416156</c:v>
                </c:pt>
                <c:pt idx="215">
                  <c:v>10.174067303611194</c:v>
                </c:pt>
                <c:pt idx="216">
                  <c:v>10.165627897443681</c:v>
                </c:pt>
                <c:pt idx="217">
                  <c:v>10.15718849127617</c:v>
                </c:pt>
                <c:pt idx="218">
                  <c:v>10.148749085108657</c:v>
                </c:pt>
                <c:pt idx="219">
                  <c:v>10.140309678941144</c:v>
                </c:pt>
                <c:pt idx="220">
                  <c:v>10.800418033710725</c:v>
                </c:pt>
                <c:pt idx="221">
                  <c:v>10.791978627543212</c:v>
                </c:pt>
                <c:pt idx="222">
                  <c:v>10.783539221375701</c:v>
                </c:pt>
                <c:pt idx="223">
                  <c:v>10.775099815208188</c:v>
                </c:pt>
                <c:pt idx="224">
                  <c:v>10.766660409040675</c:v>
                </c:pt>
                <c:pt idx="225">
                  <c:v>8.2950151133126067</c:v>
                </c:pt>
                <c:pt idx="226">
                  <c:v>8.2865757071450936</c:v>
                </c:pt>
                <c:pt idx="227">
                  <c:v>8.2781363009775824</c:v>
                </c:pt>
                <c:pt idx="228">
                  <c:v>8.2696968948100693</c:v>
                </c:pt>
                <c:pt idx="229">
                  <c:v>8.2612574886425563</c:v>
                </c:pt>
                <c:pt idx="230">
                  <c:v>8.9213658434121346</c:v>
                </c:pt>
                <c:pt idx="231">
                  <c:v>8.9129264372446215</c:v>
                </c:pt>
                <c:pt idx="232">
                  <c:v>8.9044870310771103</c:v>
                </c:pt>
                <c:pt idx="233">
                  <c:v>8.8960476249095972</c:v>
                </c:pt>
                <c:pt idx="234">
                  <c:v>8.8876082187420842</c:v>
                </c:pt>
                <c:pt idx="235">
                  <c:v>9.547716573511666</c:v>
                </c:pt>
                <c:pt idx="236">
                  <c:v>9.539277167344153</c:v>
                </c:pt>
                <c:pt idx="237">
                  <c:v>9.5308377611766417</c:v>
                </c:pt>
                <c:pt idx="238">
                  <c:v>9.5223983550091287</c:v>
                </c:pt>
                <c:pt idx="239">
                  <c:v>9.5139589488416156</c:v>
                </c:pt>
                <c:pt idx="240">
                  <c:v>10.174067303611194</c:v>
                </c:pt>
                <c:pt idx="241">
                  <c:v>10.165627897443681</c:v>
                </c:pt>
                <c:pt idx="242">
                  <c:v>10.15718849127617</c:v>
                </c:pt>
                <c:pt idx="243">
                  <c:v>10.148749085108657</c:v>
                </c:pt>
                <c:pt idx="244">
                  <c:v>10.140309678941144</c:v>
                </c:pt>
                <c:pt idx="245">
                  <c:v>10.800418033710725</c:v>
                </c:pt>
                <c:pt idx="246">
                  <c:v>10.791978627543212</c:v>
                </c:pt>
                <c:pt idx="247">
                  <c:v>10.783539221375701</c:v>
                </c:pt>
                <c:pt idx="248">
                  <c:v>10.775099815208188</c:v>
                </c:pt>
                <c:pt idx="249">
                  <c:v>10.766660409040675</c:v>
                </c:pt>
                <c:pt idx="250">
                  <c:v>8.2950151133126067</c:v>
                </c:pt>
                <c:pt idx="251">
                  <c:v>8.2865757071450936</c:v>
                </c:pt>
                <c:pt idx="252">
                  <c:v>8.2781363009775824</c:v>
                </c:pt>
                <c:pt idx="253">
                  <c:v>8.2696968948100693</c:v>
                </c:pt>
                <c:pt idx="254">
                  <c:v>8.2612574886425563</c:v>
                </c:pt>
                <c:pt idx="255">
                  <c:v>8.9213658434121346</c:v>
                </c:pt>
                <c:pt idx="256">
                  <c:v>8.9129264372446215</c:v>
                </c:pt>
                <c:pt idx="257">
                  <c:v>8.9044870310771103</c:v>
                </c:pt>
                <c:pt idx="258">
                  <c:v>8.8960476249095972</c:v>
                </c:pt>
                <c:pt idx="259">
                  <c:v>8.8876082187420842</c:v>
                </c:pt>
                <c:pt idx="260">
                  <c:v>9.547716573511666</c:v>
                </c:pt>
                <c:pt idx="261">
                  <c:v>9.539277167344153</c:v>
                </c:pt>
                <c:pt idx="262">
                  <c:v>9.5308377611766417</c:v>
                </c:pt>
                <c:pt idx="263">
                  <c:v>9.5223983550091287</c:v>
                </c:pt>
                <c:pt idx="264">
                  <c:v>9.5139589488416156</c:v>
                </c:pt>
                <c:pt idx="265">
                  <c:v>10.174067303611194</c:v>
                </c:pt>
                <c:pt idx="266">
                  <c:v>10.165627897443681</c:v>
                </c:pt>
                <c:pt idx="267">
                  <c:v>10.15718849127617</c:v>
                </c:pt>
                <c:pt idx="268">
                  <c:v>10.148749085108657</c:v>
                </c:pt>
                <c:pt idx="269">
                  <c:v>10.140309678941144</c:v>
                </c:pt>
                <c:pt idx="270">
                  <c:v>10.800418033710725</c:v>
                </c:pt>
                <c:pt idx="271">
                  <c:v>10.791978627543212</c:v>
                </c:pt>
                <c:pt idx="272">
                  <c:v>10.783539221375701</c:v>
                </c:pt>
                <c:pt idx="273">
                  <c:v>10.775099815208188</c:v>
                </c:pt>
                <c:pt idx="274">
                  <c:v>10.766660409040675</c:v>
                </c:pt>
                <c:pt idx="275">
                  <c:v>8.2950151133126067</c:v>
                </c:pt>
                <c:pt idx="276">
                  <c:v>8.2865757071450936</c:v>
                </c:pt>
                <c:pt idx="277">
                  <c:v>8.2781363009775824</c:v>
                </c:pt>
                <c:pt idx="278">
                  <c:v>8.2696968948100693</c:v>
                </c:pt>
                <c:pt idx="279">
                  <c:v>8.2612574886425563</c:v>
                </c:pt>
                <c:pt idx="280">
                  <c:v>8.9213658434121346</c:v>
                </c:pt>
                <c:pt idx="281">
                  <c:v>8.9129264372446215</c:v>
                </c:pt>
                <c:pt idx="282">
                  <c:v>8.9044870310771103</c:v>
                </c:pt>
                <c:pt idx="283">
                  <c:v>8.8960476249095972</c:v>
                </c:pt>
                <c:pt idx="284">
                  <c:v>8.8876082187420842</c:v>
                </c:pt>
                <c:pt idx="285">
                  <c:v>9.547716573511666</c:v>
                </c:pt>
                <c:pt idx="286">
                  <c:v>9.539277167344153</c:v>
                </c:pt>
                <c:pt idx="287">
                  <c:v>9.5308377611766417</c:v>
                </c:pt>
                <c:pt idx="288">
                  <c:v>9.5223983550091287</c:v>
                </c:pt>
                <c:pt idx="289">
                  <c:v>9.5139589488416156</c:v>
                </c:pt>
                <c:pt idx="290">
                  <c:v>10.174067303611194</c:v>
                </c:pt>
                <c:pt idx="291">
                  <c:v>10.165627897443681</c:v>
                </c:pt>
                <c:pt idx="292">
                  <c:v>10.15718849127617</c:v>
                </c:pt>
                <c:pt idx="293">
                  <c:v>10.148749085108657</c:v>
                </c:pt>
                <c:pt idx="294">
                  <c:v>10.140309678941144</c:v>
                </c:pt>
                <c:pt idx="295">
                  <c:v>10.800418033710725</c:v>
                </c:pt>
                <c:pt idx="296">
                  <c:v>10.791978627543212</c:v>
                </c:pt>
                <c:pt idx="297">
                  <c:v>10.783539221375701</c:v>
                </c:pt>
                <c:pt idx="298">
                  <c:v>10.775099815208188</c:v>
                </c:pt>
                <c:pt idx="299">
                  <c:v>10.766660409040675</c:v>
                </c:pt>
                <c:pt idx="300">
                  <c:v>8.2950151133126067</c:v>
                </c:pt>
                <c:pt idx="301">
                  <c:v>8.2865757071450936</c:v>
                </c:pt>
                <c:pt idx="302">
                  <c:v>8.2781363009775824</c:v>
                </c:pt>
                <c:pt idx="303">
                  <c:v>8.2696968948100693</c:v>
                </c:pt>
                <c:pt idx="304">
                  <c:v>8.2612574886425563</c:v>
                </c:pt>
                <c:pt idx="305">
                  <c:v>8.9213658434121346</c:v>
                </c:pt>
                <c:pt idx="306">
                  <c:v>8.9129264372446215</c:v>
                </c:pt>
                <c:pt idx="307">
                  <c:v>8.9044870310771103</c:v>
                </c:pt>
                <c:pt idx="308">
                  <c:v>8.8960476249095972</c:v>
                </c:pt>
                <c:pt idx="309">
                  <c:v>8.8876082187420842</c:v>
                </c:pt>
                <c:pt idx="310">
                  <c:v>9.547716573511666</c:v>
                </c:pt>
                <c:pt idx="311">
                  <c:v>9.539277167344153</c:v>
                </c:pt>
                <c:pt idx="312">
                  <c:v>9.5308377611766417</c:v>
                </c:pt>
                <c:pt idx="313">
                  <c:v>9.5223983550091287</c:v>
                </c:pt>
                <c:pt idx="314">
                  <c:v>9.5139589488416156</c:v>
                </c:pt>
                <c:pt idx="315">
                  <c:v>10.174067303611194</c:v>
                </c:pt>
                <c:pt idx="316">
                  <c:v>10.165627897443681</c:v>
                </c:pt>
                <c:pt idx="317">
                  <c:v>10.15718849127617</c:v>
                </c:pt>
                <c:pt idx="318">
                  <c:v>10.148749085108657</c:v>
                </c:pt>
                <c:pt idx="319">
                  <c:v>10.140309678941144</c:v>
                </c:pt>
                <c:pt idx="320">
                  <c:v>10.800418033710725</c:v>
                </c:pt>
                <c:pt idx="321">
                  <c:v>10.791978627543212</c:v>
                </c:pt>
                <c:pt idx="322">
                  <c:v>10.783539221375701</c:v>
                </c:pt>
                <c:pt idx="323">
                  <c:v>10.775099815208188</c:v>
                </c:pt>
                <c:pt idx="324">
                  <c:v>10.766660409040675</c:v>
                </c:pt>
                <c:pt idx="325">
                  <c:v>8.2950151133126067</c:v>
                </c:pt>
                <c:pt idx="326">
                  <c:v>8.2865757071450936</c:v>
                </c:pt>
                <c:pt idx="327">
                  <c:v>8.2781363009775824</c:v>
                </c:pt>
                <c:pt idx="328">
                  <c:v>8.2696968948100693</c:v>
                </c:pt>
                <c:pt idx="329">
                  <c:v>8.2612574886425563</c:v>
                </c:pt>
                <c:pt idx="330">
                  <c:v>8.9213658434121346</c:v>
                </c:pt>
                <c:pt idx="331">
                  <c:v>8.9129264372446215</c:v>
                </c:pt>
                <c:pt idx="332">
                  <c:v>8.9044870310771103</c:v>
                </c:pt>
                <c:pt idx="333">
                  <c:v>8.8960476249095972</c:v>
                </c:pt>
                <c:pt idx="334">
                  <c:v>8.8876082187420842</c:v>
                </c:pt>
                <c:pt idx="335">
                  <c:v>9.547716573511666</c:v>
                </c:pt>
                <c:pt idx="336">
                  <c:v>9.539277167344153</c:v>
                </c:pt>
                <c:pt idx="337">
                  <c:v>9.5308377611766417</c:v>
                </c:pt>
                <c:pt idx="338">
                  <c:v>9.5223983550091287</c:v>
                </c:pt>
                <c:pt idx="339">
                  <c:v>9.5139589488416156</c:v>
                </c:pt>
                <c:pt idx="340">
                  <c:v>10.174067303611194</c:v>
                </c:pt>
                <c:pt idx="341">
                  <c:v>10.165627897443681</c:v>
                </c:pt>
                <c:pt idx="342">
                  <c:v>10.15718849127617</c:v>
                </c:pt>
                <c:pt idx="343">
                  <c:v>10.148749085108657</c:v>
                </c:pt>
                <c:pt idx="344">
                  <c:v>10.140309678941144</c:v>
                </c:pt>
                <c:pt idx="345">
                  <c:v>10.800418033710725</c:v>
                </c:pt>
                <c:pt idx="346">
                  <c:v>10.791978627543212</c:v>
                </c:pt>
                <c:pt idx="347">
                  <c:v>10.783539221375701</c:v>
                </c:pt>
                <c:pt idx="348">
                  <c:v>10.775099815208188</c:v>
                </c:pt>
                <c:pt idx="349">
                  <c:v>10.766660409040675</c:v>
                </c:pt>
                <c:pt idx="350">
                  <c:v>8.2950151133126067</c:v>
                </c:pt>
                <c:pt idx="351">
                  <c:v>8.2865757071450936</c:v>
                </c:pt>
                <c:pt idx="352">
                  <c:v>8.2781363009775824</c:v>
                </c:pt>
                <c:pt idx="353">
                  <c:v>8.2696968948100693</c:v>
                </c:pt>
                <c:pt idx="354">
                  <c:v>8.2612574886425563</c:v>
                </c:pt>
                <c:pt idx="355">
                  <c:v>8.9213658434121346</c:v>
                </c:pt>
                <c:pt idx="356">
                  <c:v>8.9129264372446215</c:v>
                </c:pt>
                <c:pt idx="357">
                  <c:v>8.9044870310771103</c:v>
                </c:pt>
                <c:pt idx="358">
                  <c:v>8.8960476249095972</c:v>
                </c:pt>
                <c:pt idx="359">
                  <c:v>8.8876082187420842</c:v>
                </c:pt>
                <c:pt idx="360">
                  <c:v>9.547716573511666</c:v>
                </c:pt>
                <c:pt idx="361">
                  <c:v>9.539277167344153</c:v>
                </c:pt>
                <c:pt idx="362">
                  <c:v>9.5308377611766417</c:v>
                </c:pt>
                <c:pt idx="363">
                  <c:v>9.5223983550091287</c:v>
                </c:pt>
                <c:pt idx="364">
                  <c:v>9.5139589488416156</c:v>
                </c:pt>
                <c:pt idx="365">
                  <c:v>10.174067303611194</c:v>
                </c:pt>
                <c:pt idx="366">
                  <c:v>10.165627897443681</c:v>
                </c:pt>
                <c:pt idx="367">
                  <c:v>10.15718849127617</c:v>
                </c:pt>
                <c:pt idx="368">
                  <c:v>10.148749085108657</c:v>
                </c:pt>
                <c:pt idx="369">
                  <c:v>10.140309678941144</c:v>
                </c:pt>
                <c:pt idx="370">
                  <c:v>10.800418033710725</c:v>
                </c:pt>
                <c:pt idx="371">
                  <c:v>10.791978627543212</c:v>
                </c:pt>
                <c:pt idx="372">
                  <c:v>10.783539221375701</c:v>
                </c:pt>
                <c:pt idx="373">
                  <c:v>10.775099815208188</c:v>
                </c:pt>
                <c:pt idx="374">
                  <c:v>10.766660409040675</c:v>
                </c:pt>
                <c:pt idx="375">
                  <c:v>8.2950151133126067</c:v>
                </c:pt>
                <c:pt idx="376">
                  <c:v>8.2865757071450936</c:v>
                </c:pt>
                <c:pt idx="377">
                  <c:v>8.2781363009775824</c:v>
                </c:pt>
                <c:pt idx="378">
                  <c:v>8.2696968948100693</c:v>
                </c:pt>
                <c:pt idx="379">
                  <c:v>8.2612574886425563</c:v>
                </c:pt>
                <c:pt idx="380">
                  <c:v>8.9213658434121346</c:v>
                </c:pt>
                <c:pt idx="381">
                  <c:v>8.9129264372446215</c:v>
                </c:pt>
                <c:pt idx="382">
                  <c:v>8.9044870310771103</c:v>
                </c:pt>
                <c:pt idx="383">
                  <c:v>8.8960476249095972</c:v>
                </c:pt>
                <c:pt idx="384">
                  <c:v>8.8876082187420842</c:v>
                </c:pt>
                <c:pt idx="385">
                  <c:v>9.547716573511666</c:v>
                </c:pt>
                <c:pt idx="386">
                  <c:v>9.539277167344153</c:v>
                </c:pt>
                <c:pt idx="387">
                  <c:v>9.5308377611766417</c:v>
                </c:pt>
                <c:pt idx="388">
                  <c:v>9.5223983550091287</c:v>
                </c:pt>
                <c:pt idx="389">
                  <c:v>9.5139589488416156</c:v>
                </c:pt>
                <c:pt idx="390">
                  <c:v>10.174067303611194</c:v>
                </c:pt>
                <c:pt idx="391">
                  <c:v>10.165627897443681</c:v>
                </c:pt>
                <c:pt idx="392">
                  <c:v>10.15718849127617</c:v>
                </c:pt>
                <c:pt idx="393">
                  <c:v>10.148749085108657</c:v>
                </c:pt>
                <c:pt idx="394">
                  <c:v>10.140309678941144</c:v>
                </c:pt>
                <c:pt idx="395">
                  <c:v>10.800418033710725</c:v>
                </c:pt>
                <c:pt idx="396">
                  <c:v>10.791978627543212</c:v>
                </c:pt>
                <c:pt idx="397">
                  <c:v>10.783539221375701</c:v>
                </c:pt>
                <c:pt idx="398">
                  <c:v>10.775099815208188</c:v>
                </c:pt>
                <c:pt idx="399">
                  <c:v>10.766660409040675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55-3F48-98FE-8FB3D8FE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308064"/>
        <c:axId val="215521664"/>
      </c:scatterChart>
      <c:valAx>
        <c:axId val="21530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5521664"/>
        <c:crosses val="autoZero"/>
        <c:crossBetween val="midCat"/>
      </c:valAx>
      <c:valAx>
        <c:axId val="215521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15308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strRef>
              <c:f>'D-Stat1'!$C$2:$C$401</c:f>
              <c:strCache>
                <c:ptCount val="400"/>
                <c:pt idx="9">
                  <c:v>SS</c:v>
                </c:pt>
                <c:pt idx="10">
                  <c:v>313,9091685</c:v>
                </c:pt>
                <c:pt idx="11">
                  <c:v>2,949689513</c:v>
                </c:pt>
                <c:pt idx="12">
                  <c:v>316,8588581</c:v>
                </c:pt>
                <c:pt idx="14">
                  <c:v>Standard Error</c:v>
                </c:pt>
                <c:pt idx="15">
                  <c:v>0,024945103</c:v>
                </c:pt>
                <c:pt idx="16">
                  <c:v>0,030475294</c:v>
                </c:pt>
                <c:pt idx="17">
                  <c:v>0,006095059</c:v>
                </c:pt>
                <c:pt idx="23">
                  <c:v>Residuals</c:v>
                </c:pt>
                <c:pt idx="24">
                  <c:v>0,004085628</c:v>
                </c:pt>
                <c:pt idx="25">
                  <c:v>-0,000644123</c:v>
                </c:pt>
                <c:pt idx="26">
                  <c:v>-0,004282084</c:v>
                </c:pt>
                <c:pt idx="27">
                  <c:v>-0,006981488</c:v>
                </c:pt>
                <c:pt idx="28">
                  <c:v>-0,008827612</c:v>
                </c:pt>
                <c:pt idx="29">
                  <c:v>-0,105611095</c:v>
                </c:pt>
                <c:pt idx="30">
                  <c:v>-0,100387424</c:v>
                </c:pt>
                <c:pt idx="31">
                  <c:v>-0,094250195</c:v>
                </c:pt>
                <c:pt idx="32">
                  <c:v>-0,087734737</c:v>
                </c:pt>
                <c:pt idx="33">
                  <c:v>-0,081020062</c:v>
                </c:pt>
                <c:pt idx="34">
                  <c:v>-0,165123537</c:v>
                </c:pt>
                <c:pt idx="35">
                  <c:v>-0,165550821</c:v>
                </c:pt>
                <c:pt idx="36">
                  <c:v>-0,161625141</c:v>
                </c:pt>
                <c:pt idx="37">
                  <c:v>-0,155940997</c:v>
                </c:pt>
                <c:pt idx="38">
                  <c:v>-0,149372383</c:v>
                </c:pt>
                <c:pt idx="39">
                  <c:v>-0,090143719</c:v>
                </c:pt>
                <c:pt idx="40">
                  <c:v>-0,116898387</c:v>
                </c:pt>
                <c:pt idx="41">
                  <c:v>-0,12669102</c:v>
                </c:pt>
                <c:pt idx="42">
                  <c:v>-0,129417613</c:v>
                </c:pt>
                <c:pt idx="43">
                  <c:v>-0,128523767</c:v>
                </c:pt>
                <c:pt idx="44">
                  <c:v>0,16919199</c:v>
                </c:pt>
                <c:pt idx="45">
                  <c:v>0,100571348</c:v>
                </c:pt>
                <c:pt idx="46">
                  <c:v>0,06516641</c:v>
                </c:pt>
                <c:pt idx="47">
                  <c:v>0,04519754</c:v>
                </c:pt>
                <c:pt idx="48">
                  <c:v>0,033692086</c:v>
                </c:pt>
                <c:pt idx="49">
                  <c:v>0,008573463</c:v>
                </c:pt>
                <c:pt idx="50">
                  <c:v>0,005649314</c:v>
                </c:pt>
                <c:pt idx="51">
                  <c:v>0,003552946</c:v>
                </c:pt>
                <c:pt idx="52">
                  <c:v>0,002153191</c:v>
                </c:pt>
                <c:pt idx="53">
                  <c:v>0,001386112</c:v>
                </c:pt>
                <c:pt idx="54">
                  <c:v>-0,105135139</c:v>
                </c:pt>
                <c:pt idx="55">
                  <c:v>-0,099680933</c:v>
                </c:pt>
                <c:pt idx="56">
                  <c:v>-0,093319342</c:v>
                </c:pt>
                <c:pt idx="57">
                  <c:v>-0,086585594</c:v>
                </c:pt>
                <c:pt idx="58">
                  <c:v>-0,0796586</c:v>
                </c:pt>
                <c:pt idx="59">
                  <c:v>-0,165097934</c:v>
                </c:pt>
                <c:pt idx="60">
                  <c:v>-0,165510979</c:v>
                </c:pt>
                <c:pt idx="61">
                  <c:v>-0,161571123</c:v>
                </c:pt>
                <c:pt idx="62">
                  <c:v>-0,155872891</c:v>
                </c:pt>
                <c:pt idx="63">
                  <c:v>-0,149290271</c:v>
                </c:pt>
                <c:pt idx="64">
                  <c:v>-0,090146933</c:v>
                </c:pt>
                <c:pt idx="65">
                  <c:v>-0,116902359</c:v>
                </c:pt>
                <c:pt idx="66">
                  <c:v>-0,126695699</c:v>
                </c:pt>
                <c:pt idx="67">
                  <c:v>-0,129422975</c:v>
                </c:pt>
                <c:pt idx="68">
                  <c:v>-0,128529799</c:v>
                </c:pt>
                <c:pt idx="69">
                  <c:v>0,16919091</c:v>
                </c:pt>
                <c:pt idx="70">
                  <c:v>0,100569888</c:v>
                </c:pt>
                <c:pt idx="71">
                  <c:v>0,065164593</c:v>
                </c:pt>
                <c:pt idx="72">
                  <c:v>0,045195397</c:v>
                </c:pt>
                <c:pt idx="73">
                  <c:v>0,033689626</c:v>
                </c:pt>
                <c:pt idx="74">
                  <c:v>0,01184661</c:v>
                </c:pt>
                <c:pt idx="75">
                  <c:v>0,010289757</c:v>
                </c:pt>
                <c:pt idx="76">
                  <c:v>0,009395173</c:v>
                </c:pt>
                <c:pt idx="77">
                  <c:v>0,009043033</c:v>
                </c:pt>
                <c:pt idx="78">
                  <c:v>0,009180539</c:v>
                </c:pt>
                <c:pt idx="79">
                  <c:v>-0,104793752</c:v>
                </c:pt>
                <c:pt idx="80">
                  <c:v>-0,099173138</c:v>
                </c:pt>
                <c:pt idx="81">
                  <c:v>-0,09264889</c:v>
                </c:pt>
                <c:pt idx="82">
                  <c:v>-0,085756186</c:v>
                </c:pt>
                <c:pt idx="83">
                  <c:v>-0,078673884</c:v>
                </c:pt>
                <c:pt idx="84">
                  <c:v>-0,165079627</c:v>
                </c:pt>
                <c:pt idx="85">
                  <c:v>-0,165482471</c:v>
                </c:pt>
                <c:pt idx="86">
                  <c:v>-0,161532458</c:v>
                </c:pt>
                <c:pt idx="87">
                  <c:v>-0,155824113</c:v>
                </c:pt>
                <c:pt idx="88">
                  <c:v>-0,149231434</c:v>
                </c:pt>
                <c:pt idx="89">
                  <c:v>-0,090149227</c:v>
                </c:pt>
                <c:pt idx="90">
                  <c:v>-0,116905196</c:v>
                </c:pt>
                <c:pt idx="91">
                  <c:v>-0,126699039</c:v>
                </c:pt>
                <c:pt idx="92">
                  <c:v>-0,129426804</c:v>
                </c:pt>
                <c:pt idx="93">
                  <c:v>-0,128534108</c:v>
                </c:pt>
                <c:pt idx="94">
                  <c:v>0,169190145</c:v>
                </c:pt>
                <c:pt idx="95">
                  <c:v>0,100568843</c:v>
                </c:pt>
                <c:pt idx="96">
                  <c:v>0,065163297</c:v>
                </c:pt>
                <c:pt idx="97">
                  <c:v>0,045193866</c:v>
                </c:pt>
                <c:pt idx="98">
                  <c:v>0,033687871</c:v>
                </c:pt>
                <c:pt idx="99">
                  <c:v>0,014338897</c:v>
                </c:pt>
                <c:pt idx="100">
                  <c:v>0,013851118</c:v>
                </c:pt>
                <c:pt idx="101">
                  <c:v>0,013915188</c:v>
                </c:pt>
                <c:pt idx="102">
                  <c:v>0,014417674</c:v>
                </c:pt>
                <c:pt idx="103">
                  <c:v>0,015312118</c:v>
                </c:pt>
                <c:pt idx="104">
                  <c:v>-0,104536934</c:v>
                </c:pt>
                <c:pt idx="105">
                  <c:v>-0,098790558</c:v>
                </c:pt>
                <c:pt idx="106">
                  <c:v>-0,092142995</c:v>
                </c:pt>
                <c:pt idx="107">
                  <c:v>-0,085129395</c:v>
                </c:pt>
                <c:pt idx="108">
                  <c:v>-0,07792859</c:v>
                </c:pt>
                <c:pt idx="109">
                  <c:v>-0,165065885</c:v>
                </c:pt>
                <c:pt idx="110">
                  <c:v>-0,165461068</c:v>
                </c:pt>
                <c:pt idx="111">
                  <c:v>-0,161503415</c:v>
                </c:pt>
                <c:pt idx="112">
                  <c:v>-0,15578746</c:v>
                </c:pt>
                <c:pt idx="113">
                  <c:v>-0,149187203</c:v>
                </c:pt>
                <c:pt idx="114">
                  <c:v>-0,090150949</c:v>
                </c:pt>
                <c:pt idx="115">
                  <c:v>-0,116907323</c:v>
                </c:pt>
                <c:pt idx="116">
                  <c:v>-0,126701545</c:v>
                </c:pt>
                <c:pt idx="117">
                  <c:v>-0,129429676</c:v>
                </c:pt>
                <c:pt idx="118">
                  <c:v>-0,128537337</c:v>
                </c:pt>
                <c:pt idx="119">
                  <c:v>0,16918956</c:v>
                </c:pt>
                <c:pt idx="120">
                  <c:v>0,100568054</c:v>
                </c:pt>
                <c:pt idx="121">
                  <c:v>0,065162326</c:v>
                </c:pt>
                <c:pt idx="122">
                  <c:v>0,045192719</c:v>
                </c:pt>
                <c:pt idx="123">
                  <c:v>0,033686552</c:v>
                </c:pt>
                <c:pt idx="124">
                  <c:v>0,040006283</c:v>
                </c:pt>
                <c:pt idx="125">
                  <c:v>0,048934928</c:v>
                </c:pt>
                <c:pt idx="126">
                  <c:v>0,057551142</c:v>
                </c:pt>
                <c:pt idx="127">
                  <c:v>0,066073774</c:v>
                </c:pt>
                <c:pt idx="128">
                  <c:v>0,074558853</c:v>
                </c:pt>
                <c:pt idx="129">
                  <c:v>-0,030979732</c:v>
                </c:pt>
                <c:pt idx="130">
                  <c:v>-0,013329039</c:v>
                </c:pt>
                <c:pt idx="131">
                  <c:v>-0,000896216</c:v>
                </c:pt>
                <c:pt idx="132">
                  <c:v>0,009619278</c:v>
                </c:pt>
                <c:pt idx="133">
                  <c:v>0,019272238</c:v>
                </c:pt>
                <c:pt idx="134">
                  <c:v>-0,124237748</c:v>
                </c:pt>
                <c:pt idx="135">
                  <c:v>-0,098388085</c:v>
                </c:pt>
                <c:pt idx="136">
                  <c:v>-0,074876122</c:v>
                </c:pt>
                <c:pt idx="137">
                  <c:v>-0,054746499</c:v>
                </c:pt>
                <c:pt idx="138">
                  <c:v>-0,037363202</c:v>
                </c:pt>
                <c:pt idx="139">
                  <c:v>-0,067758361</c:v>
                </c:pt>
                <c:pt idx="140">
                  <c:v>-0,087147385</c:v>
                </c:pt>
                <c:pt idx="141">
                  <c:v>-0,089655667</c:v>
                </c:pt>
                <c:pt idx="142">
                  <c:v>-0,085259749</c:v>
                </c:pt>
                <c:pt idx="143">
                  <c:v>-0,077486794</c:v>
                </c:pt>
                <c:pt idx="144">
                  <c:v>0,175589205</c:v>
                </c:pt>
                <c:pt idx="145">
                  <c:v>0,109220296</c:v>
                </c:pt>
                <c:pt idx="146">
                  <c:v>0,075825008</c:v>
                </c:pt>
                <c:pt idx="147">
                  <c:v>0,057719123</c:v>
                </c:pt>
                <c:pt idx="148">
                  <c:v>0,04797627</c:v>
                </c:pt>
                <c:pt idx="149">
                  <c:v>0,032725105</c:v>
                </c:pt>
                <c:pt idx="150">
                  <c:v>0,041861698</c:v>
                </c:pt>
                <c:pt idx="151">
                  <c:v>0,050554707</c:v>
                </c:pt>
                <c:pt idx="152">
                  <c:v>0,059113881</c:v>
                </c:pt>
                <c:pt idx="153">
                  <c:v>0,067619166</c:v>
                </c:pt>
                <c:pt idx="154">
                  <c:v>-0,043185022</c:v>
                </c:pt>
                <c:pt idx="155">
                  <c:v>-0,023019572</c:v>
                </c:pt>
                <c:pt idx="156">
                  <c:v>-0,009306976</c:v>
                </c:pt>
                <c:pt idx="157">
                  <c:v>0,0019312</c:v>
                </c:pt>
                <c:pt idx="158">
                  <c:v>0,012028609</c:v>
                </c:pt>
                <c:pt idx="159">
                  <c:v>-0,137718137</c:v>
                </c:pt>
                <c:pt idx="160">
                  <c:v>-0,114120853</c:v>
                </c:pt>
                <c:pt idx="161">
                  <c:v>-0,090868351</c:v>
                </c:pt>
                <c:pt idx="162">
                  <c:v>-0,070184937</c:v>
                </c:pt>
                <c:pt idx="163">
                  <c:v>-0,051965056</c:v>
                </c:pt>
                <c:pt idx="164">
                  <c:v>-0,071799625</c:v>
                </c:pt>
                <c:pt idx="165">
                  <c:v>-0,092585925</c:v>
                </c:pt>
                <c:pt idx="166">
                  <c:v>-0,096394212</c:v>
                </c:pt>
                <c:pt idx="167">
                  <c:v>-0,093170301</c:v>
                </c:pt>
                <c:pt idx="168">
                  <c:v>-0,086428182</c:v>
                </c:pt>
                <c:pt idx="169">
                  <c:v>0,174530299</c:v>
                </c:pt>
                <c:pt idx="170">
                  <c:v>0,107794646</c:v>
                </c:pt>
                <c:pt idx="171">
                  <c:v>0,074076092</c:v>
                </c:pt>
                <c:pt idx="172">
                  <c:v>0,055674509</c:v>
                </c:pt>
                <c:pt idx="173">
                  <c:v>0,045655775</c:v>
                </c:pt>
                <c:pt idx="174">
                  <c:v>0,027312519</c:v>
                </c:pt>
                <c:pt idx="175">
                  <c:v>0,036688116</c:v>
                </c:pt>
                <c:pt idx="176">
                  <c:v>0,045470296</c:v>
                </c:pt>
                <c:pt idx="177">
                  <c:v>0,054072126</c:v>
                </c:pt>
                <c:pt idx="178">
                  <c:v>0,062601072</c:v>
                </c:pt>
                <c:pt idx="179">
                  <c:v>-0,053834887</c:v>
                </c:pt>
                <c:pt idx="180">
                  <c:v>-0,031283102</c:v>
                </c:pt>
                <c:pt idx="181">
                  <c:v>-0,016270647</c:v>
                </c:pt>
                <c:pt idx="182">
                  <c:v>-0,004271827</c:v>
                </c:pt>
                <c:pt idx="183">
                  <c:v>0,006303872</c:v>
                </c:pt>
                <c:pt idx="184">
                  <c:v>-0,147467714</c:v>
                </c:pt>
                <c:pt idx="185">
                  <c:v>-0,126360179</c:v>
                </c:pt>
                <c:pt idx="186">
                  <c:v>-0,103881304</c:v>
                </c:pt>
                <c:pt idx="187">
                  <c:v>-0,083122132</c:v>
                </c:pt>
                <c:pt idx="188">
                  <c:v>-0,064443378</c:v>
                </c:pt>
                <c:pt idx="189">
                  <c:v>-0,074633436</c:v>
                </c:pt>
                <c:pt idx="190">
                  <c:v>-0,096410654</c:v>
                </c:pt>
                <c:pt idx="191">
                  <c:v>-0,101171366</c:v>
                </c:pt>
                <c:pt idx="192">
                  <c:v>-0,098837489</c:v>
                </c:pt>
                <c:pt idx="193">
                  <c:v>-0,092908051</c:v>
                </c:pt>
                <c:pt idx="194">
                  <c:v>0,173771886</c:v>
                </c:pt>
                <c:pt idx="195">
                  <c:v>0,1067721</c:v>
                </c:pt>
                <c:pt idx="196">
                  <c:v>0,072819726</c:v>
                </c:pt>
                <c:pt idx="197">
                  <c:v>0,054203274</c:v>
                </c:pt>
                <c:pt idx="198">
                  <c:v>0,043983109</c:v>
                </c:pt>
                <c:pt idx="199">
                  <c:v>0,023059754</c:v>
                </c:pt>
                <c:pt idx="200">
                  <c:v>0,032703153</c:v>
                </c:pt>
                <c:pt idx="201">
                  <c:v>0,041586272</c:v>
                </c:pt>
                <c:pt idx="202">
                  <c:v>0,050236685</c:v>
                </c:pt>
                <c:pt idx="203">
                  <c:v>0,058792626</c:v>
                </c:pt>
                <c:pt idx="204">
                  <c:v>-0,06341105</c:v>
                </c:pt>
                <c:pt idx="205">
                  <c:v>-0,038655087</c:v>
                </c:pt>
                <c:pt idx="206">
                  <c:v>-0,022355374</c:v>
                </c:pt>
                <c:pt idx="207">
                  <c:v>-0,00957579</c:v>
                </c:pt>
                <c:pt idx="208">
                  <c:v>0,001501872</c:v>
                </c:pt>
                <c:pt idx="209">
                  <c:v>-0,154665917</c:v>
                </c:pt>
                <c:pt idx="210">
                  <c:v>-0,136027755</c:v>
                </c:pt>
                <c:pt idx="211">
                  <c:v>-0,114608297</c:v>
                </c:pt>
                <c:pt idx="212">
                  <c:v>-0,094102711</c:v>
                </c:pt>
                <c:pt idx="213">
                  <c:v>-0,075255652</c:v>
                </c:pt>
                <c:pt idx="214">
                  <c:v>-0,076724432</c:v>
                </c:pt>
                <c:pt idx="215">
                  <c:v>-0,099233745</c:v>
                </c:pt>
                <c:pt idx="216">
                  <c:v>-0,104713933</c:v>
                </c:pt>
                <c:pt idx="217">
                  <c:v>-0,103069739</c:v>
                </c:pt>
                <c:pt idx="218">
                  <c:v>-0,097787191</c:v>
                </c:pt>
                <c:pt idx="219">
                  <c:v>0,173201959</c:v>
                </c:pt>
                <c:pt idx="220">
                  <c:v>0,106002879</c:v>
                </c:pt>
                <c:pt idx="221">
                  <c:v>0,071873535</c:v>
                </c:pt>
                <c:pt idx="222">
                  <c:v>0,05309392</c:v>
                </c:pt>
                <c:pt idx="223">
                  <c:v>0,04272026</c:v>
                </c:pt>
                <c:pt idx="224">
                  <c:v>0,080877283</c:v>
                </c:pt>
                <c:pt idx="225">
                  <c:v>0,089437574</c:v>
                </c:pt>
                <c:pt idx="226">
                  <c:v>0,097919969</c:v>
                </c:pt>
                <c:pt idx="227">
                  <c:v>0,106379439</c:v>
                </c:pt>
                <c:pt idx="228">
                  <c:v>0,114829805</c:v>
                </c:pt>
                <c:pt idx="229">
                  <c:v>0,017445587</c:v>
                </c:pt>
                <c:pt idx="230">
                  <c:v>0,028952597</c:v>
                </c:pt>
                <c:pt idx="231">
                  <c:v>0,03859672</c:v>
                </c:pt>
                <c:pt idx="232">
                  <c:v>0,047629077</c:v>
                </c:pt>
                <c:pt idx="233">
                  <c:v>0,056403194</c:v>
                </c:pt>
                <c:pt idx="234">
                  <c:v>-0,057023091</c:v>
                </c:pt>
                <c:pt idx="235">
                  <c:v>-0,031034819</c:v>
                </c:pt>
                <c:pt idx="236">
                  <c:v>-0,011676383</c:v>
                </c:pt>
                <c:pt idx="237">
                  <c:v>0,003754046</c:v>
                </c:pt>
                <c:pt idx="238">
                  <c:v>0,01688323</c:v>
                </c:pt>
                <c:pt idx="239">
                  <c:v>-0,042568869</c:v>
                </c:pt>
                <c:pt idx="240">
                  <c:v>-0,054200212</c:v>
                </c:pt>
                <c:pt idx="241">
                  <c:v>-0,050416631</c:v>
                </c:pt>
                <c:pt idx="242">
                  <c:v>-0,041097517</c:v>
                </c:pt>
                <c:pt idx="243">
                  <c:v>-0,029582197</c:v>
                </c:pt>
                <c:pt idx="244">
                  <c:v>0,181872992</c:v>
                </c:pt>
                <c:pt idx="245">
                  <c:v>0,117630896</c:v>
                </c:pt>
                <c:pt idx="246">
                  <c:v>0,086077261</c:v>
                </c:pt>
                <c:pt idx="247">
                  <c:v>0,069624165</c:v>
                </c:pt>
                <c:pt idx="248">
                  <c:v>0,061392879</c:v>
                </c:pt>
                <c:pt idx="249">
                  <c:v>0,067583236</c:v>
                </c:pt>
                <c:pt idx="250">
                  <c:v>0,076198655</c:v>
                </c:pt>
                <c:pt idx="251">
                  <c:v>0,084700845</c:v>
                </c:pt>
                <c:pt idx="252">
                  <c:v>0,093169607</c:v>
                </c:pt>
                <c:pt idx="253">
                  <c:v>0,10162507</c:v>
                </c:pt>
                <c:pt idx="254">
                  <c:v>0,003681107</c:v>
                </c:pt>
                <c:pt idx="255">
                  <c:v>0,016319106</c:v>
                </c:pt>
                <c:pt idx="256">
                  <c:v>0,026441827</c:v>
                </c:pt>
                <c:pt idx="257">
                  <c:v>0,035719155</c:v>
                </c:pt>
                <c:pt idx="258">
                  <c:v>0,044634958</c:v>
                </c:pt>
                <c:pt idx="259">
                  <c:v>-0,076718839</c:v>
                </c:pt>
                <c:pt idx="260">
                  <c:v>-0,049539056</c:v>
                </c:pt>
                <c:pt idx="261">
                  <c:v>-0,028551686</c:v>
                </c:pt>
                <c:pt idx="262">
                  <c:v>-0,011719156</c:v>
                </c:pt>
                <c:pt idx="263">
                  <c:v>0,002521388</c:v>
                </c:pt>
                <c:pt idx="264">
                  <c:v>-0,051059251</c:v>
                </c:pt>
                <c:pt idx="265">
                  <c:v>-0,065091427</c:v>
                </c:pt>
                <c:pt idx="266">
                  <c:v>-0,063086979</c:v>
                </c:pt>
                <c:pt idx="267">
                  <c:v>-0,055024168</c:v>
                </c:pt>
                <c:pt idx="268">
                  <c:v>-0,044354142</c:v>
                </c:pt>
                <c:pt idx="269">
                  <c:v>0,179791619</c:v>
                </c:pt>
                <c:pt idx="270">
                  <c:v>0,114854476</c:v>
                </c:pt>
                <c:pt idx="271">
                  <c:v>0,082705316</c:v>
                </c:pt>
                <c:pt idx="272">
                  <c:v>0,065723884</c:v>
                </c:pt>
                <c:pt idx="273">
                  <c:v>0,057015271</c:v>
                </c:pt>
                <c:pt idx="274">
                  <c:v>0,057920794</c:v>
                </c:pt>
                <c:pt idx="275">
                  <c:v>0,066600917</c:v>
                </c:pt>
                <c:pt idx="276">
                  <c:v>0,075126477</c:v>
                </c:pt>
                <c:pt idx="277">
                  <c:v>0,083606233</c:v>
                </c:pt>
                <c:pt idx="278">
                  <c:v>0,092067714</c:v>
                </c:pt>
                <c:pt idx="279">
                  <c:v>-0,007165612</c:v>
                </c:pt>
                <c:pt idx="280">
                  <c:v>0,006678051</c:v>
                </c:pt>
                <c:pt idx="281">
                  <c:v>0,017328391</c:v>
                </c:pt>
                <c:pt idx="282">
                  <c:v>0,026880669</c:v>
                </c:pt>
                <c:pt idx="283">
                  <c:v>0,035957273</c:v>
                </c:pt>
                <c:pt idx="284">
                  <c:v>-0,092375187</c:v>
                </c:pt>
                <c:pt idx="285">
                  <c:v>-0,064812743</c:v>
                </c:pt>
                <c:pt idx="286">
                  <c:v>-0,042661607</c:v>
                </c:pt>
                <c:pt idx="287">
                  <c:v>-0,02467129</c:v>
                </c:pt>
                <c:pt idx="288">
                  <c:v>-0,009444325</c:v>
                </c:pt>
                <c:pt idx="289">
                  <c:v>-0,057089519</c:v>
                </c:pt>
                <c:pt idx="290">
                  <c:v>-0,072964158</c:v>
                </c:pt>
                <c:pt idx="291">
                  <c:v>-0,072427527</c:v>
                </c:pt>
                <c:pt idx="292">
                  <c:v>-0,065486038</c:v>
                </c:pt>
                <c:pt idx="293">
                  <c:v>-0,055642603</c:v>
                </c:pt>
                <c:pt idx="294">
                  <c:v>0,178296847</c:v>
                </c:pt>
                <c:pt idx="295">
                  <c:v>0,112854781</c:v>
                </c:pt>
                <c:pt idx="296">
                  <c:v>0,080269104</c:v>
                </c:pt>
                <c:pt idx="297">
                  <c:v>0,062896629</c:v>
                </c:pt>
                <c:pt idx="298">
                  <c:v>0,053831102</c:v>
                </c:pt>
                <c:pt idx="299">
                  <c:v>0,050556654</c:v>
                </c:pt>
                <c:pt idx="300">
                  <c:v>0,059310762</c:v>
                </c:pt>
                <c:pt idx="301">
                  <c:v>0,067863163</c:v>
                </c:pt>
                <c:pt idx="302">
                  <c:v>0,076355571</c:v>
                </c:pt>
                <c:pt idx="303">
                  <c:v>0,084824011</c:v>
                </c:pt>
                <c:pt idx="304">
                  <c:v>-0,0161939</c:v>
                </c:pt>
                <c:pt idx="305">
                  <c:v>-0,001098185</c:v>
                </c:pt>
                <c:pt idx="306">
                  <c:v>0,010118723</c:v>
                </c:pt>
                <c:pt idx="307">
                  <c:v>0,019971565</c:v>
                </c:pt>
                <c:pt idx="308">
                  <c:v>0,029225933</c:v>
                </c:pt>
                <c:pt idx="309">
                  <c:v>-0,105079013</c:v>
                </c:pt>
                <c:pt idx="310">
                  <c:v>-0,077720785</c:v>
                </c:pt>
                <c:pt idx="311">
                  <c:v>-0,054806026</c:v>
                </c:pt>
                <c:pt idx="312">
                  <c:v>-0,035894472</c:v>
                </c:pt>
                <c:pt idx="313">
                  <c:v>-0,019816451</c:v>
                </c:pt>
                <c:pt idx="314">
                  <c:v>-0,061572661</c:v>
                </c:pt>
                <c:pt idx="315">
                  <c:v>-0,078887489</c:v>
                </c:pt>
                <c:pt idx="316">
                  <c:v>-0,079559746</c:v>
                </c:pt>
                <c:pt idx="317">
                  <c:v>-0,073594604</c:v>
                </c:pt>
                <c:pt idx="318">
                  <c:v>-0,064516033</c:v>
                </c:pt>
                <c:pt idx="319">
                  <c:v>0,177171333</c:v>
                </c:pt>
                <c:pt idx="320">
                  <c:v>0,111345901</c:v>
                </c:pt>
                <c:pt idx="321">
                  <c:v>0,07842665</c:v>
                </c:pt>
                <c:pt idx="322">
                  <c:v>0,060753256</c:v>
                </c:pt>
                <c:pt idx="323">
                  <c:v>0,051411042</c:v>
                </c:pt>
                <c:pt idx="324">
                  <c:v>0,119537089</c:v>
                </c:pt>
                <c:pt idx="325">
                  <c:v>0,12802771</c:v>
                </c:pt>
                <c:pt idx="326">
                  <c:v>0,136485227</c:v>
                </c:pt>
                <c:pt idx="327">
                  <c:v>0,144933065</c:v>
                </c:pt>
                <c:pt idx="328">
                  <c:v>0,153377062</c:v>
                </c:pt>
                <c:pt idx="329">
                  <c:v>0,053951235</c:v>
                </c:pt>
                <c:pt idx="330">
                  <c:v>0,063835805</c:v>
                </c:pt>
                <c:pt idx="331">
                  <c:v>0,072822975</c:v>
                </c:pt>
                <c:pt idx="332">
                  <c:v>0,081526839</c:v>
                </c:pt>
                <c:pt idx="333">
                  <c:v>0,09011371</c:v>
                </c:pt>
                <c:pt idx="334">
                  <c:v>-0,009333441</c:v>
                </c:pt>
                <c:pt idx="335">
                  <c:v>0,012187761</c:v>
                </c:pt>
                <c:pt idx="336">
                  <c:v>0,027719016</c:v>
                </c:pt>
                <c:pt idx="337">
                  <c:v>0,040341656</c:v>
                </c:pt>
                <c:pt idx="338">
                  <c:v>0,051435925</c:v>
                </c:pt>
                <c:pt idx="339">
                  <c:v>-0,017286041</c:v>
                </c:pt>
                <c:pt idx="340">
                  <c:v>-0,023071806</c:v>
                </c:pt>
                <c:pt idx="341">
                  <c:v>-0,015620941</c:v>
                </c:pt>
                <c:pt idx="342">
                  <c:v>-0,004171213</c:v>
                </c:pt>
                <c:pt idx="343">
                  <c:v>0,008434106</c:v>
                </c:pt>
                <c:pt idx="344">
                  <c:v>0,188038636</c:v>
                </c:pt>
                <c:pt idx="345">
                  <c:v>0,125800547</c:v>
                </c:pt>
                <c:pt idx="346">
                  <c:v>0,095928069</c:v>
                </c:pt>
                <c:pt idx="347">
                  <c:v>0,080932815</c:v>
                </c:pt>
                <c:pt idx="348">
                  <c:v>0,073987375</c:v>
                </c:pt>
                <c:pt idx="349">
                  <c:v>0,100411502</c:v>
                </c:pt>
                <c:pt idx="350">
                  <c:v>0,10892659</c:v>
                </c:pt>
                <c:pt idx="351">
                  <c:v>0,117392823</c:v>
                </c:pt>
                <c:pt idx="352">
                  <c:v>0,125844733</c:v>
                </c:pt>
                <c:pt idx="353">
                  <c:v>0,134290952</c:v>
                </c:pt>
                <c:pt idx="354">
                  <c:v>0,036312082</c:v>
                </c:pt>
                <c:pt idx="355">
                  <c:v>0,046797162</c:v>
                </c:pt>
                <c:pt idx="356">
                  <c:v>0,05602315</c:v>
                </c:pt>
                <c:pt idx="357">
                  <c:v>0,064845282</c:v>
                </c:pt>
                <c:pt idx="358">
                  <c:v>0,073499164</c:v>
                </c:pt>
                <c:pt idx="359">
                  <c:v>-0,031417906</c:v>
                </c:pt>
                <c:pt idx="360">
                  <c:v>-0,007685275</c:v>
                </c:pt>
                <c:pt idx="361">
                  <c:v>0,009539039</c:v>
                </c:pt>
                <c:pt idx="362">
                  <c:v>0,023341425</c:v>
                </c:pt>
                <c:pt idx="363">
                  <c:v>0,035264035</c:v>
                </c:pt>
                <c:pt idx="364">
                  <c:v>-0,02985246</c:v>
                </c:pt>
                <c:pt idx="365">
                  <c:v>-0,038308724</c:v>
                </c:pt>
                <c:pt idx="366">
                  <c:v>-0,032410986</c:v>
                </c:pt>
                <c:pt idx="367">
                  <c:v>-0,021772138</c:v>
                </c:pt>
                <c:pt idx="368">
                  <c:v>-0,009502669</c:v>
                </c:pt>
                <c:pt idx="369">
                  <c:v>0,184970454</c:v>
                </c:pt>
                <c:pt idx="370">
                  <c:v>0,121745391</c:v>
                </c:pt>
                <c:pt idx="371">
                  <c:v>0,091051705</c:v>
                </c:pt>
                <c:pt idx="372">
                  <c:v>0,075350689</c:v>
                </c:pt>
                <c:pt idx="373">
                  <c:v>0,067788688</c:v>
                </c:pt>
                <c:pt idx="374">
                  <c:v>0,086504445</c:v>
                </c:pt>
                <c:pt idx="375">
                  <c:v>0,095048551</c:v>
                </c:pt>
                <c:pt idx="376">
                  <c:v>0,103525152</c:v>
                </c:pt>
                <c:pt idx="377">
                  <c:v>0,111981911</c:v>
                </c:pt>
                <c:pt idx="378">
                  <c:v>0,120430792</c:v>
                </c:pt>
                <c:pt idx="379">
                  <c:v>0,023006781</c:v>
                </c:pt>
                <c:pt idx="380">
                  <c:v>0,034159143</c:v>
                </c:pt>
                <c:pt idx="381">
                  <c:v>0,043656561</c:v>
                </c:pt>
                <c:pt idx="382">
                  <c:v>0,052614731</c:v>
                </c:pt>
                <c:pt idx="383">
                  <c:v>0,061346261</c:v>
                </c:pt>
                <c:pt idx="384">
                  <c:v>-0,04927428</c:v>
                </c:pt>
                <c:pt idx="385">
                  <c:v>-0,023906847</c:v>
                </c:pt>
                <c:pt idx="386">
                  <c:v>-0,005203092</c:v>
                </c:pt>
                <c:pt idx="387">
                  <c:v>0,009707705</c:v>
                </c:pt>
                <c:pt idx="388">
                  <c:v>0,022443026</c:v>
                </c:pt>
                <c:pt idx="389">
                  <c:v>-0,038927623</c:v>
                </c:pt>
                <c:pt idx="390">
                  <c:v>-0,049598962</c:v>
                </c:pt>
                <c:pt idx="391">
                  <c:v>-0,04514693</c:v>
                </c:pt>
                <c:pt idx="392">
                  <c:v>-0,035388211</c:v>
                </c:pt>
                <c:pt idx="393">
                  <c:v>-0,023602846</c:v>
                </c:pt>
                <c:pt idx="394">
                  <c:v>0,182760988</c:v>
                </c:pt>
                <c:pt idx="395">
                  <c:v>0,118812579</c:v>
                </c:pt>
                <c:pt idx="396">
                  <c:v>0,087508678</c:v>
                </c:pt>
                <c:pt idx="397">
                  <c:v>0,071275332</c:v>
                </c:pt>
                <c:pt idx="398">
                  <c:v>0,063240868</c:v>
                </c:pt>
                <c:pt idx="399">
                  <c:v>0,075920354</c:v>
                </c:pt>
              </c:strCache>
            </c:strRef>
          </c:xVal>
          <c:yVal>
            <c:numRef>
              <c:f>DATA!$H$2:$H$401</c:f>
              <c:numCache>
                <c:formatCode>0.00</c:formatCode>
                <c:ptCount val="400"/>
                <c:pt idx="0">
                  <c:v>8.2991007410791298</c:v>
                </c:pt>
                <c:pt idx="1">
                  <c:v>8.2859315845766197</c:v>
                </c:pt>
                <c:pt idx="2">
                  <c:v>8.2738542165808706</c:v>
                </c:pt>
                <c:pt idx="3">
                  <c:v>8.2627154071258992</c:v>
                </c:pt>
                <c:pt idx="4">
                  <c:v>8.2524298771403402</c:v>
                </c:pt>
                <c:pt idx="5">
                  <c:v>8.8157547479129708</c:v>
                </c:pt>
                <c:pt idx="6">
                  <c:v>8.8125390136043098</c:v>
                </c:pt>
                <c:pt idx="7">
                  <c:v>8.8102368361469505</c:v>
                </c:pt>
                <c:pt idx="8">
                  <c:v>8.8083128879433605</c:v>
                </c:pt>
                <c:pt idx="9">
                  <c:v>8.8065881572120297</c:v>
                </c:pt>
                <c:pt idx="10">
                  <c:v>9.3825930368238009</c:v>
                </c:pt>
                <c:pt idx="11">
                  <c:v>9.3737263464155305</c:v>
                </c:pt>
                <c:pt idx="12">
                  <c:v>9.3692126204675308</c:v>
                </c:pt>
                <c:pt idx="13">
                  <c:v>9.3664573576978203</c:v>
                </c:pt>
                <c:pt idx="14">
                  <c:v>9.3645865658528695</c:v>
                </c:pt>
                <c:pt idx="15">
                  <c:v>10.0839235849561</c:v>
                </c:pt>
                <c:pt idx="16">
                  <c:v>10.048729510764799</c:v>
                </c:pt>
                <c:pt idx="17">
                  <c:v>10.030497471353399</c:v>
                </c:pt>
                <c:pt idx="18">
                  <c:v>10.0193314719331</c:v>
                </c:pt>
                <c:pt idx="19">
                  <c:v>10.011785912174901</c:v>
                </c:pt>
                <c:pt idx="20">
                  <c:v>10.9696100239698</c:v>
                </c:pt>
                <c:pt idx="21">
                  <c:v>10.8925499759108</c:v>
                </c:pt>
                <c:pt idx="22">
                  <c:v>10.8487056309111</c:v>
                </c:pt>
                <c:pt idx="23">
                  <c:v>10.8202973551924</c:v>
                </c:pt>
                <c:pt idx="24">
                  <c:v>10.8003524949671</c:v>
                </c:pt>
                <c:pt idx="25">
                  <c:v>8.3035885766609994</c:v>
                </c:pt>
                <c:pt idx="26">
                  <c:v>8.2922250207427606</c:v>
                </c:pt>
                <c:pt idx="27">
                  <c:v>8.2816892471972601</c:v>
                </c:pt>
                <c:pt idx="28">
                  <c:v>8.2718500856925097</c:v>
                </c:pt>
                <c:pt idx="29">
                  <c:v>8.2626436004908008</c:v>
                </c:pt>
                <c:pt idx="30">
                  <c:v>8.8162307040673298</c:v>
                </c:pt>
                <c:pt idx="31">
                  <c:v>8.8132455044184095</c:v>
                </c:pt>
                <c:pt idx="32">
                  <c:v>8.8111676895269309</c:v>
                </c:pt>
                <c:pt idx="33">
                  <c:v>8.8094620313428198</c:v>
                </c:pt>
                <c:pt idx="34">
                  <c:v>8.8079496191764299</c:v>
                </c:pt>
                <c:pt idx="35">
                  <c:v>9.3826186394162896</c:v>
                </c:pt>
                <c:pt idx="36">
                  <c:v>9.3737661880426408</c:v>
                </c:pt>
                <c:pt idx="37">
                  <c:v>9.3692666382451097</c:v>
                </c:pt>
                <c:pt idx="38">
                  <c:v>9.3665254637754298</c:v>
                </c:pt>
                <c:pt idx="39">
                  <c:v>9.3646686778405392</c:v>
                </c:pt>
                <c:pt idx="40">
                  <c:v>10.0839203703474</c:v>
                </c:pt>
                <c:pt idx="41">
                  <c:v>10.0487255385759</c:v>
                </c:pt>
                <c:pt idx="42">
                  <c:v>10.030492792726101</c:v>
                </c:pt>
                <c:pt idx="43">
                  <c:v>10.0193261105081</c:v>
                </c:pt>
                <c:pt idx="44">
                  <c:v>10.0117798795607</c:v>
                </c:pt>
                <c:pt idx="45">
                  <c:v>10.969608943865</c:v>
                </c:pt>
                <c:pt idx="46">
                  <c:v>10.892548515259501</c:v>
                </c:pt>
                <c:pt idx="47">
                  <c:v>10.848703814531699</c:v>
                </c:pt>
                <c:pt idx="48">
                  <c:v>10.8202952124237</c:v>
                </c:pt>
                <c:pt idx="49">
                  <c:v>10.800350034637599</c:v>
                </c:pt>
                <c:pt idx="50">
                  <c:v>8.3068617237215605</c:v>
                </c:pt>
                <c:pt idx="51">
                  <c:v>8.2968654643970705</c:v>
                </c:pt>
                <c:pt idx="52">
                  <c:v>8.2875314738090697</c:v>
                </c:pt>
                <c:pt idx="53">
                  <c:v>8.2787399273774795</c:v>
                </c:pt>
                <c:pt idx="54">
                  <c:v>8.2704380278293108</c:v>
                </c:pt>
                <c:pt idx="55">
                  <c:v>8.8165720911846499</c:v>
                </c:pt>
                <c:pt idx="56">
                  <c:v>8.8137532989023608</c:v>
                </c:pt>
                <c:pt idx="57">
                  <c:v>8.8118381408650599</c:v>
                </c:pt>
                <c:pt idx="58">
                  <c:v>8.8102914393425191</c:v>
                </c:pt>
                <c:pt idx="59">
                  <c:v>8.8089343349884395</c:v>
                </c:pt>
                <c:pt idx="60">
                  <c:v>9.3826369462569392</c:v>
                </c:pt>
                <c:pt idx="61">
                  <c:v>9.3737946959175495</c:v>
                </c:pt>
                <c:pt idx="62">
                  <c:v>9.3693053034870903</c:v>
                </c:pt>
                <c:pt idx="63">
                  <c:v>9.3665742422332805</c:v>
                </c:pt>
                <c:pt idx="64">
                  <c:v>9.3647275148251801</c:v>
                </c:pt>
                <c:pt idx="65">
                  <c:v>10.083918076483</c:v>
                </c:pt>
                <c:pt idx="66">
                  <c:v>10.0487227017979</c:v>
                </c:pt>
                <c:pt idx="67">
                  <c:v>10.030489452212301</c:v>
                </c:pt>
                <c:pt idx="68">
                  <c:v>10.019322281020299</c:v>
                </c:pt>
                <c:pt idx="69">
                  <c:v>10.011775571389601</c:v>
                </c:pt>
                <c:pt idx="70">
                  <c:v>10.969608178284</c:v>
                </c:pt>
                <c:pt idx="71">
                  <c:v>10.892547470541601</c:v>
                </c:pt>
                <c:pt idx="72">
                  <c:v>10.8487025187365</c:v>
                </c:pt>
                <c:pt idx="73">
                  <c:v>10.820293680826699</c:v>
                </c:pt>
                <c:pt idx="74">
                  <c:v>10.800348279978101</c:v>
                </c:pt>
                <c:pt idx="75">
                  <c:v>8.3093540102528198</c:v>
                </c:pt>
                <c:pt idx="76">
                  <c:v>8.3004268256110301</c:v>
                </c:pt>
                <c:pt idx="77">
                  <c:v>8.2920514885820698</c:v>
                </c:pt>
                <c:pt idx="78">
                  <c:v>8.2841145685042097</c:v>
                </c:pt>
                <c:pt idx="79">
                  <c:v>8.27656960692903</c:v>
                </c:pt>
                <c:pt idx="80">
                  <c:v>8.8168289097490593</c:v>
                </c:pt>
                <c:pt idx="81">
                  <c:v>8.8141358797238798</c:v>
                </c:pt>
                <c:pt idx="82">
                  <c:v>8.8123440363256105</c:v>
                </c:pt>
                <c:pt idx="83">
                  <c:v>8.8109182294554191</c:v>
                </c:pt>
                <c:pt idx="84">
                  <c:v>8.8096796287888406</c:v>
                </c:pt>
                <c:pt idx="85">
                  <c:v>9.3826506888415402</c:v>
                </c:pt>
                <c:pt idx="86">
                  <c:v>9.3738160989262003</c:v>
                </c:pt>
                <c:pt idx="87">
                  <c:v>9.3693343457981708</c:v>
                </c:pt>
                <c:pt idx="88">
                  <c:v>9.3666108950774891</c:v>
                </c:pt>
                <c:pt idx="89">
                  <c:v>9.3647717454527406</c:v>
                </c:pt>
                <c:pt idx="90">
                  <c:v>10.0839163543975</c:v>
                </c:pt>
                <c:pt idx="91">
                  <c:v>10.048720574227801</c:v>
                </c:pt>
                <c:pt idx="92">
                  <c:v>10.030486946188701</c:v>
                </c:pt>
                <c:pt idx="93">
                  <c:v>10.0193194095612</c:v>
                </c:pt>
                <c:pt idx="94">
                  <c:v>10.011772341548401</c:v>
                </c:pt>
                <c:pt idx="95">
                  <c:v>10.969607593453301</c:v>
                </c:pt>
                <c:pt idx="96">
                  <c:v>10.892546681241001</c:v>
                </c:pt>
                <c:pt idx="97">
                  <c:v>10.848701547281699</c:v>
                </c:pt>
                <c:pt idx="98">
                  <c:v>10.820292533858</c:v>
                </c:pt>
                <c:pt idx="99">
                  <c:v>10.800346961288801</c:v>
                </c:pt>
                <c:pt idx="100">
                  <c:v>8.3350213960224906</c:v>
                </c:pt>
                <c:pt idx="101">
                  <c:v>8.3355106350361101</c:v>
                </c:pt>
                <c:pt idx="102">
                  <c:v>8.3356874432873997</c:v>
                </c:pt>
                <c:pt idx="103">
                  <c:v>8.3357706692749201</c:v>
                </c:pt>
                <c:pt idx="104">
                  <c:v>8.3358163414937394</c:v>
                </c:pt>
                <c:pt idx="105">
                  <c:v>8.8903861115660394</c:v>
                </c:pt>
                <c:pt idx="106">
                  <c:v>8.8995973980208092</c:v>
                </c:pt>
                <c:pt idx="107">
                  <c:v>8.90359081521086</c:v>
                </c:pt>
                <c:pt idx="108">
                  <c:v>8.90566690299862</c:v>
                </c:pt>
                <c:pt idx="109">
                  <c:v>8.9068804564785093</c:v>
                </c:pt>
                <c:pt idx="110">
                  <c:v>9.4234788253436896</c:v>
                </c:pt>
                <c:pt idx="111">
                  <c:v>9.4408890819687699</c:v>
                </c:pt>
                <c:pt idx="112">
                  <c:v>9.4559616393576995</c:v>
                </c:pt>
                <c:pt idx="113">
                  <c:v>9.4676518560102991</c:v>
                </c:pt>
                <c:pt idx="114">
                  <c:v>9.4765957471482203</c:v>
                </c:pt>
                <c:pt idx="115">
                  <c:v>10.1063089431086</c:v>
                </c:pt>
                <c:pt idx="116">
                  <c:v>10.078480512380001</c:v>
                </c:pt>
                <c:pt idx="117">
                  <c:v>10.0675328239486</c:v>
                </c:pt>
                <c:pt idx="118">
                  <c:v>10.0634893356474</c:v>
                </c:pt>
                <c:pt idx="119">
                  <c:v>10.0628228844914</c:v>
                </c:pt>
                <c:pt idx="120">
                  <c:v>10.976007238402699</c:v>
                </c:pt>
                <c:pt idx="121">
                  <c:v>10.9011989231425</c:v>
                </c:pt>
                <c:pt idx="122">
                  <c:v>10.8593642291554</c:v>
                </c:pt>
                <c:pt idx="123">
                  <c:v>10.832818938018599</c:v>
                </c:pt>
                <c:pt idx="124">
                  <c:v>10.814636678560699</c:v>
                </c:pt>
                <c:pt idx="125">
                  <c:v>8.3277402180713604</c:v>
                </c:pt>
                <c:pt idx="126">
                  <c:v>8.3284374049041201</c:v>
                </c:pt>
                <c:pt idx="127">
                  <c:v>8.3286910079916492</c:v>
                </c:pt>
                <c:pt idx="128">
                  <c:v>8.3288107760319399</c:v>
                </c:pt>
                <c:pt idx="129">
                  <c:v>8.3288766550147102</c:v>
                </c:pt>
                <c:pt idx="130">
                  <c:v>8.8781808217399494</c:v>
                </c:pt>
                <c:pt idx="131">
                  <c:v>8.88990686508685</c:v>
                </c:pt>
                <c:pt idx="132">
                  <c:v>8.8951800547852997</c:v>
                </c:pt>
                <c:pt idx="133">
                  <c:v>8.8979788250137002</c:v>
                </c:pt>
                <c:pt idx="134">
                  <c:v>8.8996368278244606</c:v>
                </c:pt>
                <c:pt idx="135">
                  <c:v>9.4099984365259406</c:v>
                </c:pt>
                <c:pt idx="136">
                  <c:v>9.4251563146071593</c:v>
                </c:pt>
                <c:pt idx="137">
                  <c:v>9.4399694103910292</c:v>
                </c:pt>
                <c:pt idx="138">
                  <c:v>9.4522134176573704</c:v>
                </c:pt>
                <c:pt idx="139">
                  <c:v>9.4619938923601907</c:v>
                </c:pt>
                <c:pt idx="140">
                  <c:v>10.102267678421899</c:v>
                </c:pt>
                <c:pt idx="141">
                  <c:v>10.073041972166999</c:v>
                </c:pt>
                <c:pt idx="142">
                  <c:v>10.0607942795061</c:v>
                </c:pt>
                <c:pt idx="143">
                  <c:v>10.055578784224201</c:v>
                </c:pt>
                <c:pt idx="144">
                  <c:v>10.0538814969236</c:v>
                </c:pt>
                <c:pt idx="145">
                  <c:v>10.974948332553</c:v>
                </c:pt>
                <c:pt idx="146">
                  <c:v>10.899773273241699</c:v>
                </c:pt>
                <c:pt idx="147">
                  <c:v>10.8576153134603</c:v>
                </c:pt>
                <c:pt idx="148">
                  <c:v>10.8307743245705</c:v>
                </c:pt>
                <c:pt idx="149">
                  <c:v>10.812316183572401</c:v>
                </c:pt>
                <c:pt idx="150">
                  <c:v>8.3223276320634394</c:v>
                </c:pt>
                <c:pt idx="151">
                  <c:v>8.3232638232802998</c:v>
                </c:pt>
                <c:pt idx="152">
                  <c:v>8.3236065973099294</c:v>
                </c:pt>
                <c:pt idx="153">
                  <c:v>8.3237690207201496</c:v>
                </c:pt>
                <c:pt idx="154">
                  <c:v>8.3238585609828792</c:v>
                </c:pt>
                <c:pt idx="155">
                  <c:v>8.86753095667342</c:v>
                </c:pt>
                <c:pt idx="156">
                  <c:v>8.8816433348113293</c:v>
                </c:pt>
                <c:pt idx="157">
                  <c:v>8.8882163840791293</c:v>
                </c:pt>
                <c:pt idx="158">
                  <c:v>8.8917757983076093</c:v>
                </c:pt>
                <c:pt idx="159">
                  <c:v>8.8939120912135703</c:v>
                </c:pt>
                <c:pt idx="160">
                  <c:v>9.4002488591920592</c:v>
                </c:pt>
                <c:pt idx="161">
                  <c:v>9.4129169882723698</c:v>
                </c:pt>
                <c:pt idx="162">
                  <c:v>9.4269564571962299</c:v>
                </c:pt>
                <c:pt idx="163">
                  <c:v>9.4392762233024801</c:v>
                </c:pt>
                <c:pt idx="164">
                  <c:v>9.4495155708296608</c:v>
                </c:pt>
                <c:pt idx="165">
                  <c:v>10.099433868017501</c:v>
                </c:pt>
                <c:pt idx="166">
                  <c:v>10.069217243673</c:v>
                </c:pt>
                <c:pt idx="167">
                  <c:v>10.0560171251112</c:v>
                </c:pt>
                <c:pt idx="168">
                  <c:v>10.049911596190899</c:v>
                </c:pt>
                <c:pt idx="169">
                  <c:v>10.0474016279704</c:v>
                </c:pt>
                <c:pt idx="170">
                  <c:v>10.9741899194754</c:v>
                </c:pt>
                <c:pt idx="171">
                  <c:v>10.8987507273246</c:v>
                </c:pt>
                <c:pt idx="172">
                  <c:v>10.856358947151</c:v>
                </c:pt>
                <c:pt idx="173">
                  <c:v>10.8293030897037</c:v>
                </c:pt>
                <c:pt idx="174">
                  <c:v>10.810643518345501</c:v>
                </c:pt>
                <c:pt idx="175">
                  <c:v>8.3180748677608296</c:v>
                </c:pt>
                <c:pt idx="176">
                  <c:v>8.3192788604704493</c:v>
                </c:pt>
                <c:pt idx="177">
                  <c:v>8.3197225734445404</c:v>
                </c:pt>
                <c:pt idx="178">
                  <c:v>8.3199335796091205</c:v>
                </c:pt>
                <c:pt idx="179">
                  <c:v>8.3200501146258894</c:v>
                </c:pt>
                <c:pt idx="180">
                  <c:v>8.8579547933047902</c:v>
                </c:pt>
                <c:pt idx="181">
                  <c:v>8.8742713501680992</c:v>
                </c:pt>
                <c:pt idx="182">
                  <c:v>8.8821316569932502</c:v>
                </c:pt>
                <c:pt idx="183">
                  <c:v>8.8864718351420997</c:v>
                </c:pt>
                <c:pt idx="184">
                  <c:v>8.8891100910539205</c:v>
                </c:pt>
                <c:pt idx="185">
                  <c:v>9.3930506564090201</c:v>
                </c:pt>
                <c:pt idx="186">
                  <c:v>9.4032494125132793</c:v>
                </c:pt>
                <c:pt idx="187">
                  <c:v>9.4162294640120301</c:v>
                </c:pt>
                <c:pt idx="188">
                  <c:v>9.4282956443916799</c:v>
                </c:pt>
                <c:pt idx="189">
                  <c:v>9.4387032972700897</c:v>
                </c:pt>
                <c:pt idx="190">
                  <c:v>10.097342871903001</c:v>
                </c:pt>
                <c:pt idx="191">
                  <c:v>10.066394152279701</c:v>
                </c:pt>
                <c:pt idx="192">
                  <c:v>10.0524745586329</c:v>
                </c:pt>
                <c:pt idx="193">
                  <c:v>10.045679346560901</c:v>
                </c:pt>
                <c:pt idx="194">
                  <c:v>10.0425224880318</c:v>
                </c:pt>
                <c:pt idx="195">
                  <c:v>10.9736199930497</c:v>
                </c:pt>
                <c:pt idx="196">
                  <c:v>10.8979815067018</c:v>
                </c:pt>
                <c:pt idx="197">
                  <c:v>10.855412756426499</c:v>
                </c:pt>
                <c:pt idx="198">
                  <c:v>10.8281937350013</c:v>
                </c:pt>
                <c:pt idx="199">
                  <c:v>10.809380668814899</c:v>
                </c:pt>
                <c:pt idx="200">
                  <c:v>8.3758923961880303</c:v>
                </c:pt>
                <c:pt idx="201">
                  <c:v>8.3760132813606099</c:v>
                </c:pt>
                <c:pt idx="202">
                  <c:v>8.3760562702839305</c:v>
                </c:pt>
                <c:pt idx="203">
                  <c:v>8.3760763337585402</c:v>
                </c:pt>
                <c:pt idx="204">
                  <c:v>8.3760872941115192</c:v>
                </c:pt>
                <c:pt idx="205">
                  <c:v>8.9388114300507304</c:v>
                </c:pt>
                <c:pt idx="206">
                  <c:v>8.9418790339322598</c:v>
                </c:pt>
                <c:pt idx="207">
                  <c:v>8.9430837511973493</c:v>
                </c:pt>
                <c:pt idx="208">
                  <c:v>8.9436767023691104</c:v>
                </c:pt>
                <c:pt idx="209">
                  <c:v>8.9440114127335999</c:v>
                </c:pt>
                <c:pt idx="210">
                  <c:v>9.4906934829798608</c:v>
                </c:pt>
                <c:pt idx="211">
                  <c:v>9.5082423486630905</c:v>
                </c:pt>
                <c:pt idx="212">
                  <c:v>9.5191613781951006</c:v>
                </c:pt>
                <c:pt idx="213">
                  <c:v>9.5261524008330891</c:v>
                </c:pt>
                <c:pt idx="214">
                  <c:v>9.5308421786129198</c:v>
                </c:pt>
                <c:pt idx="215">
                  <c:v>10.131498434449</c:v>
                </c:pt>
                <c:pt idx="216">
                  <c:v>10.1114276856927</c:v>
                </c:pt>
                <c:pt idx="217">
                  <c:v>10.106771860012801</c:v>
                </c:pt>
                <c:pt idx="218">
                  <c:v>10.107651568130199</c:v>
                </c:pt>
                <c:pt idx="219">
                  <c:v>10.1107274819458</c:v>
                </c:pt>
                <c:pt idx="220">
                  <c:v>10.982291026117201</c:v>
                </c:pt>
                <c:pt idx="221">
                  <c:v>10.9096095235577</c:v>
                </c:pt>
                <c:pt idx="222">
                  <c:v>10.869616482611001</c:v>
                </c:pt>
                <c:pt idx="223">
                  <c:v>10.844723979941399</c:v>
                </c:pt>
                <c:pt idx="224">
                  <c:v>10.8280532885039</c:v>
                </c:pt>
                <c:pt idx="225">
                  <c:v>8.3625983488350606</c:v>
                </c:pt>
                <c:pt idx="226">
                  <c:v>8.3627743617539192</c:v>
                </c:pt>
                <c:pt idx="227">
                  <c:v>8.3628371457753108</c:v>
                </c:pt>
                <c:pt idx="228">
                  <c:v>8.3628665022325208</c:v>
                </c:pt>
                <c:pt idx="229">
                  <c:v>8.3628825590679696</c:v>
                </c:pt>
                <c:pt idx="230">
                  <c:v>8.9250469500841803</c:v>
                </c:pt>
                <c:pt idx="231">
                  <c:v>8.9292455435797606</c:v>
                </c:pt>
                <c:pt idx="232">
                  <c:v>8.9309288578770296</c:v>
                </c:pt>
                <c:pt idx="233">
                  <c:v>8.9317667802891396</c:v>
                </c:pt>
                <c:pt idx="234">
                  <c:v>8.93224317664456</c:v>
                </c:pt>
                <c:pt idx="235">
                  <c:v>9.4709977348136292</c:v>
                </c:pt>
                <c:pt idx="236">
                  <c:v>9.4897381118201896</c:v>
                </c:pt>
                <c:pt idx="237">
                  <c:v>9.5022860750432798</c:v>
                </c:pt>
                <c:pt idx="238">
                  <c:v>9.5106791991141097</c:v>
                </c:pt>
                <c:pt idx="239">
                  <c:v>9.5164803371842694</c:v>
                </c:pt>
                <c:pt idx="240">
                  <c:v>10.123008052690899</c:v>
                </c:pt>
                <c:pt idx="241">
                  <c:v>10.100536470661901</c:v>
                </c:pt>
                <c:pt idx="242">
                  <c:v>10.0941015123529</c:v>
                </c:pt>
                <c:pt idx="243">
                  <c:v>10.093724917208</c:v>
                </c:pt>
                <c:pt idx="244">
                  <c:v>10.095955536453999</c:v>
                </c:pt>
                <c:pt idx="245">
                  <c:v>10.9802096527446</c:v>
                </c:pt>
                <c:pt idx="246">
                  <c:v>10.906833103045701</c:v>
                </c:pt>
                <c:pt idx="247">
                  <c:v>10.866244537598799</c:v>
                </c:pt>
                <c:pt idx="248">
                  <c:v>10.840823699368899</c:v>
                </c:pt>
                <c:pt idx="249">
                  <c:v>10.8236756803476</c:v>
                </c:pt>
                <c:pt idx="250">
                  <c:v>8.3529359077549703</c:v>
                </c:pt>
                <c:pt idx="251">
                  <c:v>8.3531766236508496</c:v>
                </c:pt>
                <c:pt idx="252">
                  <c:v>8.3532627783928497</c:v>
                </c:pt>
                <c:pt idx="253">
                  <c:v>8.3533031273861305</c:v>
                </c:pt>
                <c:pt idx="254">
                  <c:v>8.3533252028678699</c:v>
                </c:pt>
                <c:pt idx="255">
                  <c:v>8.9142002312138402</c:v>
                </c:pt>
                <c:pt idx="256">
                  <c:v>8.9196044881720393</c:v>
                </c:pt>
                <c:pt idx="257">
                  <c:v>8.9218154220682493</c:v>
                </c:pt>
                <c:pt idx="258">
                  <c:v>8.9229282941776908</c:v>
                </c:pt>
                <c:pt idx="259">
                  <c:v>8.9235654922303098</c:v>
                </c:pt>
                <c:pt idx="260">
                  <c:v>9.4553413866102698</c:v>
                </c:pt>
                <c:pt idx="261">
                  <c:v>9.4744644238908098</c:v>
                </c:pt>
                <c:pt idx="262">
                  <c:v>9.4881761541942797</c:v>
                </c:pt>
                <c:pt idx="263">
                  <c:v>9.4977270645188803</c:v>
                </c:pt>
                <c:pt idx="264">
                  <c:v>9.5045146235490208</c:v>
                </c:pt>
                <c:pt idx="265">
                  <c:v>10.116977784343099</c:v>
                </c:pt>
                <c:pt idx="266">
                  <c:v>10.092663739794499</c:v>
                </c:pt>
                <c:pt idx="267">
                  <c:v>10.084760964244399</c:v>
                </c:pt>
                <c:pt idx="268">
                  <c:v>10.083263046898701</c:v>
                </c:pt>
                <c:pt idx="269">
                  <c:v>10.0846670758415</c:v>
                </c:pt>
                <c:pt idx="270">
                  <c:v>10.9787148804027</c:v>
                </c:pt>
                <c:pt idx="271">
                  <c:v>10.9048334087167</c:v>
                </c:pt>
                <c:pt idx="272">
                  <c:v>10.8638083253992</c:v>
                </c:pt>
                <c:pt idx="273">
                  <c:v>10.8379964439139</c:v>
                </c:pt>
                <c:pt idx="274">
                  <c:v>10.820491511315099</c:v>
                </c:pt>
                <c:pt idx="275">
                  <c:v>8.3455717672157999</c:v>
                </c:pt>
                <c:pt idx="276">
                  <c:v>8.34588646885293</c:v>
                </c:pt>
                <c:pt idx="277">
                  <c:v>8.3459994639252493</c:v>
                </c:pt>
                <c:pt idx="278">
                  <c:v>8.3460524661461193</c:v>
                </c:pt>
                <c:pt idx="279">
                  <c:v>8.3460814998065391</c:v>
                </c:pt>
                <c:pt idx="280">
                  <c:v>8.9051719438224595</c:v>
                </c:pt>
                <c:pt idx="281">
                  <c:v>8.9118282525128496</c:v>
                </c:pt>
                <c:pt idx="282">
                  <c:v>8.9146057538535697</c:v>
                </c:pt>
                <c:pt idx="283">
                  <c:v>8.9160191900634604</c:v>
                </c:pt>
                <c:pt idx="284">
                  <c:v>8.9168341522327204</c:v>
                </c:pt>
                <c:pt idx="285">
                  <c:v>9.4426375606182997</c:v>
                </c:pt>
                <c:pt idx="286">
                  <c:v>9.4615563828285403</c:v>
                </c:pt>
                <c:pt idx="287">
                  <c:v>9.4760317351796797</c:v>
                </c:pt>
                <c:pt idx="288">
                  <c:v>9.4865038831808093</c:v>
                </c:pt>
                <c:pt idx="289">
                  <c:v>9.4941424980031393</c:v>
                </c:pt>
                <c:pt idx="290">
                  <c:v>10.1124946421488</c:v>
                </c:pt>
                <c:pt idx="291">
                  <c:v>10.0867404088771</c:v>
                </c:pt>
                <c:pt idx="292">
                  <c:v>10.0776287455265</c:v>
                </c:pt>
                <c:pt idx="293">
                  <c:v>10.0751544806614</c:v>
                </c:pt>
                <c:pt idx="294">
                  <c:v>10.075793645798999</c:v>
                </c:pt>
                <c:pt idx="295">
                  <c:v>10.977589367176099</c:v>
                </c:pt>
                <c:pt idx="296">
                  <c:v>10.9033245285628</c:v>
                </c:pt>
                <c:pt idx="297">
                  <c:v>10.861965871379899</c:v>
                </c:pt>
                <c:pt idx="298">
                  <c:v>10.835853070836601</c:v>
                </c:pt>
                <c:pt idx="299">
                  <c:v>10.818071450772401</c:v>
                </c:pt>
                <c:pt idx="300">
                  <c:v>8.4145522024020991</c:v>
                </c:pt>
                <c:pt idx="301">
                  <c:v>8.4146034172645905</c:v>
                </c:pt>
                <c:pt idx="302">
                  <c:v>8.4146215275221294</c:v>
                </c:pt>
                <c:pt idx="303">
                  <c:v>8.4146299599071401</c:v>
                </c:pt>
                <c:pt idx="304">
                  <c:v>8.4146345503254008</c:v>
                </c:pt>
                <c:pt idx="305">
                  <c:v>8.9753170780182998</c:v>
                </c:pt>
                <c:pt idx="306">
                  <c:v>8.9767622425698406</c:v>
                </c:pt>
                <c:pt idx="307">
                  <c:v>8.9773100063431208</c:v>
                </c:pt>
                <c:pt idx="308">
                  <c:v>8.9775744640518909</c:v>
                </c:pt>
                <c:pt idx="309">
                  <c:v>8.9777219287155905</c:v>
                </c:pt>
                <c:pt idx="310">
                  <c:v>9.5383831327633892</c:v>
                </c:pt>
                <c:pt idx="311">
                  <c:v>9.55146492806273</c:v>
                </c:pt>
                <c:pt idx="312">
                  <c:v>9.5585567768310291</c:v>
                </c:pt>
                <c:pt idx="313">
                  <c:v>9.5627400105661309</c:v>
                </c:pt>
                <c:pt idx="314">
                  <c:v>9.5653948736631094</c:v>
                </c:pt>
                <c:pt idx="315">
                  <c:v>10.156781262572901</c:v>
                </c:pt>
                <c:pt idx="316">
                  <c:v>10.1425560910731</c:v>
                </c:pt>
                <c:pt idx="317">
                  <c:v>10.1415675506738</c:v>
                </c:pt>
                <c:pt idx="318">
                  <c:v>10.1445778724625</c:v>
                </c:pt>
                <c:pt idx="319">
                  <c:v>10.148743784576499</c:v>
                </c:pt>
                <c:pt idx="320">
                  <c:v>10.9884566694413</c:v>
                </c:pt>
                <c:pt idx="321">
                  <c:v>10.9177791750169</c:v>
                </c:pt>
                <c:pt idx="322">
                  <c:v>10.8794672899236</c:v>
                </c:pt>
                <c:pt idx="323">
                  <c:v>10.8560326301549</c:v>
                </c:pt>
                <c:pt idx="324">
                  <c:v>10.8406477836393</c:v>
                </c:pt>
                <c:pt idx="325">
                  <c:v>8.3954266152924699</c:v>
                </c:pt>
                <c:pt idx="326">
                  <c:v>8.3955022974522002</c:v>
                </c:pt>
                <c:pt idx="327">
                  <c:v>8.3955291244356705</c:v>
                </c:pt>
                <c:pt idx="328">
                  <c:v>8.3955416273934897</c:v>
                </c:pt>
                <c:pt idx="329">
                  <c:v>8.3955484406676</c:v>
                </c:pt>
                <c:pt idx="330">
                  <c:v>8.9576779258841004</c:v>
                </c:pt>
                <c:pt idx="331">
                  <c:v>8.9597235989632402</c:v>
                </c:pt>
                <c:pt idx="332">
                  <c:v>8.9605101814983499</c:v>
                </c:pt>
                <c:pt idx="333">
                  <c:v>8.9608929073354293</c:v>
                </c:pt>
                <c:pt idx="334">
                  <c:v>8.9611073825276595</c:v>
                </c:pt>
                <c:pt idx="335">
                  <c:v>9.5162986678953398</c:v>
                </c:pt>
                <c:pt idx="336">
                  <c:v>9.5315918920388896</c:v>
                </c:pt>
                <c:pt idx="337">
                  <c:v>9.5403768004895397</c:v>
                </c:pt>
                <c:pt idx="338">
                  <c:v>9.5457397796286401</c:v>
                </c:pt>
                <c:pt idx="339">
                  <c:v>9.5492229842078906</c:v>
                </c:pt>
                <c:pt idx="340">
                  <c:v>10.1442148432798</c:v>
                </c:pt>
                <c:pt idx="341">
                  <c:v>10.1273191733681</c:v>
                </c:pt>
                <c:pt idx="342">
                  <c:v>10.124777505396001</c:v>
                </c:pt>
                <c:pt idx="343">
                  <c:v>10.1269769470907</c:v>
                </c:pt>
                <c:pt idx="344">
                  <c:v>10.130807010117699</c:v>
                </c:pt>
                <c:pt idx="345">
                  <c:v>10.985388487324601</c:v>
                </c:pt>
                <c:pt idx="346">
                  <c:v>10.9137240188325</c:v>
                </c:pt>
                <c:pt idx="347">
                  <c:v>10.8745909263546</c:v>
                </c:pt>
                <c:pt idx="348">
                  <c:v>10.8504505040325</c:v>
                </c:pt>
                <c:pt idx="349">
                  <c:v>10.8344490973268</c:v>
                </c:pt>
                <c:pt idx="350">
                  <c:v>8.3815195586676694</c:v>
                </c:pt>
                <c:pt idx="351">
                  <c:v>8.3816242581218194</c:v>
                </c:pt>
                <c:pt idx="352">
                  <c:v>8.3816614530298903</c:v>
                </c:pt>
                <c:pt idx="353">
                  <c:v>8.3816788058188205</c:v>
                </c:pt>
                <c:pt idx="354">
                  <c:v>8.3816882808780608</c:v>
                </c:pt>
                <c:pt idx="355">
                  <c:v>8.9443726242845703</c:v>
                </c:pt>
                <c:pt idx="356">
                  <c:v>8.9470855806041705</c:v>
                </c:pt>
                <c:pt idx="357">
                  <c:v>8.9481435918892505</c:v>
                </c:pt>
                <c:pt idx="358">
                  <c:v>8.9486623557520595</c:v>
                </c:pt>
                <c:pt idx="359">
                  <c:v>8.9489544800982195</c:v>
                </c:pt>
                <c:pt idx="360">
                  <c:v>9.4984422930244303</c:v>
                </c:pt>
                <c:pt idx="361">
                  <c:v>9.5153703198608195</c:v>
                </c:pt>
                <c:pt idx="362">
                  <c:v>9.52563466888334</c:v>
                </c:pt>
                <c:pt idx="363">
                  <c:v>9.5321060600384602</c:v>
                </c:pt>
                <c:pt idx="364">
                  <c:v>9.5364019752266405</c:v>
                </c:pt>
                <c:pt idx="365">
                  <c:v>10.135139681095801</c:v>
                </c:pt>
                <c:pt idx="366">
                  <c:v>10.116028935293899</c:v>
                </c:pt>
                <c:pt idx="367">
                  <c:v>10.1120415611224</c:v>
                </c:pt>
                <c:pt idx="368">
                  <c:v>10.113360874555299</c:v>
                </c:pt>
                <c:pt idx="369">
                  <c:v>10.116706833421199</c:v>
                </c:pt>
                <c:pt idx="370">
                  <c:v>10.983179021220099</c:v>
                </c:pt>
                <c:pt idx="371">
                  <c:v>10.910791206971099</c:v>
                </c:pt>
                <c:pt idx="372">
                  <c:v>10.8710478994574</c:v>
                </c:pt>
                <c:pt idx="373">
                  <c:v>10.8463751475634</c:v>
                </c:pt>
                <c:pt idx="374">
                  <c:v>10.8299012771976</c:v>
                </c:pt>
                <c:pt idx="375">
                  <c:v>8.3709354670448999</c:v>
                </c:pt>
                <c:pt idx="376">
                  <c:v>8.3710736464903306</c:v>
                </c:pt>
                <c:pt idx="377">
                  <c:v>8.3711228369187101</c:v>
                </c:pt>
                <c:pt idx="378">
                  <c:v>8.3711458046781697</c:v>
                </c:pt>
                <c:pt idx="379">
                  <c:v>8.3711583573254291</c:v>
                </c:pt>
                <c:pt idx="380">
                  <c:v>8.9337974271700205</c:v>
                </c:pt>
                <c:pt idx="381">
                  <c:v>8.9372317354484796</c:v>
                </c:pt>
                <c:pt idx="382">
                  <c:v>8.9385898699852504</c:v>
                </c:pt>
                <c:pt idx="383">
                  <c:v>8.9392608644325993</c:v>
                </c:pt>
                <c:pt idx="384">
                  <c:v>8.9396405394323804</c:v>
                </c:pt>
                <c:pt idx="385">
                  <c:v>9.4835874719128999</c:v>
                </c:pt>
                <c:pt idx="386">
                  <c:v>9.5016388112296593</c:v>
                </c:pt>
                <c:pt idx="387">
                  <c:v>9.5131558476516407</c:v>
                </c:pt>
                <c:pt idx="388">
                  <c:v>9.5206410061847908</c:v>
                </c:pt>
                <c:pt idx="389">
                  <c:v>9.5257137951744006</c:v>
                </c:pt>
                <c:pt idx="390">
                  <c:v>10.1283117005393</c:v>
                </c:pt>
                <c:pt idx="391">
                  <c:v>10.1073665680396</c:v>
                </c:pt>
                <c:pt idx="392">
                  <c:v>10.102080415818</c:v>
                </c:pt>
                <c:pt idx="393">
                  <c:v>10.102528778800201</c:v>
                </c:pt>
                <c:pt idx="394">
                  <c:v>10.1053256385228</c:v>
                </c:pt>
                <c:pt idx="395">
                  <c:v>10.981512055865901</c:v>
                </c:pt>
                <c:pt idx="396">
                  <c:v>10.9085715199693</c:v>
                </c:pt>
                <c:pt idx="397">
                  <c:v>10.8683572709856</c:v>
                </c:pt>
                <c:pt idx="398">
                  <c:v>10.843269219201</c:v>
                </c:pt>
                <c:pt idx="399">
                  <c:v>10.826422532285999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F6-B14D-907A-D12DE1EC0CE8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strRef>
              <c:f>'D-Stat1'!$C$2:$C$401</c:f>
              <c:strCache>
                <c:ptCount val="400"/>
                <c:pt idx="9">
                  <c:v>SS</c:v>
                </c:pt>
                <c:pt idx="10">
                  <c:v>313,9091685</c:v>
                </c:pt>
                <c:pt idx="11">
                  <c:v>2,949689513</c:v>
                </c:pt>
                <c:pt idx="12">
                  <c:v>316,8588581</c:v>
                </c:pt>
                <c:pt idx="14">
                  <c:v>Standard Error</c:v>
                </c:pt>
                <c:pt idx="15">
                  <c:v>0,024945103</c:v>
                </c:pt>
                <c:pt idx="16">
                  <c:v>0,030475294</c:v>
                </c:pt>
                <c:pt idx="17">
                  <c:v>0,006095059</c:v>
                </c:pt>
                <c:pt idx="23">
                  <c:v>Residuals</c:v>
                </c:pt>
                <c:pt idx="24">
                  <c:v>0,004085628</c:v>
                </c:pt>
                <c:pt idx="25">
                  <c:v>-0,000644123</c:v>
                </c:pt>
                <c:pt idx="26">
                  <c:v>-0,004282084</c:v>
                </c:pt>
                <c:pt idx="27">
                  <c:v>-0,006981488</c:v>
                </c:pt>
                <c:pt idx="28">
                  <c:v>-0,008827612</c:v>
                </c:pt>
                <c:pt idx="29">
                  <c:v>-0,105611095</c:v>
                </c:pt>
                <c:pt idx="30">
                  <c:v>-0,100387424</c:v>
                </c:pt>
                <c:pt idx="31">
                  <c:v>-0,094250195</c:v>
                </c:pt>
                <c:pt idx="32">
                  <c:v>-0,087734737</c:v>
                </c:pt>
                <c:pt idx="33">
                  <c:v>-0,081020062</c:v>
                </c:pt>
                <c:pt idx="34">
                  <c:v>-0,165123537</c:v>
                </c:pt>
                <c:pt idx="35">
                  <c:v>-0,165550821</c:v>
                </c:pt>
                <c:pt idx="36">
                  <c:v>-0,161625141</c:v>
                </c:pt>
                <c:pt idx="37">
                  <c:v>-0,155940997</c:v>
                </c:pt>
                <c:pt idx="38">
                  <c:v>-0,149372383</c:v>
                </c:pt>
                <c:pt idx="39">
                  <c:v>-0,090143719</c:v>
                </c:pt>
                <c:pt idx="40">
                  <c:v>-0,116898387</c:v>
                </c:pt>
                <c:pt idx="41">
                  <c:v>-0,12669102</c:v>
                </c:pt>
                <c:pt idx="42">
                  <c:v>-0,129417613</c:v>
                </c:pt>
                <c:pt idx="43">
                  <c:v>-0,128523767</c:v>
                </c:pt>
                <c:pt idx="44">
                  <c:v>0,16919199</c:v>
                </c:pt>
                <c:pt idx="45">
                  <c:v>0,100571348</c:v>
                </c:pt>
                <c:pt idx="46">
                  <c:v>0,06516641</c:v>
                </c:pt>
                <c:pt idx="47">
                  <c:v>0,04519754</c:v>
                </c:pt>
                <c:pt idx="48">
                  <c:v>0,033692086</c:v>
                </c:pt>
                <c:pt idx="49">
                  <c:v>0,008573463</c:v>
                </c:pt>
                <c:pt idx="50">
                  <c:v>0,005649314</c:v>
                </c:pt>
                <c:pt idx="51">
                  <c:v>0,003552946</c:v>
                </c:pt>
                <c:pt idx="52">
                  <c:v>0,002153191</c:v>
                </c:pt>
                <c:pt idx="53">
                  <c:v>0,001386112</c:v>
                </c:pt>
                <c:pt idx="54">
                  <c:v>-0,105135139</c:v>
                </c:pt>
                <c:pt idx="55">
                  <c:v>-0,099680933</c:v>
                </c:pt>
                <c:pt idx="56">
                  <c:v>-0,093319342</c:v>
                </c:pt>
                <c:pt idx="57">
                  <c:v>-0,086585594</c:v>
                </c:pt>
                <c:pt idx="58">
                  <c:v>-0,0796586</c:v>
                </c:pt>
                <c:pt idx="59">
                  <c:v>-0,165097934</c:v>
                </c:pt>
                <c:pt idx="60">
                  <c:v>-0,165510979</c:v>
                </c:pt>
                <c:pt idx="61">
                  <c:v>-0,161571123</c:v>
                </c:pt>
                <c:pt idx="62">
                  <c:v>-0,155872891</c:v>
                </c:pt>
                <c:pt idx="63">
                  <c:v>-0,149290271</c:v>
                </c:pt>
                <c:pt idx="64">
                  <c:v>-0,090146933</c:v>
                </c:pt>
                <c:pt idx="65">
                  <c:v>-0,116902359</c:v>
                </c:pt>
                <c:pt idx="66">
                  <c:v>-0,126695699</c:v>
                </c:pt>
                <c:pt idx="67">
                  <c:v>-0,129422975</c:v>
                </c:pt>
                <c:pt idx="68">
                  <c:v>-0,128529799</c:v>
                </c:pt>
                <c:pt idx="69">
                  <c:v>0,16919091</c:v>
                </c:pt>
                <c:pt idx="70">
                  <c:v>0,100569888</c:v>
                </c:pt>
                <c:pt idx="71">
                  <c:v>0,065164593</c:v>
                </c:pt>
                <c:pt idx="72">
                  <c:v>0,045195397</c:v>
                </c:pt>
                <c:pt idx="73">
                  <c:v>0,033689626</c:v>
                </c:pt>
                <c:pt idx="74">
                  <c:v>0,01184661</c:v>
                </c:pt>
                <c:pt idx="75">
                  <c:v>0,010289757</c:v>
                </c:pt>
                <c:pt idx="76">
                  <c:v>0,009395173</c:v>
                </c:pt>
                <c:pt idx="77">
                  <c:v>0,009043033</c:v>
                </c:pt>
                <c:pt idx="78">
                  <c:v>0,009180539</c:v>
                </c:pt>
                <c:pt idx="79">
                  <c:v>-0,104793752</c:v>
                </c:pt>
                <c:pt idx="80">
                  <c:v>-0,099173138</c:v>
                </c:pt>
                <c:pt idx="81">
                  <c:v>-0,09264889</c:v>
                </c:pt>
                <c:pt idx="82">
                  <c:v>-0,085756186</c:v>
                </c:pt>
                <c:pt idx="83">
                  <c:v>-0,078673884</c:v>
                </c:pt>
                <c:pt idx="84">
                  <c:v>-0,165079627</c:v>
                </c:pt>
                <c:pt idx="85">
                  <c:v>-0,165482471</c:v>
                </c:pt>
                <c:pt idx="86">
                  <c:v>-0,161532458</c:v>
                </c:pt>
                <c:pt idx="87">
                  <c:v>-0,155824113</c:v>
                </c:pt>
                <c:pt idx="88">
                  <c:v>-0,149231434</c:v>
                </c:pt>
                <c:pt idx="89">
                  <c:v>-0,090149227</c:v>
                </c:pt>
                <c:pt idx="90">
                  <c:v>-0,116905196</c:v>
                </c:pt>
                <c:pt idx="91">
                  <c:v>-0,126699039</c:v>
                </c:pt>
                <c:pt idx="92">
                  <c:v>-0,129426804</c:v>
                </c:pt>
                <c:pt idx="93">
                  <c:v>-0,128534108</c:v>
                </c:pt>
                <c:pt idx="94">
                  <c:v>0,169190145</c:v>
                </c:pt>
                <c:pt idx="95">
                  <c:v>0,100568843</c:v>
                </c:pt>
                <c:pt idx="96">
                  <c:v>0,065163297</c:v>
                </c:pt>
                <c:pt idx="97">
                  <c:v>0,045193866</c:v>
                </c:pt>
                <c:pt idx="98">
                  <c:v>0,033687871</c:v>
                </c:pt>
                <c:pt idx="99">
                  <c:v>0,014338897</c:v>
                </c:pt>
                <c:pt idx="100">
                  <c:v>0,013851118</c:v>
                </c:pt>
                <c:pt idx="101">
                  <c:v>0,013915188</c:v>
                </c:pt>
                <c:pt idx="102">
                  <c:v>0,014417674</c:v>
                </c:pt>
                <c:pt idx="103">
                  <c:v>0,015312118</c:v>
                </c:pt>
                <c:pt idx="104">
                  <c:v>-0,104536934</c:v>
                </c:pt>
                <c:pt idx="105">
                  <c:v>-0,098790558</c:v>
                </c:pt>
                <c:pt idx="106">
                  <c:v>-0,092142995</c:v>
                </c:pt>
                <c:pt idx="107">
                  <c:v>-0,085129395</c:v>
                </c:pt>
                <c:pt idx="108">
                  <c:v>-0,07792859</c:v>
                </c:pt>
                <c:pt idx="109">
                  <c:v>-0,165065885</c:v>
                </c:pt>
                <c:pt idx="110">
                  <c:v>-0,165461068</c:v>
                </c:pt>
                <c:pt idx="111">
                  <c:v>-0,161503415</c:v>
                </c:pt>
                <c:pt idx="112">
                  <c:v>-0,15578746</c:v>
                </c:pt>
                <c:pt idx="113">
                  <c:v>-0,149187203</c:v>
                </c:pt>
                <c:pt idx="114">
                  <c:v>-0,090150949</c:v>
                </c:pt>
                <c:pt idx="115">
                  <c:v>-0,116907323</c:v>
                </c:pt>
                <c:pt idx="116">
                  <c:v>-0,126701545</c:v>
                </c:pt>
                <c:pt idx="117">
                  <c:v>-0,129429676</c:v>
                </c:pt>
                <c:pt idx="118">
                  <c:v>-0,128537337</c:v>
                </c:pt>
                <c:pt idx="119">
                  <c:v>0,16918956</c:v>
                </c:pt>
                <c:pt idx="120">
                  <c:v>0,100568054</c:v>
                </c:pt>
                <c:pt idx="121">
                  <c:v>0,065162326</c:v>
                </c:pt>
                <c:pt idx="122">
                  <c:v>0,045192719</c:v>
                </c:pt>
                <c:pt idx="123">
                  <c:v>0,033686552</c:v>
                </c:pt>
                <c:pt idx="124">
                  <c:v>0,040006283</c:v>
                </c:pt>
                <c:pt idx="125">
                  <c:v>0,048934928</c:v>
                </c:pt>
                <c:pt idx="126">
                  <c:v>0,057551142</c:v>
                </c:pt>
                <c:pt idx="127">
                  <c:v>0,066073774</c:v>
                </c:pt>
                <c:pt idx="128">
                  <c:v>0,074558853</c:v>
                </c:pt>
                <c:pt idx="129">
                  <c:v>-0,030979732</c:v>
                </c:pt>
                <c:pt idx="130">
                  <c:v>-0,013329039</c:v>
                </c:pt>
                <c:pt idx="131">
                  <c:v>-0,000896216</c:v>
                </c:pt>
                <c:pt idx="132">
                  <c:v>0,009619278</c:v>
                </c:pt>
                <c:pt idx="133">
                  <c:v>0,019272238</c:v>
                </c:pt>
                <c:pt idx="134">
                  <c:v>-0,124237748</c:v>
                </c:pt>
                <c:pt idx="135">
                  <c:v>-0,098388085</c:v>
                </c:pt>
                <c:pt idx="136">
                  <c:v>-0,074876122</c:v>
                </c:pt>
                <c:pt idx="137">
                  <c:v>-0,054746499</c:v>
                </c:pt>
                <c:pt idx="138">
                  <c:v>-0,037363202</c:v>
                </c:pt>
                <c:pt idx="139">
                  <c:v>-0,067758361</c:v>
                </c:pt>
                <c:pt idx="140">
                  <c:v>-0,087147385</c:v>
                </c:pt>
                <c:pt idx="141">
                  <c:v>-0,089655667</c:v>
                </c:pt>
                <c:pt idx="142">
                  <c:v>-0,085259749</c:v>
                </c:pt>
                <c:pt idx="143">
                  <c:v>-0,077486794</c:v>
                </c:pt>
                <c:pt idx="144">
                  <c:v>0,175589205</c:v>
                </c:pt>
                <c:pt idx="145">
                  <c:v>0,109220296</c:v>
                </c:pt>
                <c:pt idx="146">
                  <c:v>0,075825008</c:v>
                </c:pt>
                <c:pt idx="147">
                  <c:v>0,057719123</c:v>
                </c:pt>
                <c:pt idx="148">
                  <c:v>0,04797627</c:v>
                </c:pt>
                <c:pt idx="149">
                  <c:v>0,032725105</c:v>
                </c:pt>
                <c:pt idx="150">
                  <c:v>0,041861698</c:v>
                </c:pt>
                <c:pt idx="151">
                  <c:v>0,050554707</c:v>
                </c:pt>
                <c:pt idx="152">
                  <c:v>0,059113881</c:v>
                </c:pt>
                <c:pt idx="153">
                  <c:v>0,067619166</c:v>
                </c:pt>
                <c:pt idx="154">
                  <c:v>-0,043185022</c:v>
                </c:pt>
                <c:pt idx="155">
                  <c:v>-0,023019572</c:v>
                </c:pt>
                <c:pt idx="156">
                  <c:v>-0,009306976</c:v>
                </c:pt>
                <c:pt idx="157">
                  <c:v>0,0019312</c:v>
                </c:pt>
                <c:pt idx="158">
                  <c:v>0,012028609</c:v>
                </c:pt>
                <c:pt idx="159">
                  <c:v>-0,137718137</c:v>
                </c:pt>
                <c:pt idx="160">
                  <c:v>-0,114120853</c:v>
                </c:pt>
                <c:pt idx="161">
                  <c:v>-0,090868351</c:v>
                </c:pt>
                <c:pt idx="162">
                  <c:v>-0,070184937</c:v>
                </c:pt>
                <c:pt idx="163">
                  <c:v>-0,051965056</c:v>
                </c:pt>
                <c:pt idx="164">
                  <c:v>-0,071799625</c:v>
                </c:pt>
                <c:pt idx="165">
                  <c:v>-0,092585925</c:v>
                </c:pt>
                <c:pt idx="166">
                  <c:v>-0,096394212</c:v>
                </c:pt>
                <c:pt idx="167">
                  <c:v>-0,093170301</c:v>
                </c:pt>
                <c:pt idx="168">
                  <c:v>-0,086428182</c:v>
                </c:pt>
                <c:pt idx="169">
                  <c:v>0,174530299</c:v>
                </c:pt>
                <c:pt idx="170">
                  <c:v>0,107794646</c:v>
                </c:pt>
                <c:pt idx="171">
                  <c:v>0,074076092</c:v>
                </c:pt>
                <c:pt idx="172">
                  <c:v>0,055674509</c:v>
                </c:pt>
                <c:pt idx="173">
                  <c:v>0,045655775</c:v>
                </c:pt>
                <c:pt idx="174">
                  <c:v>0,027312519</c:v>
                </c:pt>
                <c:pt idx="175">
                  <c:v>0,036688116</c:v>
                </c:pt>
                <c:pt idx="176">
                  <c:v>0,045470296</c:v>
                </c:pt>
                <c:pt idx="177">
                  <c:v>0,054072126</c:v>
                </c:pt>
                <c:pt idx="178">
                  <c:v>0,062601072</c:v>
                </c:pt>
                <c:pt idx="179">
                  <c:v>-0,053834887</c:v>
                </c:pt>
                <c:pt idx="180">
                  <c:v>-0,031283102</c:v>
                </c:pt>
                <c:pt idx="181">
                  <c:v>-0,016270647</c:v>
                </c:pt>
                <c:pt idx="182">
                  <c:v>-0,004271827</c:v>
                </c:pt>
                <c:pt idx="183">
                  <c:v>0,006303872</c:v>
                </c:pt>
                <c:pt idx="184">
                  <c:v>-0,147467714</c:v>
                </c:pt>
                <c:pt idx="185">
                  <c:v>-0,126360179</c:v>
                </c:pt>
                <c:pt idx="186">
                  <c:v>-0,103881304</c:v>
                </c:pt>
                <c:pt idx="187">
                  <c:v>-0,083122132</c:v>
                </c:pt>
                <c:pt idx="188">
                  <c:v>-0,064443378</c:v>
                </c:pt>
                <c:pt idx="189">
                  <c:v>-0,074633436</c:v>
                </c:pt>
                <c:pt idx="190">
                  <c:v>-0,096410654</c:v>
                </c:pt>
                <c:pt idx="191">
                  <c:v>-0,101171366</c:v>
                </c:pt>
                <c:pt idx="192">
                  <c:v>-0,098837489</c:v>
                </c:pt>
                <c:pt idx="193">
                  <c:v>-0,092908051</c:v>
                </c:pt>
                <c:pt idx="194">
                  <c:v>0,173771886</c:v>
                </c:pt>
                <c:pt idx="195">
                  <c:v>0,1067721</c:v>
                </c:pt>
                <c:pt idx="196">
                  <c:v>0,072819726</c:v>
                </c:pt>
                <c:pt idx="197">
                  <c:v>0,054203274</c:v>
                </c:pt>
                <c:pt idx="198">
                  <c:v>0,043983109</c:v>
                </c:pt>
                <c:pt idx="199">
                  <c:v>0,023059754</c:v>
                </c:pt>
                <c:pt idx="200">
                  <c:v>0,032703153</c:v>
                </c:pt>
                <c:pt idx="201">
                  <c:v>0,041586272</c:v>
                </c:pt>
                <c:pt idx="202">
                  <c:v>0,050236685</c:v>
                </c:pt>
                <c:pt idx="203">
                  <c:v>0,058792626</c:v>
                </c:pt>
                <c:pt idx="204">
                  <c:v>-0,06341105</c:v>
                </c:pt>
                <c:pt idx="205">
                  <c:v>-0,038655087</c:v>
                </c:pt>
                <c:pt idx="206">
                  <c:v>-0,022355374</c:v>
                </c:pt>
                <c:pt idx="207">
                  <c:v>-0,00957579</c:v>
                </c:pt>
                <c:pt idx="208">
                  <c:v>0,001501872</c:v>
                </c:pt>
                <c:pt idx="209">
                  <c:v>-0,154665917</c:v>
                </c:pt>
                <c:pt idx="210">
                  <c:v>-0,136027755</c:v>
                </c:pt>
                <c:pt idx="211">
                  <c:v>-0,114608297</c:v>
                </c:pt>
                <c:pt idx="212">
                  <c:v>-0,094102711</c:v>
                </c:pt>
                <c:pt idx="213">
                  <c:v>-0,075255652</c:v>
                </c:pt>
                <c:pt idx="214">
                  <c:v>-0,076724432</c:v>
                </c:pt>
                <c:pt idx="215">
                  <c:v>-0,099233745</c:v>
                </c:pt>
                <c:pt idx="216">
                  <c:v>-0,104713933</c:v>
                </c:pt>
                <c:pt idx="217">
                  <c:v>-0,103069739</c:v>
                </c:pt>
                <c:pt idx="218">
                  <c:v>-0,097787191</c:v>
                </c:pt>
                <c:pt idx="219">
                  <c:v>0,173201959</c:v>
                </c:pt>
                <c:pt idx="220">
                  <c:v>0,106002879</c:v>
                </c:pt>
                <c:pt idx="221">
                  <c:v>0,071873535</c:v>
                </c:pt>
                <c:pt idx="222">
                  <c:v>0,05309392</c:v>
                </c:pt>
                <c:pt idx="223">
                  <c:v>0,04272026</c:v>
                </c:pt>
                <c:pt idx="224">
                  <c:v>0,080877283</c:v>
                </c:pt>
                <c:pt idx="225">
                  <c:v>0,089437574</c:v>
                </c:pt>
                <c:pt idx="226">
                  <c:v>0,097919969</c:v>
                </c:pt>
                <c:pt idx="227">
                  <c:v>0,106379439</c:v>
                </c:pt>
                <c:pt idx="228">
                  <c:v>0,114829805</c:v>
                </c:pt>
                <c:pt idx="229">
                  <c:v>0,017445587</c:v>
                </c:pt>
                <c:pt idx="230">
                  <c:v>0,028952597</c:v>
                </c:pt>
                <c:pt idx="231">
                  <c:v>0,03859672</c:v>
                </c:pt>
                <c:pt idx="232">
                  <c:v>0,047629077</c:v>
                </c:pt>
                <c:pt idx="233">
                  <c:v>0,056403194</c:v>
                </c:pt>
                <c:pt idx="234">
                  <c:v>-0,057023091</c:v>
                </c:pt>
                <c:pt idx="235">
                  <c:v>-0,031034819</c:v>
                </c:pt>
                <c:pt idx="236">
                  <c:v>-0,011676383</c:v>
                </c:pt>
                <c:pt idx="237">
                  <c:v>0,003754046</c:v>
                </c:pt>
                <c:pt idx="238">
                  <c:v>0,01688323</c:v>
                </c:pt>
                <c:pt idx="239">
                  <c:v>-0,042568869</c:v>
                </c:pt>
                <c:pt idx="240">
                  <c:v>-0,054200212</c:v>
                </c:pt>
                <c:pt idx="241">
                  <c:v>-0,050416631</c:v>
                </c:pt>
                <c:pt idx="242">
                  <c:v>-0,041097517</c:v>
                </c:pt>
                <c:pt idx="243">
                  <c:v>-0,029582197</c:v>
                </c:pt>
                <c:pt idx="244">
                  <c:v>0,181872992</c:v>
                </c:pt>
                <c:pt idx="245">
                  <c:v>0,117630896</c:v>
                </c:pt>
                <c:pt idx="246">
                  <c:v>0,086077261</c:v>
                </c:pt>
                <c:pt idx="247">
                  <c:v>0,069624165</c:v>
                </c:pt>
                <c:pt idx="248">
                  <c:v>0,061392879</c:v>
                </c:pt>
                <c:pt idx="249">
                  <c:v>0,067583236</c:v>
                </c:pt>
                <c:pt idx="250">
                  <c:v>0,076198655</c:v>
                </c:pt>
                <c:pt idx="251">
                  <c:v>0,084700845</c:v>
                </c:pt>
                <c:pt idx="252">
                  <c:v>0,093169607</c:v>
                </c:pt>
                <c:pt idx="253">
                  <c:v>0,10162507</c:v>
                </c:pt>
                <c:pt idx="254">
                  <c:v>0,003681107</c:v>
                </c:pt>
                <c:pt idx="255">
                  <c:v>0,016319106</c:v>
                </c:pt>
                <c:pt idx="256">
                  <c:v>0,026441827</c:v>
                </c:pt>
                <c:pt idx="257">
                  <c:v>0,035719155</c:v>
                </c:pt>
                <c:pt idx="258">
                  <c:v>0,044634958</c:v>
                </c:pt>
                <c:pt idx="259">
                  <c:v>-0,076718839</c:v>
                </c:pt>
                <c:pt idx="260">
                  <c:v>-0,049539056</c:v>
                </c:pt>
                <c:pt idx="261">
                  <c:v>-0,028551686</c:v>
                </c:pt>
                <c:pt idx="262">
                  <c:v>-0,011719156</c:v>
                </c:pt>
                <c:pt idx="263">
                  <c:v>0,002521388</c:v>
                </c:pt>
                <c:pt idx="264">
                  <c:v>-0,051059251</c:v>
                </c:pt>
                <c:pt idx="265">
                  <c:v>-0,065091427</c:v>
                </c:pt>
                <c:pt idx="266">
                  <c:v>-0,063086979</c:v>
                </c:pt>
                <c:pt idx="267">
                  <c:v>-0,055024168</c:v>
                </c:pt>
                <c:pt idx="268">
                  <c:v>-0,044354142</c:v>
                </c:pt>
                <c:pt idx="269">
                  <c:v>0,179791619</c:v>
                </c:pt>
                <c:pt idx="270">
                  <c:v>0,114854476</c:v>
                </c:pt>
                <c:pt idx="271">
                  <c:v>0,082705316</c:v>
                </c:pt>
                <c:pt idx="272">
                  <c:v>0,065723884</c:v>
                </c:pt>
                <c:pt idx="273">
                  <c:v>0,057015271</c:v>
                </c:pt>
                <c:pt idx="274">
                  <c:v>0,057920794</c:v>
                </c:pt>
                <c:pt idx="275">
                  <c:v>0,066600917</c:v>
                </c:pt>
                <c:pt idx="276">
                  <c:v>0,075126477</c:v>
                </c:pt>
                <c:pt idx="277">
                  <c:v>0,083606233</c:v>
                </c:pt>
                <c:pt idx="278">
                  <c:v>0,092067714</c:v>
                </c:pt>
                <c:pt idx="279">
                  <c:v>-0,007165612</c:v>
                </c:pt>
                <c:pt idx="280">
                  <c:v>0,006678051</c:v>
                </c:pt>
                <c:pt idx="281">
                  <c:v>0,017328391</c:v>
                </c:pt>
                <c:pt idx="282">
                  <c:v>0,026880669</c:v>
                </c:pt>
                <c:pt idx="283">
                  <c:v>0,035957273</c:v>
                </c:pt>
                <c:pt idx="284">
                  <c:v>-0,092375187</c:v>
                </c:pt>
                <c:pt idx="285">
                  <c:v>-0,064812743</c:v>
                </c:pt>
                <c:pt idx="286">
                  <c:v>-0,042661607</c:v>
                </c:pt>
                <c:pt idx="287">
                  <c:v>-0,02467129</c:v>
                </c:pt>
                <c:pt idx="288">
                  <c:v>-0,009444325</c:v>
                </c:pt>
                <c:pt idx="289">
                  <c:v>-0,057089519</c:v>
                </c:pt>
                <c:pt idx="290">
                  <c:v>-0,072964158</c:v>
                </c:pt>
                <c:pt idx="291">
                  <c:v>-0,072427527</c:v>
                </c:pt>
                <c:pt idx="292">
                  <c:v>-0,065486038</c:v>
                </c:pt>
                <c:pt idx="293">
                  <c:v>-0,055642603</c:v>
                </c:pt>
                <c:pt idx="294">
                  <c:v>0,178296847</c:v>
                </c:pt>
                <c:pt idx="295">
                  <c:v>0,112854781</c:v>
                </c:pt>
                <c:pt idx="296">
                  <c:v>0,080269104</c:v>
                </c:pt>
                <c:pt idx="297">
                  <c:v>0,062896629</c:v>
                </c:pt>
                <c:pt idx="298">
                  <c:v>0,053831102</c:v>
                </c:pt>
                <c:pt idx="299">
                  <c:v>0,050556654</c:v>
                </c:pt>
                <c:pt idx="300">
                  <c:v>0,059310762</c:v>
                </c:pt>
                <c:pt idx="301">
                  <c:v>0,067863163</c:v>
                </c:pt>
                <c:pt idx="302">
                  <c:v>0,076355571</c:v>
                </c:pt>
                <c:pt idx="303">
                  <c:v>0,084824011</c:v>
                </c:pt>
                <c:pt idx="304">
                  <c:v>-0,0161939</c:v>
                </c:pt>
                <c:pt idx="305">
                  <c:v>-0,001098185</c:v>
                </c:pt>
                <c:pt idx="306">
                  <c:v>0,010118723</c:v>
                </c:pt>
                <c:pt idx="307">
                  <c:v>0,019971565</c:v>
                </c:pt>
                <c:pt idx="308">
                  <c:v>0,029225933</c:v>
                </c:pt>
                <c:pt idx="309">
                  <c:v>-0,105079013</c:v>
                </c:pt>
                <c:pt idx="310">
                  <c:v>-0,077720785</c:v>
                </c:pt>
                <c:pt idx="311">
                  <c:v>-0,054806026</c:v>
                </c:pt>
                <c:pt idx="312">
                  <c:v>-0,035894472</c:v>
                </c:pt>
                <c:pt idx="313">
                  <c:v>-0,019816451</c:v>
                </c:pt>
                <c:pt idx="314">
                  <c:v>-0,061572661</c:v>
                </c:pt>
                <c:pt idx="315">
                  <c:v>-0,078887489</c:v>
                </c:pt>
                <c:pt idx="316">
                  <c:v>-0,079559746</c:v>
                </c:pt>
                <c:pt idx="317">
                  <c:v>-0,073594604</c:v>
                </c:pt>
                <c:pt idx="318">
                  <c:v>-0,064516033</c:v>
                </c:pt>
                <c:pt idx="319">
                  <c:v>0,177171333</c:v>
                </c:pt>
                <c:pt idx="320">
                  <c:v>0,111345901</c:v>
                </c:pt>
                <c:pt idx="321">
                  <c:v>0,07842665</c:v>
                </c:pt>
                <c:pt idx="322">
                  <c:v>0,060753256</c:v>
                </c:pt>
                <c:pt idx="323">
                  <c:v>0,051411042</c:v>
                </c:pt>
                <c:pt idx="324">
                  <c:v>0,119537089</c:v>
                </c:pt>
                <c:pt idx="325">
                  <c:v>0,12802771</c:v>
                </c:pt>
                <c:pt idx="326">
                  <c:v>0,136485227</c:v>
                </c:pt>
                <c:pt idx="327">
                  <c:v>0,144933065</c:v>
                </c:pt>
                <c:pt idx="328">
                  <c:v>0,153377062</c:v>
                </c:pt>
                <c:pt idx="329">
                  <c:v>0,053951235</c:v>
                </c:pt>
                <c:pt idx="330">
                  <c:v>0,063835805</c:v>
                </c:pt>
                <c:pt idx="331">
                  <c:v>0,072822975</c:v>
                </c:pt>
                <c:pt idx="332">
                  <c:v>0,081526839</c:v>
                </c:pt>
                <c:pt idx="333">
                  <c:v>0,09011371</c:v>
                </c:pt>
                <c:pt idx="334">
                  <c:v>-0,009333441</c:v>
                </c:pt>
                <c:pt idx="335">
                  <c:v>0,012187761</c:v>
                </c:pt>
                <c:pt idx="336">
                  <c:v>0,027719016</c:v>
                </c:pt>
                <c:pt idx="337">
                  <c:v>0,040341656</c:v>
                </c:pt>
                <c:pt idx="338">
                  <c:v>0,051435925</c:v>
                </c:pt>
                <c:pt idx="339">
                  <c:v>-0,017286041</c:v>
                </c:pt>
                <c:pt idx="340">
                  <c:v>-0,023071806</c:v>
                </c:pt>
                <c:pt idx="341">
                  <c:v>-0,015620941</c:v>
                </c:pt>
                <c:pt idx="342">
                  <c:v>-0,004171213</c:v>
                </c:pt>
                <c:pt idx="343">
                  <c:v>0,008434106</c:v>
                </c:pt>
                <c:pt idx="344">
                  <c:v>0,188038636</c:v>
                </c:pt>
                <c:pt idx="345">
                  <c:v>0,125800547</c:v>
                </c:pt>
                <c:pt idx="346">
                  <c:v>0,095928069</c:v>
                </c:pt>
                <c:pt idx="347">
                  <c:v>0,080932815</c:v>
                </c:pt>
                <c:pt idx="348">
                  <c:v>0,073987375</c:v>
                </c:pt>
                <c:pt idx="349">
                  <c:v>0,100411502</c:v>
                </c:pt>
                <c:pt idx="350">
                  <c:v>0,10892659</c:v>
                </c:pt>
                <c:pt idx="351">
                  <c:v>0,117392823</c:v>
                </c:pt>
                <c:pt idx="352">
                  <c:v>0,125844733</c:v>
                </c:pt>
                <c:pt idx="353">
                  <c:v>0,134290952</c:v>
                </c:pt>
                <c:pt idx="354">
                  <c:v>0,036312082</c:v>
                </c:pt>
                <c:pt idx="355">
                  <c:v>0,046797162</c:v>
                </c:pt>
                <c:pt idx="356">
                  <c:v>0,05602315</c:v>
                </c:pt>
                <c:pt idx="357">
                  <c:v>0,064845282</c:v>
                </c:pt>
                <c:pt idx="358">
                  <c:v>0,073499164</c:v>
                </c:pt>
                <c:pt idx="359">
                  <c:v>-0,031417906</c:v>
                </c:pt>
                <c:pt idx="360">
                  <c:v>-0,007685275</c:v>
                </c:pt>
                <c:pt idx="361">
                  <c:v>0,009539039</c:v>
                </c:pt>
                <c:pt idx="362">
                  <c:v>0,023341425</c:v>
                </c:pt>
                <c:pt idx="363">
                  <c:v>0,035264035</c:v>
                </c:pt>
                <c:pt idx="364">
                  <c:v>-0,02985246</c:v>
                </c:pt>
                <c:pt idx="365">
                  <c:v>-0,038308724</c:v>
                </c:pt>
                <c:pt idx="366">
                  <c:v>-0,032410986</c:v>
                </c:pt>
                <c:pt idx="367">
                  <c:v>-0,021772138</c:v>
                </c:pt>
                <c:pt idx="368">
                  <c:v>-0,009502669</c:v>
                </c:pt>
                <c:pt idx="369">
                  <c:v>0,184970454</c:v>
                </c:pt>
                <c:pt idx="370">
                  <c:v>0,121745391</c:v>
                </c:pt>
                <c:pt idx="371">
                  <c:v>0,091051705</c:v>
                </c:pt>
                <c:pt idx="372">
                  <c:v>0,075350689</c:v>
                </c:pt>
                <c:pt idx="373">
                  <c:v>0,067788688</c:v>
                </c:pt>
                <c:pt idx="374">
                  <c:v>0,086504445</c:v>
                </c:pt>
                <c:pt idx="375">
                  <c:v>0,095048551</c:v>
                </c:pt>
                <c:pt idx="376">
                  <c:v>0,103525152</c:v>
                </c:pt>
                <c:pt idx="377">
                  <c:v>0,111981911</c:v>
                </c:pt>
                <c:pt idx="378">
                  <c:v>0,120430792</c:v>
                </c:pt>
                <c:pt idx="379">
                  <c:v>0,023006781</c:v>
                </c:pt>
                <c:pt idx="380">
                  <c:v>0,034159143</c:v>
                </c:pt>
                <c:pt idx="381">
                  <c:v>0,043656561</c:v>
                </c:pt>
                <c:pt idx="382">
                  <c:v>0,052614731</c:v>
                </c:pt>
                <c:pt idx="383">
                  <c:v>0,061346261</c:v>
                </c:pt>
                <c:pt idx="384">
                  <c:v>-0,04927428</c:v>
                </c:pt>
                <c:pt idx="385">
                  <c:v>-0,023906847</c:v>
                </c:pt>
                <c:pt idx="386">
                  <c:v>-0,005203092</c:v>
                </c:pt>
                <c:pt idx="387">
                  <c:v>0,009707705</c:v>
                </c:pt>
                <c:pt idx="388">
                  <c:v>0,022443026</c:v>
                </c:pt>
                <c:pt idx="389">
                  <c:v>-0,038927623</c:v>
                </c:pt>
                <c:pt idx="390">
                  <c:v>-0,049598962</c:v>
                </c:pt>
                <c:pt idx="391">
                  <c:v>-0,04514693</c:v>
                </c:pt>
                <c:pt idx="392">
                  <c:v>-0,035388211</c:v>
                </c:pt>
                <c:pt idx="393">
                  <c:v>-0,023602846</c:v>
                </c:pt>
                <c:pt idx="394">
                  <c:v>0,182760988</c:v>
                </c:pt>
                <c:pt idx="395">
                  <c:v>0,118812579</c:v>
                </c:pt>
                <c:pt idx="396">
                  <c:v>0,087508678</c:v>
                </c:pt>
                <c:pt idx="397">
                  <c:v>0,071275332</c:v>
                </c:pt>
                <c:pt idx="398">
                  <c:v>0,063240868</c:v>
                </c:pt>
                <c:pt idx="399">
                  <c:v>0,075920354</c:v>
                </c:pt>
              </c:strCache>
            </c:strRef>
          </c:xVal>
          <c:yVal>
            <c:numRef>
              <c:f>'D-Stat1'!$B$26:$B$425</c:f>
              <c:numCache>
                <c:formatCode>General</c:formatCode>
                <c:ptCount val="400"/>
                <c:pt idx="0">
                  <c:v>8.2950151133126067</c:v>
                </c:pt>
                <c:pt idx="1">
                  <c:v>8.2865757071450936</c:v>
                </c:pt>
                <c:pt idx="2">
                  <c:v>8.2781363009775824</c:v>
                </c:pt>
                <c:pt idx="3">
                  <c:v>8.2696968948100693</c:v>
                </c:pt>
                <c:pt idx="4">
                  <c:v>8.2612574886425563</c:v>
                </c:pt>
                <c:pt idx="5">
                  <c:v>8.9213658434121346</c:v>
                </c:pt>
                <c:pt idx="6">
                  <c:v>8.9129264372446215</c:v>
                </c:pt>
                <c:pt idx="7">
                  <c:v>8.9044870310771103</c:v>
                </c:pt>
                <c:pt idx="8">
                  <c:v>8.8960476249095972</c:v>
                </c:pt>
                <c:pt idx="9">
                  <c:v>8.8876082187420842</c:v>
                </c:pt>
                <c:pt idx="10">
                  <c:v>9.547716573511666</c:v>
                </c:pt>
                <c:pt idx="11">
                  <c:v>9.539277167344153</c:v>
                </c:pt>
                <c:pt idx="12">
                  <c:v>9.5308377611766417</c:v>
                </c:pt>
                <c:pt idx="13">
                  <c:v>9.5223983550091287</c:v>
                </c:pt>
                <c:pt idx="14">
                  <c:v>9.5139589488416156</c:v>
                </c:pt>
                <c:pt idx="15">
                  <c:v>10.174067303611194</c:v>
                </c:pt>
                <c:pt idx="16">
                  <c:v>10.165627897443681</c:v>
                </c:pt>
                <c:pt idx="17">
                  <c:v>10.15718849127617</c:v>
                </c:pt>
                <c:pt idx="18">
                  <c:v>10.148749085108657</c:v>
                </c:pt>
                <c:pt idx="19">
                  <c:v>10.140309678941144</c:v>
                </c:pt>
                <c:pt idx="20">
                  <c:v>10.800418033710725</c:v>
                </c:pt>
                <c:pt idx="21">
                  <c:v>10.791978627543212</c:v>
                </c:pt>
                <c:pt idx="22">
                  <c:v>10.783539221375701</c:v>
                </c:pt>
                <c:pt idx="23">
                  <c:v>10.775099815208188</c:v>
                </c:pt>
                <c:pt idx="24">
                  <c:v>10.766660409040675</c:v>
                </c:pt>
                <c:pt idx="25">
                  <c:v>8.2950151133126067</c:v>
                </c:pt>
                <c:pt idx="26">
                  <c:v>8.2865757071450936</c:v>
                </c:pt>
                <c:pt idx="27">
                  <c:v>8.2781363009775824</c:v>
                </c:pt>
                <c:pt idx="28">
                  <c:v>8.2696968948100693</c:v>
                </c:pt>
                <c:pt idx="29">
                  <c:v>8.2612574886425563</c:v>
                </c:pt>
                <c:pt idx="30">
                  <c:v>8.9213658434121346</c:v>
                </c:pt>
                <c:pt idx="31">
                  <c:v>8.9129264372446215</c:v>
                </c:pt>
                <c:pt idx="32">
                  <c:v>8.9044870310771103</c:v>
                </c:pt>
                <c:pt idx="33">
                  <c:v>8.8960476249095972</c:v>
                </c:pt>
                <c:pt idx="34">
                  <c:v>8.8876082187420842</c:v>
                </c:pt>
                <c:pt idx="35">
                  <c:v>9.547716573511666</c:v>
                </c:pt>
                <c:pt idx="36">
                  <c:v>9.539277167344153</c:v>
                </c:pt>
                <c:pt idx="37">
                  <c:v>9.5308377611766417</c:v>
                </c:pt>
                <c:pt idx="38">
                  <c:v>9.5223983550091287</c:v>
                </c:pt>
                <c:pt idx="39">
                  <c:v>9.5139589488416156</c:v>
                </c:pt>
                <c:pt idx="40">
                  <c:v>10.174067303611194</c:v>
                </c:pt>
                <c:pt idx="41">
                  <c:v>10.165627897443681</c:v>
                </c:pt>
                <c:pt idx="42">
                  <c:v>10.15718849127617</c:v>
                </c:pt>
                <c:pt idx="43">
                  <c:v>10.148749085108657</c:v>
                </c:pt>
                <c:pt idx="44">
                  <c:v>10.140309678941144</c:v>
                </c:pt>
                <c:pt idx="45">
                  <c:v>10.800418033710725</c:v>
                </c:pt>
                <c:pt idx="46">
                  <c:v>10.791978627543212</c:v>
                </c:pt>
                <c:pt idx="47">
                  <c:v>10.783539221375701</c:v>
                </c:pt>
                <c:pt idx="48">
                  <c:v>10.775099815208188</c:v>
                </c:pt>
                <c:pt idx="49">
                  <c:v>10.766660409040675</c:v>
                </c:pt>
                <c:pt idx="50">
                  <c:v>8.2950151133126067</c:v>
                </c:pt>
                <c:pt idx="51">
                  <c:v>8.2865757071450936</c:v>
                </c:pt>
                <c:pt idx="52">
                  <c:v>8.2781363009775824</c:v>
                </c:pt>
                <c:pt idx="53">
                  <c:v>8.2696968948100693</c:v>
                </c:pt>
                <c:pt idx="54">
                  <c:v>8.2612574886425563</c:v>
                </c:pt>
                <c:pt idx="55">
                  <c:v>8.9213658434121346</c:v>
                </c:pt>
                <c:pt idx="56">
                  <c:v>8.9129264372446215</c:v>
                </c:pt>
                <c:pt idx="57">
                  <c:v>8.9044870310771103</c:v>
                </c:pt>
                <c:pt idx="58">
                  <c:v>8.8960476249095972</c:v>
                </c:pt>
                <c:pt idx="59">
                  <c:v>8.8876082187420842</c:v>
                </c:pt>
                <c:pt idx="60">
                  <c:v>9.547716573511666</c:v>
                </c:pt>
                <c:pt idx="61">
                  <c:v>9.539277167344153</c:v>
                </c:pt>
                <c:pt idx="62">
                  <c:v>9.5308377611766417</c:v>
                </c:pt>
                <c:pt idx="63">
                  <c:v>9.5223983550091287</c:v>
                </c:pt>
                <c:pt idx="64">
                  <c:v>9.5139589488416156</c:v>
                </c:pt>
                <c:pt idx="65">
                  <c:v>10.174067303611194</c:v>
                </c:pt>
                <c:pt idx="66">
                  <c:v>10.165627897443681</c:v>
                </c:pt>
                <c:pt idx="67">
                  <c:v>10.15718849127617</c:v>
                </c:pt>
                <c:pt idx="68">
                  <c:v>10.148749085108657</c:v>
                </c:pt>
                <c:pt idx="69">
                  <c:v>10.140309678941144</c:v>
                </c:pt>
                <c:pt idx="70">
                  <c:v>10.800418033710725</c:v>
                </c:pt>
                <c:pt idx="71">
                  <c:v>10.791978627543212</c:v>
                </c:pt>
                <c:pt idx="72">
                  <c:v>10.783539221375701</c:v>
                </c:pt>
                <c:pt idx="73">
                  <c:v>10.775099815208188</c:v>
                </c:pt>
                <c:pt idx="74">
                  <c:v>10.766660409040675</c:v>
                </c:pt>
                <c:pt idx="75">
                  <c:v>8.2950151133126067</c:v>
                </c:pt>
                <c:pt idx="76">
                  <c:v>8.2865757071450936</c:v>
                </c:pt>
                <c:pt idx="77">
                  <c:v>8.2781363009775824</c:v>
                </c:pt>
                <c:pt idx="78">
                  <c:v>8.2696968948100693</c:v>
                </c:pt>
                <c:pt idx="79">
                  <c:v>8.2612574886425563</c:v>
                </c:pt>
                <c:pt idx="80">
                  <c:v>8.9213658434121346</c:v>
                </c:pt>
                <c:pt idx="81">
                  <c:v>8.9129264372446215</c:v>
                </c:pt>
                <c:pt idx="82">
                  <c:v>8.9044870310771103</c:v>
                </c:pt>
                <c:pt idx="83">
                  <c:v>8.8960476249095972</c:v>
                </c:pt>
                <c:pt idx="84">
                  <c:v>8.8876082187420842</c:v>
                </c:pt>
                <c:pt idx="85">
                  <c:v>9.547716573511666</c:v>
                </c:pt>
                <c:pt idx="86">
                  <c:v>9.539277167344153</c:v>
                </c:pt>
                <c:pt idx="87">
                  <c:v>9.5308377611766417</c:v>
                </c:pt>
                <c:pt idx="88">
                  <c:v>9.5223983550091287</c:v>
                </c:pt>
                <c:pt idx="89">
                  <c:v>9.5139589488416156</c:v>
                </c:pt>
                <c:pt idx="90">
                  <c:v>10.174067303611194</c:v>
                </c:pt>
                <c:pt idx="91">
                  <c:v>10.165627897443681</c:v>
                </c:pt>
                <c:pt idx="92">
                  <c:v>10.15718849127617</c:v>
                </c:pt>
                <c:pt idx="93">
                  <c:v>10.148749085108657</c:v>
                </c:pt>
                <c:pt idx="94">
                  <c:v>10.140309678941144</c:v>
                </c:pt>
                <c:pt idx="95">
                  <c:v>10.800418033710725</c:v>
                </c:pt>
                <c:pt idx="96">
                  <c:v>10.791978627543212</c:v>
                </c:pt>
                <c:pt idx="97">
                  <c:v>10.783539221375701</c:v>
                </c:pt>
                <c:pt idx="98">
                  <c:v>10.775099815208188</c:v>
                </c:pt>
                <c:pt idx="99">
                  <c:v>10.766660409040675</c:v>
                </c:pt>
                <c:pt idx="100">
                  <c:v>8.2950151133126067</c:v>
                </c:pt>
                <c:pt idx="101">
                  <c:v>8.2865757071450936</c:v>
                </c:pt>
                <c:pt idx="102">
                  <c:v>8.2781363009775824</c:v>
                </c:pt>
                <c:pt idx="103">
                  <c:v>8.2696968948100693</c:v>
                </c:pt>
                <c:pt idx="104">
                  <c:v>8.2612574886425563</c:v>
                </c:pt>
                <c:pt idx="105">
                  <c:v>8.9213658434121346</c:v>
                </c:pt>
                <c:pt idx="106">
                  <c:v>8.9129264372446215</c:v>
                </c:pt>
                <c:pt idx="107">
                  <c:v>8.9044870310771103</c:v>
                </c:pt>
                <c:pt idx="108">
                  <c:v>8.8960476249095972</c:v>
                </c:pt>
                <c:pt idx="109">
                  <c:v>8.8876082187420842</c:v>
                </c:pt>
                <c:pt idx="110">
                  <c:v>9.547716573511666</c:v>
                </c:pt>
                <c:pt idx="111">
                  <c:v>9.539277167344153</c:v>
                </c:pt>
                <c:pt idx="112">
                  <c:v>9.5308377611766417</c:v>
                </c:pt>
                <c:pt idx="113">
                  <c:v>9.5223983550091287</c:v>
                </c:pt>
                <c:pt idx="114">
                  <c:v>9.5139589488416156</c:v>
                </c:pt>
                <c:pt idx="115">
                  <c:v>10.174067303611194</c:v>
                </c:pt>
                <c:pt idx="116">
                  <c:v>10.165627897443681</c:v>
                </c:pt>
                <c:pt idx="117">
                  <c:v>10.15718849127617</c:v>
                </c:pt>
                <c:pt idx="118">
                  <c:v>10.148749085108657</c:v>
                </c:pt>
                <c:pt idx="119">
                  <c:v>10.140309678941144</c:v>
                </c:pt>
                <c:pt idx="120">
                  <c:v>10.800418033710725</c:v>
                </c:pt>
                <c:pt idx="121">
                  <c:v>10.791978627543212</c:v>
                </c:pt>
                <c:pt idx="122">
                  <c:v>10.783539221375701</c:v>
                </c:pt>
                <c:pt idx="123">
                  <c:v>10.775099815208188</c:v>
                </c:pt>
                <c:pt idx="124">
                  <c:v>10.766660409040675</c:v>
                </c:pt>
                <c:pt idx="125">
                  <c:v>8.2950151133126067</c:v>
                </c:pt>
                <c:pt idx="126">
                  <c:v>8.2865757071450936</c:v>
                </c:pt>
                <c:pt idx="127">
                  <c:v>8.2781363009775824</c:v>
                </c:pt>
                <c:pt idx="128">
                  <c:v>8.2696968948100693</c:v>
                </c:pt>
                <c:pt idx="129">
                  <c:v>8.2612574886425563</c:v>
                </c:pt>
                <c:pt idx="130">
                  <c:v>8.9213658434121346</c:v>
                </c:pt>
                <c:pt idx="131">
                  <c:v>8.9129264372446215</c:v>
                </c:pt>
                <c:pt idx="132">
                  <c:v>8.9044870310771103</c:v>
                </c:pt>
                <c:pt idx="133">
                  <c:v>8.8960476249095972</c:v>
                </c:pt>
                <c:pt idx="134">
                  <c:v>8.8876082187420842</c:v>
                </c:pt>
                <c:pt idx="135">
                  <c:v>9.547716573511666</c:v>
                </c:pt>
                <c:pt idx="136">
                  <c:v>9.539277167344153</c:v>
                </c:pt>
                <c:pt idx="137">
                  <c:v>9.5308377611766417</c:v>
                </c:pt>
                <c:pt idx="138">
                  <c:v>9.5223983550091287</c:v>
                </c:pt>
                <c:pt idx="139">
                  <c:v>9.5139589488416156</c:v>
                </c:pt>
                <c:pt idx="140">
                  <c:v>10.174067303611194</c:v>
                </c:pt>
                <c:pt idx="141">
                  <c:v>10.165627897443681</c:v>
                </c:pt>
                <c:pt idx="142">
                  <c:v>10.15718849127617</c:v>
                </c:pt>
                <c:pt idx="143">
                  <c:v>10.148749085108657</c:v>
                </c:pt>
                <c:pt idx="144">
                  <c:v>10.140309678941144</c:v>
                </c:pt>
                <c:pt idx="145">
                  <c:v>10.800418033710725</c:v>
                </c:pt>
                <c:pt idx="146">
                  <c:v>10.791978627543212</c:v>
                </c:pt>
                <c:pt idx="147">
                  <c:v>10.783539221375701</c:v>
                </c:pt>
                <c:pt idx="148">
                  <c:v>10.775099815208188</c:v>
                </c:pt>
                <c:pt idx="149">
                  <c:v>10.766660409040675</c:v>
                </c:pt>
                <c:pt idx="150">
                  <c:v>8.2950151133126067</c:v>
                </c:pt>
                <c:pt idx="151">
                  <c:v>8.2865757071450936</c:v>
                </c:pt>
                <c:pt idx="152">
                  <c:v>8.2781363009775824</c:v>
                </c:pt>
                <c:pt idx="153">
                  <c:v>8.2696968948100693</c:v>
                </c:pt>
                <c:pt idx="154">
                  <c:v>8.2612574886425563</c:v>
                </c:pt>
                <c:pt idx="155">
                  <c:v>8.9213658434121346</c:v>
                </c:pt>
                <c:pt idx="156">
                  <c:v>8.9129264372446215</c:v>
                </c:pt>
                <c:pt idx="157">
                  <c:v>8.9044870310771103</c:v>
                </c:pt>
                <c:pt idx="158">
                  <c:v>8.8960476249095972</c:v>
                </c:pt>
                <c:pt idx="159">
                  <c:v>8.8876082187420842</c:v>
                </c:pt>
                <c:pt idx="160">
                  <c:v>9.547716573511666</c:v>
                </c:pt>
                <c:pt idx="161">
                  <c:v>9.539277167344153</c:v>
                </c:pt>
                <c:pt idx="162">
                  <c:v>9.5308377611766417</c:v>
                </c:pt>
                <c:pt idx="163">
                  <c:v>9.5223983550091287</c:v>
                </c:pt>
                <c:pt idx="164">
                  <c:v>9.5139589488416156</c:v>
                </c:pt>
                <c:pt idx="165">
                  <c:v>10.174067303611194</c:v>
                </c:pt>
                <c:pt idx="166">
                  <c:v>10.165627897443681</c:v>
                </c:pt>
                <c:pt idx="167">
                  <c:v>10.15718849127617</c:v>
                </c:pt>
                <c:pt idx="168">
                  <c:v>10.148749085108657</c:v>
                </c:pt>
                <c:pt idx="169">
                  <c:v>10.140309678941144</c:v>
                </c:pt>
                <c:pt idx="170">
                  <c:v>10.800418033710725</c:v>
                </c:pt>
                <c:pt idx="171">
                  <c:v>10.791978627543212</c:v>
                </c:pt>
                <c:pt idx="172">
                  <c:v>10.783539221375701</c:v>
                </c:pt>
                <c:pt idx="173">
                  <c:v>10.775099815208188</c:v>
                </c:pt>
                <c:pt idx="174">
                  <c:v>10.766660409040675</c:v>
                </c:pt>
                <c:pt idx="175">
                  <c:v>8.2950151133126067</c:v>
                </c:pt>
                <c:pt idx="176">
                  <c:v>8.2865757071450936</c:v>
                </c:pt>
                <c:pt idx="177">
                  <c:v>8.2781363009775824</c:v>
                </c:pt>
                <c:pt idx="178">
                  <c:v>8.2696968948100693</c:v>
                </c:pt>
                <c:pt idx="179">
                  <c:v>8.2612574886425563</c:v>
                </c:pt>
                <c:pt idx="180">
                  <c:v>8.9213658434121346</c:v>
                </c:pt>
                <c:pt idx="181">
                  <c:v>8.9129264372446215</c:v>
                </c:pt>
                <c:pt idx="182">
                  <c:v>8.9044870310771103</c:v>
                </c:pt>
                <c:pt idx="183">
                  <c:v>8.8960476249095972</c:v>
                </c:pt>
                <c:pt idx="184">
                  <c:v>8.8876082187420842</c:v>
                </c:pt>
                <c:pt idx="185">
                  <c:v>9.547716573511666</c:v>
                </c:pt>
                <c:pt idx="186">
                  <c:v>9.539277167344153</c:v>
                </c:pt>
                <c:pt idx="187">
                  <c:v>9.5308377611766417</c:v>
                </c:pt>
                <c:pt idx="188">
                  <c:v>9.5223983550091287</c:v>
                </c:pt>
                <c:pt idx="189">
                  <c:v>9.5139589488416156</c:v>
                </c:pt>
                <c:pt idx="190">
                  <c:v>10.174067303611194</c:v>
                </c:pt>
                <c:pt idx="191">
                  <c:v>10.165627897443681</c:v>
                </c:pt>
                <c:pt idx="192">
                  <c:v>10.15718849127617</c:v>
                </c:pt>
                <c:pt idx="193">
                  <c:v>10.148749085108657</c:v>
                </c:pt>
                <c:pt idx="194">
                  <c:v>10.140309678941144</c:v>
                </c:pt>
                <c:pt idx="195">
                  <c:v>10.800418033710725</c:v>
                </c:pt>
                <c:pt idx="196">
                  <c:v>10.791978627543212</c:v>
                </c:pt>
                <c:pt idx="197">
                  <c:v>10.783539221375701</c:v>
                </c:pt>
                <c:pt idx="198">
                  <c:v>10.775099815208188</c:v>
                </c:pt>
                <c:pt idx="199">
                  <c:v>10.766660409040675</c:v>
                </c:pt>
                <c:pt idx="200">
                  <c:v>8.2950151133126067</c:v>
                </c:pt>
                <c:pt idx="201">
                  <c:v>8.2865757071450936</c:v>
                </c:pt>
                <c:pt idx="202">
                  <c:v>8.2781363009775824</c:v>
                </c:pt>
                <c:pt idx="203">
                  <c:v>8.2696968948100693</c:v>
                </c:pt>
                <c:pt idx="204">
                  <c:v>8.2612574886425563</c:v>
                </c:pt>
                <c:pt idx="205">
                  <c:v>8.9213658434121346</c:v>
                </c:pt>
                <c:pt idx="206">
                  <c:v>8.9129264372446215</c:v>
                </c:pt>
                <c:pt idx="207">
                  <c:v>8.9044870310771103</c:v>
                </c:pt>
                <c:pt idx="208">
                  <c:v>8.8960476249095972</c:v>
                </c:pt>
                <c:pt idx="209">
                  <c:v>8.8876082187420842</c:v>
                </c:pt>
                <c:pt idx="210">
                  <c:v>9.547716573511666</c:v>
                </c:pt>
                <c:pt idx="211">
                  <c:v>9.539277167344153</c:v>
                </c:pt>
                <c:pt idx="212">
                  <c:v>9.5308377611766417</c:v>
                </c:pt>
                <c:pt idx="213">
                  <c:v>9.5223983550091287</c:v>
                </c:pt>
                <c:pt idx="214">
                  <c:v>9.5139589488416156</c:v>
                </c:pt>
                <c:pt idx="215">
                  <c:v>10.174067303611194</c:v>
                </c:pt>
                <c:pt idx="216">
                  <c:v>10.165627897443681</c:v>
                </c:pt>
                <c:pt idx="217">
                  <c:v>10.15718849127617</c:v>
                </c:pt>
                <c:pt idx="218">
                  <c:v>10.148749085108657</c:v>
                </c:pt>
                <c:pt idx="219">
                  <c:v>10.140309678941144</c:v>
                </c:pt>
                <c:pt idx="220">
                  <c:v>10.800418033710725</c:v>
                </c:pt>
                <c:pt idx="221">
                  <c:v>10.791978627543212</c:v>
                </c:pt>
                <c:pt idx="222">
                  <c:v>10.783539221375701</c:v>
                </c:pt>
                <c:pt idx="223">
                  <c:v>10.775099815208188</c:v>
                </c:pt>
                <c:pt idx="224">
                  <c:v>10.766660409040675</c:v>
                </c:pt>
                <c:pt idx="225">
                  <c:v>8.2950151133126067</c:v>
                </c:pt>
                <c:pt idx="226">
                  <c:v>8.2865757071450936</c:v>
                </c:pt>
                <c:pt idx="227">
                  <c:v>8.2781363009775824</c:v>
                </c:pt>
                <c:pt idx="228">
                  <c:v>8.2696968948100693</c:v>
                </c:pt>
                <c:pt idx="229">
                  <c:v>8.2612574886425563</c:v>
                </c:pt>
                <c:pt idx="230">
                  <c:v>8.9213658434121346</c:v>
                </c:pt>
                <c:pt idx="231">
                  <c:v>8.9129264372446215</c:v>
                </c:pt>
                <c:pt idx="232">
                  <c:v>8.9044870310771103</c:v>
                </c:pt>
                <c:pt idx="233">
                  <c:v>8.8960476249095972</c:v>
                </c:pt>
                <c:pt idx="234">
                  <c:v>8.8876082187420842</c:v>
                </c:pt>
                <c:pt idx="235">
                  <c:v>9.547716573511666</c:v>
                </c:pt>
                <c:pt idx="236">
                  <c:v>9.539277167344153</c:v>
                </c:pt>
                <c:pt idx="237">
                  <c:v>9.5308377611766417</c:v>
                </c:pt>
                <c:pt idx="238">
                  <c:v>9.5223983550091287</c:v>
                </c:pt>
                <c:pt idx="239">
                  <c:v>9.5139589488416156</c:v>
                </c:pt>
                <c:pt idx="240">
                  <c:v>10.174067303611194</c:v>
                </c:pt>
                <c:pt idx="241">
                  <c:v>10.165627897443681</c:v>
                </c:pt>
                <c:pt idx="242">
                  <c:v>10.15718849127617</c:v>
                </c:pt>
                <c:pt idx="243">
                  <c:v>10.148749085108657</c:v>
                </c:pt>
                <c:pt idx="244">
                  <c:v>10.140309678941144</c:v>
                </c:pt>
                <c:pt idx="245">
                  <c:v>10.800418033710725</c:v>
                </c:pt>
                <c:pt idx="246">
                  <c:v>10.791978627543212</c:v>
                </c:pt>
                <c:pt idx="247">
                  <c:v>10.783539221375701</c:v>
                </c:pt>
                <c:pt idx="248">
                  <c:v>10.775099815208188</c:v>
                </c:pt>
                <c:pt idx="249">
                  <c:v>10.766660409040675</c:v>
                </c:pt>
                <c:pt idx="250">
                  <c:v>8.2950151133126067</c:v>
                </c:pt>
                <c:pt idx="251">
                  <c:v>8.2865757071450936</c:v>
                </c:pt>
                <c:pt idx="252">
                  <c:v>8.2781363009775824</c:v>
                </c:pt>
                <c:pt idx="253">
                  <c:v>8.2696968948100693</c:v>
                </c:pt>
                <c:pt idx="254">
                  <c:v>8.2612574886425563</c:v>
                </c:pt>
                <c:pt idx="255">
                  <c:v>8.9213658434121346</c:v>
                </c:pt>
                <c:pt idx="256">
                  <c:v>8.9129264372446215</c:v>
                </c:pt>
                <c:pt idx="257">
                  <c:v>8.9044870310771103</c:v>
                </c:pt>
                <c:pt idx="258">
                  <c:v>8.8960476249095972</c:v>
                </c:pt>
                <c:pt idx="259">
                  <c:v>8.8876082187420842</c:v>
                </c:pt>
                <c:pt idx="260">
                  <c:v>9.547716573511666</c:v>
                </c:pt>
                <c:pt idx="261">
                  <c:v>9.539277167344153</c:v>
                </c:pt>
                <c:pt idx="262">
                  <c:v>9.5308377611766417</c:v>
                </c:pt>
                <c:pt idx="263">
                  <c:v>9.5223983550091287</c:v>
                </c:pt>
                <c:pt idx="264">
                  <c:v>9.5139589488416156</c:v>
                </c:pt>
                <c:pt idx="265">
                  <c:v>10.174067303611194</c:v>
                </c:pt>
                <c:pt idx="266">
                  <c:v>10.165627897443681</c:v>
                </c:pt>
                <c:pt idx="267">
                  <c:v>10.15718849127617</c:v>
                </c:pt>
                <c:pt idx="268">
                  <c:v>10.148749085108657</c:v>
                </c:pt>
                <c:pt idx="269">
                  <c:v>10.140309678941144</c:v>
                </c:pt>
                <c:pt idx="270">
                  <c:v>10.800418033710725</c:v>
                </c:pt>
                <c:pt idx="271">
                  <c:v>10.791978627543212</c:v>
                </c:pt>
                <c:pt idx="272">
                  <c:v>10.783539221375701</c:v>
                </c:pt>
                <c:pt idx="273">
                  <c:v>10.775099815208188</c:v>
                </c:pt>
                <c:pt idx="274">
                  <c:v>10.766660409040675</c:v>
                </c:pt>
                <c:pt idx="275">
                  <c:v>8.2950151133126067</c:v>
                </c:pt>
                <c:pt idx="276">
                  <c:v>8.2865757071450936</c:v>
                </c:pt>
                <c:pt idx="277">
                  <c:v>8.2781363009775824</c:v>
                </c:pt>
                <c:pt idx="278">
                  <c:v>8.2696968948100693</c:v>
                </c:pt>
                <c:pt idx="279">
                  <c:v>8.2612574886425563</c:v>
                </c:pt>
                <c:pt idx="280">
                  <c:v>8.9213658434121346</c:v>
                </c:pt>
                <c:pt idx="281">
                  <c:v>8.9129264372446215</c:v>
                </c:pt>
                <c:pt idx="282">
                  <c:v>8.9044870310771103</c:v>
                </c:pt>
                <c:pt idx="283">
                  <c:v>8.8960476249095972</c:v>
                </c:pt>
                <c:pt idx="284">
                  <c:v>8.8876082187420842</c:v>
                </c:pt>
                <c:pt idx="285">
                  <c:v>9.547716573511666</c:v>
                </c:pt>
                <c:pt idx="286">
                  <c:v>9.539277167344153</c:v>
                </c:pt>
                <c:pt idx="287">
                  <c:v>9.5308377611766417</c:v>
                </c:pt>
                <c:pt idx="288">
                  <c:v>9.5223983550091287</c:v>
                </c:pt>
                <c:pt idx="289">
                  <c:v>9.5139589488416156</c:v>
                </c:pt>
                <c:pt idx="290">
                  <c:v>10.174067303611194</c:v>
                </c:pt>
                <c:pt idx="291">
                  <c:v>10.165627897443681</c:v>
                </c:pt>
                <c:pt idx="292">
                  <c:v>10.15718849127617</c:v>
                </c:pt>
                <c:pt idx="293">
                  <c:v>10.148749085108657</c:v>
                </c:pt>
                <c:pt idx="294">
                  <c:v>10.140309678941144</c:v>
                </c:pt>
                <c:pt idx="295">
                  <c:v>10.800418033710725</c:v>
                </c:pt>
                <c:pt idx="296">
                  <c:v>10.791978627543212</c:v>
                </c:pt>
                <c:pt idx="297">
                  <c:v>10.783539221375701</c:v>
                </c:pt>
                <c:pt idx="298">
                  <c:v>10.775099815208188</c:v>
                </c:pt>
                <c:pt idx="299">
                  <c:v>10.766660409040675</c:v>
                </c:pt>
                <c:pt idx="300">
                  <c:v>8.2950151133126067</c:v>
                </c:pt>
                <c:pt idx="301">
                  <c:v>8.2865757071450936</c:v>
                </c:pt>
                <c:pt idx="302">
                  <c:v>8.2781363009775824</c:v>
                </c:pt>
                <c:pt idx="303">
                  <c:v>8.2696968948100693</c:v>
                </c:pt>
                <c:pt idx="304">
                  <c:v>8.2612574886425563</c:v>
                </c:pt>
                <c:pt idx="305">
                  <c:v>8.9213658434121346</c:v>
                </c:pt>
                <c:pt idx="306">
                  <c:v>8.9129264372446215</c:v>
                </c:pt>
                <c:pt idx="307">
                  <c:v>8.9044870310771103</c:v>
                </c:pt>
                <c:pt idx="308">
                  <c:v>8.8960476249095972</c:v>
                </c:pt>
                <c:pt idx="309">
                  <c:v>8.8876082187420842</c:v>
                </c:pt>
                <c:pt idx="310">
                  <c:v>9.547716573511666</c:v>
                </c:pt>
                <c:pt idx="311">
                  <c:v>9.539277167344153</c:v>
                </c:pt>
                <c:pt idx="312">
                  <c:v>9.5308377611766417</c:v>
                </c:pt>
                <c:pt idx="313">
                  <c:v>9.5223983550091287</c:v>
                </c:pt>
                <c:pt idx="314">
                  <c:v>9.5139589488416156</c:v>
                </c:pt>
                <c:pt idx="315">
                  <c:v>10.174067303611194</c:v>
                </c:pt>
                <c:pt idx="316">
                  <c:v>10.165627897443681</c:v>
                </c:pt>
                <c:pt idx="317">
                  <c:v>10.15718849127617</c:v>
                </c:pt>
                <c:pt idx="318">
                  <c:v>10.148749085108657</c:v>
                </c:pt>
                <c:pt idx="319">
                  <c:v>10.140309678941144</c:v>
                </c:pt>
                <c:pt idx="320">
                  <c:v>10.800418033710725</c:v>
                </c:pt>
                <c:pt idx="321">
                  <c:v>10.791978627543212</c:v>
                </c:pt>
                <c:pt idx="322">
                  <c:v>10.783539221375701</c:v>
                </c:pt>
                <c:pt idx="323">
                  <c:v>10.775099815208188</c:v>
                </c:pt>
                <c:pt idx="324">
                  <c:v>10.766660409040675</c:v>
                </c:pt>
                <c:pt idx="325">
                  <c:v>8.2950151133126067</c:v>
                </c:pt>
                <c:pt idx="326">
                  <c:v>8.2865757071450936</c:v>
                </c:pt>
                <c:pt idx="327">
                  <c:v>8.2781363009775824</c:v>
                </c:pt>
                <c:pt idx="328">
                  <c:v>8.2696968948100693</c:v>
                </c:pt>
                <c:pt idx="329">
                  <c:v>8.2612574886425563</c:v>
                </c:pt>
                <c:pt idx="330">
                  <c:v>8.9213658434121346</c:v>
                </c:pt>
                <c:pt idx="331">
                  <c:v>8.9129264372446215</c:v>
                </c:pt>
                <c:pt idx="332">
                  <c:v>8.9044870310771103</c:v>
                </c:pt>
                <c:pt idx="333">
                  <c:v>8.8960476249095972</c:v>
                </c:pt>
                <c:pt idx="334">
                  <c:v>8.8876082187420842</c:v>
                </c:pt>
                <c:pt idx="335">
                  <c:v>9.547716573511666</c:v>
                </c:pt>
                <c:pt idx="336">
                  <c:v>9.539277167344153</c:v>
                </c:pt>
                <c:pt idx="337">
                  <c:v>9.5308377611766417</c:v>
                </c:pt>
                <c:pt idx="338">
                  <c:v>9.5223983550091287</c:v>
                </c:pt>
                <c:pt idx="339">
                  <c:v>9.5139589488416156</c:v>
                </c:pt>
                <c:pt idx="340">
                  <c:v>10.174067303611194</c:v>
                </c:pt>
                <c:pt idx="341">
                  <c:v>10.165627897443681</c:v>
                </c:pt>
                <c:pt idx="342">
                  <c:v>10.15718849127617</c:v>
                </c:pt>
                <c:pt idx="343">
                  <c:v>10.148749085108657</c:v>
                </c:pt>
                <c:pt idx="344">
                  <c:v>10.140309678941144</c:v>
                </c:pt>
                <c:pt idx="345">
                  <c:v>10.800418033710725</c:v>
                </c:pt>
                <c:pt idx="346">
                  <c:v>10.791978627543212</c:v>
                </c:pt>
                <c:pt idx="347">
                  <c:v>10.783539221375701</c:v>
                </c:pt>
                <c:pt idx="348">
                  <c:v>10.775099815208188</c:v>
                </c:pt>
                <c:pt idx="349">
                  <c:v>10.766660409040675</c:v>
                </c:pt>
                <c:pt idx="350">
                  <c:v>8.2950151133126067</c:v>
                </c:pt>
                <c:pt idx="351">
                  <c:v>8.2865757071450936</c:v>
                </c:pt>
                <c:pt idx="352">
                  <c:v>8.2781363009775824</c:v>
                </c:pt>
                <c:pt idx="353">
                  <c:v>8.2696968948100693</c:v>
                </c:pt>
                <c:pt idx="354">
                  <c:v>8.2612574886425563</c:v>
                </c:pt>
                <c:pt idx="355">
                  <c:v>8.9213658434121346</c:v>
                </c:pt>
                <c:pt idx="356">
                  <c:v>8.9129264372446215</c:v>
                </c:pt>
                <c:pt idx="357">
                  <c:v>8.9044870310771103</c:v>
                </c:pt>
                <c:pt idx="358">
                  <c:v>8.8960476249095972</c:v>
                </c:pt>
                <c:pt idx="359">
                  <c:v>8.8876082187420842</c:v>
                </c:pt>
                <c:pt idx="360">
                  <c:v>9.547716573511666</c:v>
                </c:pt>
                <c:pt idx="361">
                  <c:v>9.539277167344153</c:v>
                </c:pt>
                <c:pt idx="362">
                  <c:v>9.5308377611766417</c:v>
                </c:pt>
                <c:pt idx="363">
                  <c:v>9.5223983550091287</c:v>
                </c:pt>
                <c:pt idx="364">
                  <c:v>9.5139589488416156</c:v>
                </c:pt>
                <c:pt idx="365">
                  <c:v>10.174067303611194</c:v>
                </c:pt>
                <c:pt idx="366">
                  <c:v>10.165627897443681</c:v>
                </c:pt>
                <c:pt idx="367">
                  <c:v>10.15718849127617</c:v>
                </c:pt>
                <c:pt idx="368">
                  <c:v>10.148749085108657</c:v>
                </c:pt>
                <c:pt idx="369">
                  <c:v>10.140309678941144</c:v>
                </c:pt>
                <c:pt idx="370">
                  <c:v>10.800418033710725</c:v>
                </c:pt>
                <c:pt idx="371">
                  <c:v>10.791978627543212</c:v>
                </c:pt>
                <c:pt idx="372">
                  <c:v>10.783539221375701</c:v>
                </c:pt>
                <c:pt idx="373">
                  <c:v>10.775099815208188</c:v>
                </c:pt>
                <c:pt idx="374">
                  <c:v>10.766660409040675</c:v>
                </c:pt>
                <c:pt idx="375">
                  <c:v>8.2950151133126067</c:v>
                </c:pt>
                <c:pt idx="376">
                  <c:v>8.2865757071450936</c:v>
                </c:pt>
                <c:pt idx="377">
                  <c:v>8.2781363009775824</c:v>
                </c:pt>
                <c:pt idx="378">
                  <c:v>8.2696968948100693</c:v>
                </c:pt>
                <c:pt idx="379">
                  <c:v>8.2612574886425563</c:v>
                </c:pt>
                <c:pt idx="380">
                  <c:v>8.9213658434121346</c:v>
                </c:pt>
                <c:pt idx="381">
                  <c:v>8.9129264372446215</c:v>
                </c:pt>
                <c:pt idx="382">
                  <c:v>8.9044870310771103</c:v>
                </c:pt>
                <c:pt idx="383">
                  <c:v>8.8960476249095972</c:v>
                </c:pt>
                <c:pt idx="384">
                  <c:v>8.8876082187420842</c:v>
                </c:pt>
                <c:pt idx="385">
                  <c:v>9.547716573511666</c:v>
                </c:pt>
                <c:pt idx="386">
                  <c:v>9.539277167344153</c:v>
                </c:pt>
                <c:pt idx="387">
                  <c:v>9.5308377611766417</c:v>
                </c:pt>
                <c:pt idx="388">
                  <c:v>9.5223983550091287</c:v>
                </c:pt>
                <c:pt idx="389">
                  <c:v>9.5139589488416156</c:v>
                </c:pt>
                <c:pt idx="390">
                  <c:v>10.174067303611194</c:v>
                </c:pt>
                <c:pt idx="391">
                  <c:v>10.165627897443681</c:v>
                </c:pt>
                <c:pt idx="392">
                  <c:v>10.15718849127617</c:v>
                </c:pt>
                <c:pt idx="393">
                  <c:v>10.148749085108657</c:v>
                </c:pt>
                <c:pt idx="394">
                  <c:v>10.140309678941144</c:v>
                </c:pt>
                <c:pt idx="395">
                  <c:v>10.800418033710725</c:v>
                </c:pt>
                <c:pt idx="396">
                  <c:v>10.791978627543212</c:v>
                </c:pt>
                <c:pt idx="397">
                  <c:v>10.783539221375701</c:v>
                </c:pt>
                <c:pt idx="398">
                  <c:v>10.775099815208188</c:v>
                </c:pt>
                <c:pt idx="399">
                  <c:v>10.766660409040675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F6-B14D-907A-D12DE1EC0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586223"/>
        <c:axId val="2046504239"/>
      </c:scatterChart>
      <c:valAx>
        <c:axId val="204658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2</a:t>
                </a:r>
              </a:p>
            </c:rich>
          </c:tx>
          <c:overlay val="0"/>
        </c:title>
        <c:majorTickMark val="out"/>
        <c:minorTickMark val="none"/>
        <c:tickLblPos val="nextTo"/>
        <c:crossAx val="2046504239"/>
        <c:crosses val="autoZero"/>
        <c:crossBetween val="midCat"/>
      </c:valAx>
      <c:valAx>
        <c:axId val="2046504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465862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'D-Stat2'!$C$25:$C$424</c:f>
              <c:numCache>
                <c:formatCode>General</c:formatCode>
                <c:ptCount val="400"/>
                <c:pt idx="0">
                  <c:v>2.0964440101558068E-2</c:v>
                </c:pt>
                <c:pt idx="1">
                  <c:v>7.7952835990480196E-3</c:v>
                </c:pt>
                <c:pt idx="2">
                  <c:v>-4.2820843967010802E-3</c:v>
                </c:pt>
                <c:pt idx="3">
                  <c:v>-1.5420893851672446E-2</c:v>
                </c:pt>
                <c:pt idx="4">
                  <c:v>-2.570642383723154E-2</c:v>
                </c:pt>
                <c:pt idx="5">
                  <c:v>-8.873228316413595E-2</c:v>
                </c:pt>
                <c:pt idx="6">
                  <c:v>-9.1948017472796906E-2</c:v>
                </c:pt>
                <c:pt idx="7">
                  <c:v>-9.4250194930156184E-2</c:v>
                </c:pt>
                <c:pt idx="8">
                  <c:v>-9.6174143133746171E-2</c:v>
                </c:pt>
                <c:pt idx="9">
                  <c:v>-9.7898873865077007E-2</c:v>
                </c:pt>
                <c:pt idx="10">
                  <c:v>-0.14824472435283909</c:v>
                </c:pt>
                <c:pt idx="11">
                  <c:v>-0.15711141476110946</c:v>
                </c:pt>
                <c:pt idx="12">
                  <c:v>-0.16162514070910916</c:v>
                </c:pt>
                <c:pt idx="13">
                  <c:v>-0.16438040347881966</c:v>
                </c:pt>
                <c:pt idx="14">
                  <c:v>-0.16625119532377042</c:v>
                </c:pt>
                <c:pt idx="15">
                  <c:v>-7.3264906320073209E-2</c:v>
                </c:pt>
                <c:pt idx="16">
                  <c:v>-0.10845898051137404</c:v>
                </c:pt>
                <c:pt idx="17">
                  <c:v>-0.12669101992277376</c:v>
                </c:pt>
                <c:pt idx="18">
                  <c:v>-0.13785701934307326</c:v>
                </c:pt>
                <c:pt idx="19">
                  <c:v>-0.14540257910127252</c:v>
                </c:pt>
                <c:pt idx="20">
                  <c:v>0.18607080259409159</c:v>
                </c:pt>
                <c:pt idx="21">
                  <c:v>0.10901075453509179</c:v>
                </c:pt>
                <c:pt idx="22">
                  <c:v>6.5166409535391878E-2</c:v>
                </c:pt>
                <c:pt idx="23">
                  <c:v>3.6758133816691796E-2</c:v>
                </c:pt>
                <c:pt idx="24">
                  <c:v>1.6813273591392175E-2</c:v>
                </c:pt>
                <c:pt idx="25">
                  <c:v>2.5452275683427672E-2</c:v>
                </c:pt>
                <c:pt idx="26">
                  <c:v>1.4088719765188884E-2</c:v>
                </c:pt>
                <c:pt idx="27">
                  <c:v>3.5529462196883799E-3</c:v>
                </c:pt>
                <c:pt idx="28">
                  <c:v>-6.2862152850620134E-3</c:v>
                </c:pt>
                <c:pt idx="29">
                  <c:v>-1.5492700486770872E-2</c:v>
                </c:pt>
                <c:pt idx="30">
                  <c:v>-8.8256327009776925E-2</c:v>
                </c:pt>
                <c:pt idx="31">
                  <c:v>-9.1241526658697225E-2</c:v>
                </c:pt>
                <c:pt idx="32">
                  <c:v>-9.3319341550175849E-2</c:v>
                </c:pt>
                <c:pt idx="33">
                  <c:v>-9.5024999734286908E-2</c:v>
                </c:pt>
                <c:pt idx="34">
                  <c:v>-9.6537411900676773E-2</c:v>
                </c:pt>
                <c:pt idx="35">
                  <c:v>-0.14821912176035035</c:v>
                </c:pt>
                <c:pt idx="36">
                  <c:v>-0.15707157313399911</c:v>
                </c:pt>
                <c:pt idx="37">
                  <c:v>-0.1615711229315302</c:v>
                </c:pt>
                <c:pt idx="38">
                  <c:v>-0.16431229740121012</c:v>
                </c:pt>
                <c:pt idx="39">
                  <c:v>-0.1661690833361007</c:v>
                </c:pt>
                <c:pt idx="40">
                  <c:v>-7.3268120928773328E-2</c:v>
                </c:pt>
                <c:pt idx="41">
                  <c:v>-0.10846295270027362</c:v>
                </c:pt>
                <c:pt idx="42">
                  <c:v>-0.12669569855007268</c:v>
                </c:pt>
                <c:pt idx="43">
                  <c:v>-0.13786238076807322</c:v>
                </c:pt>
                <c:pt idx="44">
                  <c:v>-0.1454086117154727</c:v>
                </c:pt>
                <c:pt idx="45">
                  <c:v>0.18606972248929132</c:v>
                </c:pt>
                <c:pt idx="46">
                  <c:v>0.10900929388379232</c:v>
                </c:pt>
                <c:pt idx="47">
                  <c:v>6.5164593155991213E-2</c:v>
                </c:pt>
                <c:pt idx="48">
                  <c:v>3.6755991047991543E-2</c:v>
                </c:pt>
                <c:pt idx="49">
                  <c:v>1.6810813261891155E-2</c:v>
                </c:pt>
                <c:pt idx="50">
                  <c:v>2.8725422743988815E-2</c:v>
                </c:pt>
                <c:pt idx="51">
                  <c:v>1.8729163419498818E-2</c:v>
                </c:pt>
                <c:pt idx="52">
                  <c:v>9.3951728314980443E-3</c:v>
                </c:pt>
                <c:pt idx="53">
                  <c:v>6.0362639990785283E-4</c:v>
                </c:pt>
                <c:pt idx="54">
                  <c:v>-7.6982731482608813E-3</c:v>
                </c:pt>
                <c:pt idx="55">
                  <c:v>-8.79149398924568E-2</c:v>
                </c:pt>
                <c:pt idx="56">
                  <c:v>-9.0733732174745896E-2</c:v>
                </c:pt>
                <c:pt idx="57">
                  <c:v>-9.2648890212046808E-2</c:v>
                </c:pt>
                <c:pt idx="58">
                  <c:v>-9.419559173458758E-2</c:v>
                </c:pt>
                <c:pt idx="59">
                  <c:v>-9.5552696088667233E-2</c:v>
                </c:pt>
                <c:pt idx="60">
                  <c:v>-0.14820081491970072</c:v>
                </c:pt>
                <c:pt idx="61">
                  <c:v>-0.1570430652590904</c:v>
                </c:pt>
                <c:pt idx="62">
                  <c:v>-0.1615324576895496</c:v>
                </c:pt>
                <c:pt idx="63">
                  <c:v>-0.16426351894335944</c:v>
                </c:pt>
                <c:pt idx="64">
                  <c:v>-0.16611024635145988</c:v>
                </c:pt>
                <c:pt idx="65">
                  <c:v>-7.3270414793173089E-2</c:v>
                </c:pt>
                <c:pt idx="66">
                  <c:v>-0.10846578947827368</c:v>
                </c:pt>
                <c:pt idx="67">
                  <c:v>-0.12669903906387248</c:v>
                </c:pt>
                <c:pt idx="68">
                  <c:v>-0.13786621025587387</c:v>
                </c:pt>
                <c:pt idx="69">
                  <c:v>-0.14541291988657257</c:v>
                </c:pt>
                <c:pt idx="70">
                  <c:v>0.18606895690829184</c:v>
                </c:pt>
                <c:pt idx="71">
                  <c:v>0.10900824916589258</c:v>
                </c:pt>
                <c:pt idx="72">
                  <c:v>6.5163297360792072E-2</c:v>
                </c:pt>
                <c:pt idx="73">
                  <c:v>3.6754459450991206E-2</c:v>
                </c:pt>
                <c:pt idx="74">
                  <c:v>1.6809058602392568E-2</c:v>
                </c:pt>
                <c:pt idx="75">
                  <c:v>3.121770927524814E-2</c:v>
                </c:pt>
                <c:pt idx="76">
                  <c:v>2.2290524633458375E-2</c:v>
                </c:pt>
                <c:pt idx="77">
                  <c:v>1.3915187604498058E-2</c:v>
                </c:pt>
                <c:pt idx="78">
                  <c:v>5.9782675266379925E-3</c:v>
                </c:pt>
                <c:pt idx="79">
                  <c:v>-1.5666940485417058E-3</c:v>
                </c:pt>
                <c:pt idx="80">
                  <c:v>-8.76581213280474E-2</c:v>
                </c:pt>
                <c:pt idx="81">
                  <c:v>-9.0351151353226911E-2</c:v>
                </c:pt>
                <c:pt idx="82">
                  <c:v>-9.2142994751496232E-2</c:v>
                </c:pt>
                <c:pt idx="83">
                  <c:v>-9.356880162168757E-2</c:v>
                </c:pt>
                <c:pt idx="84">
                  <c:v>-9.4807402288266118E-2</c:v>
                </c:pt>
                <c:pt idx="85">
                  <c:v>-0.14818707233509976</c:v>
                </c:pt>
                <c:pt idx="86">
                  <c:v>-0.15702166225043968</c:v>
                </c:pt>
                <c:pt idx="87">
                  <c:v>-0.16150341537846913</c:v>
                </c:pt>
                <c:pt idx="88">
                  <c:v>-0.16422686609915083</c:v>
                </c:pt>
                <c:pt idx="89">
                  <c:v>-0.16606601572389934</c:v>
                </c:pt>
                <c:pt idx="90">
                  <c:v>-7.3272136878673066E-2</c:v>
                </c:pt>
                <c:pt idx="91">
                  <c:v>-0.10846791704837244</c:v>
                </c:pt>
                <c:pt idx="92">
                  <c:v>-0.12670154508747267</c:v>
                </c:pt>
                <c:pt idx="93">
                  <c:v>-0.13786908171497281</c:v>
                </c:pt>
                <c:pt idx="94">
                  <c:v>-0.14541614972777239</c:v>
                </c:pt>
                <c:pt idx="95">
                  <c:v>0.18606837207759241</c:v>
                </c:pt>
                <c:pt idx="96">
                  <c:v>0.10900745986529259</c:v>
                </c:pt>
                <c:pt idx="97">
                  <c:v>6.5162325905991025E-2</c:v>
                </c:pt>
                <c:pt idx="98">
                  <c:v>3.6753312482291634E-2</c:v>
                </c:pt>
                <c:pt idx="99">
                  <c:v>1.680773991309259E-2</c:v>
                </c:pt>
                <c:pt idx="100">
                  <c:v>5.6885095044918899E-2</c:v>
                </c:pt>
                <c:pt idx="101">
                  <c:v>5.7374334058538423E-2</c:v>
                </c:pt>
                <c:pt idx="102">
                  <c:v>5.7551142309828052E-2</c:v>
                </c:pt>
                <c:pt idx="103">
                  <c:v>5.763436829734836E-2</c:v>
                </c:pt>
                <c:pt idx="104">
                  <c:v>5.7680040516167708E-2</c:v>
                </c:pt>
                <c:pt idx="105">
                  <c:v>-1.4100919511067289E-2</c:v>
                </c:pt>
                <c:pt idx="106">
                  <c:v>-4.8896330562975265E-3</c:v>
                </c:pt>
                <c:pt idx="107">
                  <c:v>-8.962158662466635E-4</c:v>
                </c:pt>
                <c:pt idx="108">
                  <c:v>1.1798719215132536E-3</c:v>
                </c:pt>
                <c:pt idx="109">
                  <c:v>2.3934254014026379E-3</c:v>
                </c:pt>
                <c:pt idx="110">
                  <c:v>-0.10735893583295031</c:v>
                </c:pt>
                <c:pt idx="111">
                  <c:v>-8.9948679207870086E-2</c:v>
                </c:pt>
                <c:pt idx="112">
                  <c:v>-7.4876121818940433E-2</c:v>
                </c:pt>
                <c:pt idx="113">
                  <c:v>-6.3185905166340817E-2</c:v>
                </c:pt>
                <c:pt idx="114">
                  <c:v>-5.4242014028419661E-2</c:v>
                </c:pt>
                <c:pt idx="115">
                  <c:v>-5.0879548167573674E-2</c:v>
                </c:pt>
                <c:pt idx="116">
                  <c:v>-7.8707978896172648E-2</c:v>
                </c:pt>
                <c:pt idx="117">
                  <c:v>-8.9655667327573241E-2</c:v>
                </c:pt>
                <c:pt idx="118">
                  <c:v>-9.3699155628772957E-2</c:v>
                </c:pt>
                <c:pt idx="119">
                  <c:v>-9.4365606784773348E-2</c:v>
                </c:pt>
                <c:pt idx="120">
                  <c:v>0.19246801702699123</c:v>
                </c:pt>
                <c:pt idx="121">
                  <c:v>0.11765970176679197</c:v>
                </c:pt>
                <c:pt idx="122">
                  <c:v>7.5825007779691589E-2</c:v>
                </c:pt>
                <c:pt idx="123">
                  <c:v>4.9279716642891103E-2</c:v>
                </c:pt>
                <c:pt idx="124">
                  <c:v>3.1097457184991129E-2</c:v>
                </c:pt>
                <c:pt idx="125">
                  <c:v>4.9603917093788752E-2</c:v>
                </c:pt>
                <c:pt idx="126">
                  <c:v>5.0301103926548407E-2</c:v>
                </c:pt>
                <c:pt idx="127">
                  <c:v>5.0554707014077493E-2</c:v>
                </c:pt>
                <c:pt idx="128">
                  <c:v>5.0674475054368173E-2</c:v>
                </c:pt>
                <c:pt idx="129">
                  <c:v>5.0740354037138502E-2</c:v>
                </c:pt>
                <c:pt idx="130">
                  <c:v>-2.6306209337157327E-2</c:v>
                </c:pt>
                <c:pt idx="131">
                  <c:v>-1.4580165990256688E-2</c:v>
                </c:pt>
                <c:pt idx="132">
                  <c:v>-9.3069762918069898E-3</c:v>
                </c:pt>
                <c:pt idx="133">
                  <c:v>-6.5082060634065186E-3</c:v>
                </c:pt>
                <c:pt idx="134">
                  <c:v>-4.8502032526460681E-3</c:v>
                </c:pt>
                <c:pt idx="135">
                  <c:v>-0.12083932465069935</c:v>
                </c:pt>
                <c:pt idx="136">
                  <c:v>-0.10568144656948064</c:v>
                </c:pt>
                <c:pt idx="137">
                  <c:v>-9.086835078561073E-2</c:v>
                </c:pt>
                <c:pt idx="138">
                  <c:v>-7.8624343519269502E-2</c:v>
                </c:pt>
                <c:pt idx="139">
                  <c:v>-6.8843868816449216E-2</c:v>
                </c:pt>
                <c:pt idx="140">
                  <c:v>-5.4920812854273748E-2</c:v>
                </c:pt>
                <c:pt idx="141">
                  <c:v>-8.4146519109173923E-2</c:v>
                </c:pt>
                <c:pt idx="142">
                  <c:v>-9.6394211770073568E-2</c:v>
                </c:pt>
                <c:pt idx="143">
                  <c:v>-0.10160970705197236</c:v>
                </c:pt>
                <c:pt idx="144">
                  <c:v>-0.10330699435257351</c:v>
                </c:pt>
                <c:pt idx="145">
                  <c:v>0.19140911117729154</c:v>
                </c:pt>
                <c:pt idx="146">
                  <c:v>0.11623405186599101</c:v>
                </c:pt>
                <c:pt idx="147">
                  <c:v>7.4076092084592204E-2</c:v>
                </c:pt>
                <c:pt idx="148">
                  <c:v>4.7235103194791961E-2</c:v>
                </c:pt>
                <c:pt idx="149">
                  <c:v>2.8776962196692679E-2</c:v>
                </c:pt>
                <c:pt idx="150">
                  <c:v>4.4191331085867702E-2</c:v>
                </c:pt>
                <c:pt idx="151">
                  <c:v>4.5127522302728096E-2</c:v>
                </c:pt>
                <c:pt idx="152">
                  <c:v>4.5470296332357663E-2</c:v>
                </c:pt>
                <c:pt idx="153">
                  <c:v>4.5632719742577876E-2</c:v>
                </c:pt>
                <c:pt idx="154">
                  <c:v>4.5722260005307547E-2</c:v>
                </c:pt>
                <c:pt idx="155">
                  <c:v>-3.6956074403686756E-2</c:v>
                </c:pt>
                <c:pt idx="156">
                  <c:v>-2.2843696265777425E-2</c:v>
                </c:pt>
                <c:pt idx="157">
                  <c:v>-1.6270646997977423E-2</c:v>
                </c:pt>
                <c:pt idx="158">
                  <c:v>-1.2711232769497371E-2</c:v>
                </c:pt>
                <c:pt idx="159">
                  <c:v>-1.0574939863536414E-2</c:v>
                </c:pt>
                <c:pt idx="160">
                  <c:v>-0.13058890198458073</c:v>
                </c:pt>
                <c:pt idx="161">
                  <c:v>-0.11792077290427017</c:v>
                </c:pt>
                <c:pt idx="162">
                  <c:v>-0.10388130398041007</c:v>
                </c:pt>
                <c:pt idx="163">
                  <c:v>-9.1561537874159882E-2</c:v>
                </c:pt>
                <c:pt idx="164">
                  <c:v>-8.1322190346979184E-2</c:v>
                </c:pt>
                <c:pt idx="165">
                  <c:v>-5.7754623258672311E-2</c:v>
                </c:pt>
                <c:pt idx="166">
                  <c:v>-8.7971247603173097E-2</c:v>
                </c:pt>
                <c:pt idx="167">
                  <c:v>-0.10117136616497291</c:v>
                </c:pt>
                <c:pt idx="168">
                  <c:v>-0.10727689508527405</c:v>
                </c:pt>
                <c:pt idx="169">
                  <c:v>-0.10978686330577325</c:v>
                </c:pt>
                <c:pt idx="170">
                  <c:v>0.1906506980996916</c:v>
                </c:pt>
                <c:pt idx="171">
                  <c:v>0.11521150594889207</c:v>
                </c:pt>
                <c:pt idx="172">
                  <c:v>7.2819725775291388E-2</c:v>
                </c:pt>
                <c:pt idx="173">
                  <c:v>4.576386832799173E-2</c:v>
                </c:pt>
                <c:pt idx="174">
                  <c:v>2.710429696979233E-2</c:v>
                </c:pt>
                <c:pt idx="175">
                  <c:v>3.9938566783257912E-2</c:v>
                </c:pt>
                <c:pt idx="176">
                  <c:v>4.1142559492877595E-2</c:v>
                </c:pt>
                <c:pt idx="177">
                  <c:v>4.1586272466968666E-2</c:v>
                </c:pt>
                <c:pt idx="178">
                  <c:v>4.1797278631548807E-2</c:v>
                </c:pt>
                <c:pt idx="179">
                  <c:v>4.1913813648317699E-2</c:v>
                </c:pt>
                <c:pt idx="180">
                  <c:v>-4.653223777231652E-2</c:v>
                </c:pt>
                <c:pt idx="181">
                  <c:v>-3.0215680909007503E-2</c:v>
                </c:pt>
                <c:pt idx="182">
                  <c:v>-2.2355374083856461E-2</c:v>
                </c:pt>
                <c:pt idx="183">
                  <c:v>-1.8015195935007E-2</c:v>
                </c:pt>
                <c:pt idx="184">
                  <c:v>-1.5376940023186236E-2</c:v>
                </c:pt>
                <c:pt idx="185">
                  <c:v>-0.13778710476761979</c:v>
                </c:pt>
                <c:pt idx="186">
                  <c:v>-0.12758834866336066</c:v>
                </c:pt>
                <c:pt idx="187">
                  <c:v>-0.11460829716460985</c:v>
                </c:pt>
                <c:pt idx="188">
                  <c:v>-0.10254211678496006</c:v>
                </c:pt>
                <c:pt idx="189">
                  <c:v>-9.2134463906550224E-2</c:v>
                </c:pt>
                <c:pt idx="190">
                  <c:v>-5.9845619373172454E-2</c:v>
                </c:pt>
                <c:pt idx="191">
                  <c:v>-9.079433899647249E-2</c:v>
                </c:pt>
                <c:pt idx="192">
                  <c:v>-0.10471393264327311</c:v>
                </c:pt>
                <c:pt idx="193">
                  <c:v>-0.11150914471527251</c:v>
                </c:pt>
                <c:pt idx="194">
                  <c:v>-0.11466600324437337</c:v>
                </c:pt>
                <c:pt idx="195">
                  <c:v>0.19008077167399229</c:v>
                </c:pt>
                <c:pt idx="196">
                  <c:v>0.11444228532609202</c:v>
                </c:pt>
                <c:pt idx="197">
                  <c:v>7.1873535050791304E-2</c:v>
                </c:pt>
                <c:pt idx="198">
                  <c:v>4.4654513625591363E-2</c:v>
                </c:pt>
                <c:pt idx="199">
                  <c:v>2.5841447439191256E-2</c:v>
                </c:pt>
                <c:pt idx="200">
                  <c:v>9.7756095210458582E-2</c:v>
                </c:pt>
                <c:pt idx="201">
                  <c:v>9.7876980383038159E-2</c:v>
                </c:pt>
                <c:pt idx="202">
                  <c:v>9.7919969306358823E-2</c:v>
                </c:pt>
                <c:pt idx="203">
                  <c:v>9.7940032780968522E-2</c:v>
                </c:pt>
                <c:pt idx="204">
                  <c:v>9.7950993133947506E-2</c:v>
                </c:pt>
                <c:pt idx="205">
                  <c:v>3.4324398973623715E-2</c:v>
                </c:pt>
                <c:pt idx="206">
                  <c:v>3.7392002855153095E-2</c:v>
                </c:pt>
                <c:pt idx="207">
                  <c:v>3.8596720120242622E-2</c:v>
                </c:pt>
                <c:pt idx="208">
                  <c:v>3.918967129200368E-2</c:v>
                </c:pt>
                <c:pt idx="209">
                  <c:v>3.952438165649319E-2</c:v>
                </c:pt>
                <c:pt idx="210">
                  <c:v>-4.0144278196779126E-2</c:v>
                </c:pt>
                <c:pt idx="211">
                  <c:v>-2.2595412513549462E-2</c:v>
                </c:pt>
                <c:pt idx="212">
                  <c:v>-1.167638298153939E-2</c:v>
                </c:pt>
                <c:pt idx="213">
                  <c:v>-4.6853603435508262E-3</c:v>
                </c:pt>
                <c:pt idx="214">
                  <c:v>4.4174362798798938E-6</c:v>
                </c:pt>
                <c:pt idx="215">
                  <c:v>-2.569005682717318E-2</c:v>
                </c:pt>
                <c:pt idx="216">
                  <c:v>-4.5760805583473285E-2</c:v>
                </c:pt>
                <c:pt idx="217">
                  <c:v>-5.041663126337248E-2</c:v>
                </c:pt>
                <c:pt idx="218">
                  <c:v>-4.9536923145973688E-2</c:v>
                </c:pt>
                <c:pt idx="219">
                  <c:v>-4.646100933037367E-2</c:v>
                </c:pt>
                <c:pt idx="220">
                  <c:v>0.19875180474149268</c:v>
                </c:pt>
                <c:pt idx="221">
                  <c:v>0.12607030218199178</c:v>
                </c:pt>
                <c:pt idx="222">
                  <c:v>8.6077261235292468E-2</c:v>
                </c:pt>
                <c:pt idx="223">
                  <c:v>6.1184758565691055E-2</c:v>
                </c:pt>
                <c:pt idx="224">
                  <c:v>4.4514067128192281E-2</c:v>
                </c:pt>
                <c:pt idx="225">
                  <c:v>8.4462047857488898E-2</c:v>
                </c:pt>
                <c:pt idx="226">
                  <c:v>8.4638060776347501E-2</c:v>
                </c:pt>
                <c:pt idx="227">
                  <c:v>8.4700844797739094E-2</c:v>
                </c:pt>
                <c:pt idx="228">
                  <c:v>8.4730201254949122E-2</c:v>
                </c:pt>
                <c:pt idx="229">
                  <c:v>8.474625809039793E-2</c:v>
                </c:pt>
                <c:pt idx="230">
                  <c:v>2.0559919007073546E-2</c:v>
                </c:pt>
                <c:pt idx="231">
                  <c:v>2.4758512502653929E-2</c:v>
                </c:pt>
                <c:pt idx="232">
                  <c:v>2.6441826799922907E-2</c:v>
                </c:pt>
                <c:pt idx="233">
                  <c:v>2.7279749212032911E-2</c:v>
                </c:pt>
                <c:pt idx="234">
                  <c:v>2.7756145567453316E-2</c:v>
                </c:pt>
                <c:pt idx="235">
                  <c:v>-5.9840026363010779E-2</c:v>
                </c:pt>
                <c:pt idx="236">
                  <c:v>-4.1099649356450385E-2</c:v>
                </c:pt>
                <c:pt idx="237">
                  <c:v>-2.8551686133360121E-2</c:v>
                </c:pt>
                <c:pt idx="238">
                  <c:v>-2.0158562062530194E-2</c:v>
                </c:pt>
                <c:pt idx="239">
                  <c:v>-1.4357423992370499E-2</c:v>
                </c:pt>
                <c:pt idx="240">
                  <c:v>-3.4180438585273976E-2</c:v>
                </c:pt>
                <c:pt idx="241">
                  <c:v>-5.6652020614272658E-2</c:v>
                </c:pt>
                <c:pt idx="242">
                  <c:v>-6.3086978923273307E-2</c:v>
                </c:pt>
                <c:pt idx="243">
                  <c:v>-6.3463574068173045E-2</c:v>
                </c:pt>
                <c:pt idx="244">
                  <c:v>-6.1232954822173724E-2</c:v>
                </c:pt>
                <c:pt idx="245">
                  <c:v>0.19667043136889184</c:v>
                </c:pt>
                <c:pt idx="246">
                  <c:v>0.12329388166999244</c:v>
                </c:pt>
                <c:pt idx="247">
                  <c:v>8.2705316223091074E-2</c:v>
                </c:pt>
                <c:pt idx="248">
                  <c:v>5.7284477993190919E-2</c:v>
                </c:pt>
                <c:pt idx="249">
                  <c:v>4.0136458971891997E-2</c:v>
                </c:pt>
                <c:pt idx="250">
                  <c:v>7.4799606777398608E-2</c:v>
                </c:pt>
                <c:pt idx="251">
                  <c:v>7.5040322673277871E-2</c:v>
                </c:pt>
                <c:pt idx="252">
                  <c:v>7.5126477415278003E-2</c:v>
                </c:pt>
                <c:pt idx="253">
                  <c:v>7.5166826408558762E-2</c:v>
                </c:pt>
                <c:pt idx="254">
                  <c:v>7.5188901890298254E-2</c:v>
                </c:pt>
                <c:pt idx="255">
                  <c:v>9.7132001367334908E-3</c:v>
                </c:pt>
                <c:pt idx="256">
                  <c:v>1.5117457094932618E-2</c:v>
                </c:pt>
                <c:pt idx="257">
                  <c:v>1.7328390991142584E-2</c:v>
                </c:pt>
                <c:pt idx="258">
                  <c:v>1.8441263100584138E-2</c:v>
                </c:pt>
                <c:pt idx="259">
                  <c:v>1.9078461153203108E-2</c:v>
                </c:pt>
                <c:pt idx="260">
                  <c:v>-7.549637456637015E-2</c:v>
                </c:pt>
                <c:pt idx="261">
                  <c:v>-5.6373337285830161E-2</c:v>
                </c:pt>
                <c:pt idx="262">
                  <c:v>-4.2661606982360212E-2</c:v>
                </c:pt>
                <c:pt idx="263">
                  <c:v>-3.3110696657759675E-2</c:v>
                </c:pt>
                <c:pt idx="264">
                  <c:v>-2.6323137627619175E-2</c:v>
                </c:pt>
                <c:pt idx="265">
                  <c:v>-4.0210706933073936E-2</c:v>
                </c:pt>
                <c:pt idx="266">
                  <c:v>-6.4524751481673803E-2</c:v>
                </c:pt>
                <c:pt idx="267">
                  <c:v>-7.2427527031774019E-2</c:v>
                </c:pt>
                <c:pt idx="268">
                  <c:v>-7.3925444377472616E-2</c:v>
                </c:pt>
                <c:pt idx="269">
                  <c:v>-7.2521415434673386E-2</c:v>
                </c:pt>
                <c:pt idx="270">
                  <c:v>0.19517565902699197</c:v>
                </c:pt>
                <c:pt idx="271">
                  <c:v>0.1212941873409914</c:v>
                </c:pt>
                <c:pt idx="272">
                  <c:v>8.0269104023491522E-2</c:v>
                </c:pt>
                <c:pt idx="273">
                  <c:v>5.445722253819163E-2</c:v>
                </c:pt>
                <c:pt idx="274">
                  <c:v>3.6952289939391036E-2</c:v>
                </c:pt>
                <c:pt idx="275">
                  <c:v>6.7435466238228159E-2</c:v>
                </c:pt>
                <c:pt idx="276">
                  <c:v>6.7750167875358258E-2</c:v>
                </c:pt>
                <c:pt idx="277">
                  <c:v>6.786316294767758E-2</c:v>
                </c:pt>
                <c:pt idx="278">
                  <c:v>6.7916165168547593E-2</c:v>
                </c:pt>
                <c:pt idx="279">
                  <c:v>6.7945198828967435E-2</c:v>
                </c:pt>
                <c:pt idx="280">
                  <c:v>6.8491274535276148E-4</c:v>
                </c:pt>
                <c:pt idx="281">
                  <c:v>7.3412214357428951E-3</c:v>
                </c:pt>
                <c:pt idx="282">
                  <c:v>1.0118722776462974E-2</c:v>
                </c:pt>
                <c:pt idx="283">
                  <c:v>1.1532158986353735E-2</c:v>
                </c:pt>
                <c:pt idx="284">
                  <c:v>1.234712115561365E-2</c:v>
                </c:pt>
                <c:pt idx="285">
                  <c:v>-8.8200200558340214E-2</c:v>
                </c:pt>
                <c:pt idx="286">
                  <c:v>-6.9281378348099665E-2</c:v>
                </c:pt>
                <c:pt idx="287">
                  <c:v>-5.4806025996960273E-2</c:v>
                </c:pt>
                <c:pt idx="288">
                  <c:v>-4.4333877995830662E-2</c:v>
                </c:pt>
                <c:pt idx="289">
                  <c:v>-3.6695263173500692E-2</c:v>
                </c:pt>
                <c:pt idx="290">
                  <c:v>-4.4693849127373397E-2</c:v>
                </c:pt>
                <c:pt idx="291">
                  <c:v>-7.0448082399073186E-2</c:v>
                </c:pt>
                <c:pt idx="292">
                  <c:v>-7.9559745749673283E-2</c:v>
                </c:pt>
                <c:pt idx="293">
                  <c:v>-8.2034010614773223E-2</c:v>
                </c:pt>
                <c:pt idx="294">
                  <c:v>-8.1394845477174016E-2</c:v>
                </c:pt>
                <c:pt idx="295">
                  <c:v>0.19405014580039115</c:v>
                </c:pt>
                <c:pt idx="296">
                  <c:v>0.11978530718709202</c:v>
                </c:pt>
                <c:pt idx="297">
                  <c:v>7.8426650004191245E-2</c:v>
                </c:pt>
                <c:pt idx="298">
                  <c:v>5.231384946089257E-2</c:v>
                </c:pt>
                <c:pt idx="299">
                  <c:v>3.4532229396692316E-2</c:v>
                </c:pt>
                <c:pt idx="300">
                  <c:v>0.13641590142452742</c:v>
                </c:pt>
                <c:pt idx="301">
                  <c:v>0.1364671162870188</c:v>
                </c:pt>
                <c:pt idx="302">
                  <c:v>0.13648522654455775</c:v>
                </c:pt>
                <c:pt idx="303">
                  <c:v>0.13649365892956844</c:v>
                </c:pt>
                <c:pt idx="304">
                  <c:v>0.13649824934782906</c:v>
                </c:pt>
                <c:pt idx="305">
                  <c:v>7.0830046941193103E-2</c:v>
                </c:pt>
                <c:pt idx="306">
                  <c:v>7.227521149273386E-2</c:v>
                </c:pt>
                <c:pt idx="307">
                  <c:v>7.2822975266014112E-2</c:v>
                </c:pt>
                <c:pt idx="308">
                  <c:v>7.308743297478415E-2</c:v>
                </c:pt>
                <c:pt idx="309">
                  <c:v>7.3234897638483787E-2</c:v>
                </c:pt>
                <c:pt idx="310">
                  <c:v>7.5453715867492832E-3</c:v>
                </c:pt>
                <c:pt idx="311">
                  <c:v>2.0627166886090009E-2</c:v>
                </c:pt>
                <c:pt idx="312">
                  <c:v>2.7719015654389167E-2</c:v>
                </c:pt>
                <c:pt idx="313">
                  <c:v>3.1902249389490933E-2</c:v>
                </c:pt>
                <c:pt idx="314">
                  <c:v>3.4557112486469421E-2</c:v>
                </c:pt>
                <c:pt idx="315">
                  <c:v>-4.0722870327236649E-4</c:v>
                </c:pt>
                <c:pt idx="316">
                  <c:v>-1.4632400203073104E-2</c:v>
                </c:pt>
                <c:pt idx="317">
                  <c:v>-1.5620940602373068E-2</c:v>
                </c:pt>
                <c:pt idx="318">
                  <c:v>-1.2610618813672758E-2</c:v>
                </c:pt>
                <c:pt idx="319">
                  <c:v>-8.4447066996737874E-3</c:v>
                </c:pt>
                <c:pt idx="320">
                  <c:v>0.20491744806559176</c:v>
                </c:pt>
                <c:pt idx="321">
                  <c:v>0.13423995364119179</c:v>
                </c:pt>
                <c:pt idx="322">
                  <c:v>9.5928068547891598E-2</c:v>
                </c:pt>
                <c:pt idx="323">
                  <c:v>7.2493408779191526E-2</c:v>
                </c:pt>
                <c:pt idx="324">
                  <c:v>5.7108562263591622E-2</c:v>
                </c:pt>
                <c:pt idx="325">
                  <c:v>0.11729031431489823</c:v>
                </c:pt>
                <c:pt idx="326">
                  <c:v>0.11736599647462853</c:v>
                </c:pt>
                <c:pt idx="327">
                  <c:v>0.11739282345809876</c:v>
                </c:pt>
                <c:pt idx="328">
                  <c:v>0.11740532641591805</c:v>
                </c:pt>
                <c:pt idx="329">
                  <c:v>0.11741213969002828</c:v>
                </c:pt>
                <c:pt idx="330">
                  <c:v>5.3190894806993683E-2</c:v>
                </c:pt>
                <c:pt idx="331">
                  <c:v>5.5236567886133514E-2</c:v>
                </c:pt>
                <c:pt idx="332">
                  <c:v>5.6023150421243173E-2</c:v>
                </c:pt>
                <c:pt idx="333">
                  <c:v>5.6405876258322607E-2</c:v>
                </c:pt>
                <c:pt idx="334">
                  <c:v>5.6620351450552775E-2</c:v>
                </c:pt>
                <c:pt idx="335">
                  <c:v>-1.4539093281300097E-2</c:v>
                </c:pt>
                <c:pt idx="336">
                  <c:v>7.5413086224962456E-4</c:v>
                </c:pt>
                <c:pt idx="337">
                  <c:v>9.5390393128997886E-3</c:v>
                </c:pt>
                <c:pt idx="338">
                  <c:v>1.4902018452000121E-2</c:v>
                </c:pt>
                <c:pt idx="339">
                  <c:v>1.8385223031250675E-2</c:v>
                </c:pt>
                <c:pt idx="340">
                  <c:v>-1.2973647996373572E-2</c:v>
                </c:pt>
                <c:pt idx="341">
                  <c:v>-2.9869317908072901E-2</c:v>
                </c:pt>
                <c:pt idx="342">
                  <c:v>-3.241098588017266E-2</c:v>
                </c:pt>
                <c:pt idx="343">
                  <c:v>-3.0211544185473116E-2</c:v>
                </c:pt>
                <c:pt idx="344">
                  <c:v>-2.6381481158473719E-2</c:v>
                </c:pt>
                <c:pt idx="345">
                  <c:v>0.20184926594889241</c:v>
                </c:pt>
                <c:pt idx="346">
                  <c:v>0.13018479745679201</c:v>
                </c:pt>
                <c:pt idx="347">
                  <c:v>9.1051704978891479E-2</c:v>
                </c:pt>
                <c:pt idx="348">
                  <c:v>6.6911282656791471E-2</c:v>
                </c:pt>
                <c:pt idx="349">
                  <c:v>5.0909875951091976E-2</c:v>
                </c:pt>
                <c:pt idx="350">
                  <c:v>0.10338325769009771</c:v>
                </c:pt>
                <c:pt idx="351">
                  <c:v>0.10348795714424774</c:v>
                </c:pt>
                <c:pt idx="352">
                  <c:v>0.1035251520523186</c:v>
                </c:pt>
                <c:pt idx="353">
                  <c:v>0.10354250484124883</c:v>
                </c:pt>
                <c:pt idx="354">
                  <c:v>0.10355197990048914</c:v>
                </c:pt>
                <c:pt idx="355">
                  <c:v>3.9885593207463543E-2</c:v>
                </c:pt>
                <c:pt idx="356">
                  <c:v>4.2598549527063767E-2</c:v>
                </c:pt>
                <c:pt idx="357">
                  <c:v>4.3656560812143752E-2</c:v>
                </c:pt>
                <c:pt idx="358">
                  <c:v>4.4175324674952776E-2</c:v>
                </c:pt>
                <c:pt idx="359">
                  <c:v>4.446744902111277E-2</c:v>
                </c:pt>
                <c:pt idx="360">
                  <c:v>-3.2395468152209617E-2</c:v>
                </c:pt>
                <c:pt idx="361">
                  <c:v>-1.5467441315820452E-2</c:v>
                </c:pt>
                <c:pt idx="362">
                  <c:v>-5.2030922932999601E-3</c:v>
                </c:pt>
                <c:pt idx="363">
                  <c:v>1.2682988618202273E-3</c:v>
                </c:pt>
                <c:pt idx="364">
                  <c:v>5.5642140500005155E-3</c:v>
                </c:pt>
                <c:pt idx="365">
                  <c:v>-2.2048810180372413E-2</c:v>
                </c:pt>
                <c:pt idx="366">
                  <c:v>-4.1159555982273943E-2</c:v>
                </c:pt>
                <c:pt idx="367">
                  <c:v>-4.5146930153773468E-2</c:v>
                </c:pt>
                <c:pt idx="368">
                  <c:v>-4.3827616720873763E-2</c:v>
                </c:pt>
                <c:pt idx="369">
                  <c:v>-4.0481657854973818E-2</c:v>
                </c:pt>
                <c:pt idx="370">
                  <c:v>0.19963979984439106</c:v>
                </c:pt>
                <c:pt idx="371">
                  <c:v>0.1272519855953913</c:v>
                </c:pt>
                <c:pt idx="372">
                  <c:v>8.7508678081691826E-2</c:v>
                </c:pt>
                <c:pt idx="373">
                  <c:v>6.2835926187691626E-2</c:v>
                </c:pt>
                <c:pt idx="374">
                  <c:v>4.6362055821891346E-2</c:v>
                </c:pt>
                <c:pt idx="375">
                  <c:v>9.2799166067328187E-2</c:v>
                </c:pt>
                <c:pt idx="376">
                  <c:v>9.2937345512758895E-2</c:v>
                </c:pt>
                <c:pt idx="377">
                  <c:v>9.2986535941138371E-2</c:v>
                </c:pt>
                <c:pt idx="378">
                  <c:v>9.3009503700598017E-2</c:v>
                </c:pt>
                <c:pt idx="379">
                  <c:v>9.3022056347857429E-2</c:v>
                </c:pt>
                <c:pt idx="380">
                  <c:v>2.9310396092913749E-2</c:v>
                </c:pt>
                <c:pt idx="381">
                  <c:v>3.274470437137289E-2</c:v>
                </c:pt>
                <c:pt idx="382">
                  <c:v>3.4102838908143696E-2</c:v>
                </c:pt>
                <c:pt idx="383">
                  <c:v>3.4773833355492556E-2</c:v>
                </c:pt>
                <c:pt idx="384">
                  <c:v>3.5153508355273644E-2</c:v>
                </c:pt>
                <c:pt idx="385">
                  <c:v>-4.7250289263740086E-2</c:v>
                </c:pt>
                <c:pt idx="386">
                  <c:v>-2.919894994698069E-2</c:v>
                </c:pt>
                <c:pt idx="387">
                  <c:v>-1.768191352499926E-2</c:v>
                </c:pt>
                <c:pt idx="388">
                  <c:v>-1.0196754991849133E-2</c:v>
                </c:pt>
                <c:pt idx="389">
                  <c:v>-5.1239660022392997E-3</c:v>
                </c:pt>
                <c:pt idx="390">
                  <c:v>-2.8876790736873659E-2</c:v>
                </c:pt>
                <c:pt idx="391">
                  <c:v>-4.9821923236573085E-2</c:v>
                </c:pt>
                <c:pt idx="392">
                  <c:v>-5.5108075458173644E-2</c:v>
                </c:pt>
                <c:pt idx="393">
                  <c:v>-5.4659712475972455E-2</c:v>
                </c:pt>
                <c:pt idx="394">
                  <c:v>-5.1862852753373545E-2</c:v>
                </c:pt>
                <c:pt idx="395">
                  <c:v>0.19797283449019254</c:v>
                </c:pt>
                <c:pt idx="396">
                  <c:v>0.12503229859359166</c:v>
                </c:pt>
                <c:pt idx="397">
                  <c:v>8.4818049609891588E-2</c:v>
                </c:pt>
                <c:pt idx="398">
                  <c:v>5.9729997825291647E-2</c:v>
                </c:pt>
                <c:pt idx="399">
                  <c:v>4.2883310910291073E-2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0D-B942-8214-10C5ABA7F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870304"/>
        <c:axId val="2124890143"/>
      </c:scatterChart>
      <c:valAx>
        <c:axId val="21487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4890143"/>
        <c:crosses val="autoZero"/>
        <c:crossBetween val="midCat"/>
      </c:valAx>
      <c:valAx>
        <c:axId val="2124890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8703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DATA!$H$2:$H$401</c:f>
              <c:numCache>
                <c:formatCode>0.00</c:formatCode>
                <c:ptCount val="400"/>
                <c:pt idx="0">
                  <c:v>8.2991007410791298</c:v>
                </c:pt>
                <c:pt idx="1">
                  <c:v>8.2859315845766197</c:v>
                </c:pt>
                <c:pt idx="2">
                  <c:v>8.2738542165808706</c:v>
                </c:pt>
                <c:pt idx="3">
                  <c:v>8.2627154071258992</c:v>
                </c:pt>
                <c:pt idx="4">
                  <c:v>8.2524298771403402</c:v>
                </c:pt>
                <c:pt idx="5">
                  <c:v>8.8157547479129708</c:v>
                </c:pt>
                <c:pt idx="6">
                  <c:v>8.8125390136043098</c:v>
                </c:pt>
                <c:pt idx="7">
                  <c:v>8.8102368361469505</c:v>
                </c:pt>
                <c:pt idx="8">
                  <c:v>8.8083128879433605</c:v>
                </c:pt>
                <c:pt idx="9">
                  <c:v>8.8065881572120297</c:v>
                </c:pt>
                <c:pt idx="10">
                  <c:v>9.3825930368238009</c:v>
                </c:pt>
                <c:pt idx="11">
                  <c:v>9.3737263464155305</c:v>
                </c:pt>
                <c:pt idx="12">
                  <c:v>9.3692126204675308</c:v>
                </c:pt>
                <c:pt idx="13">
                  <c:v>9.3664573576978203</c:v>
                </c:pt>
                <c:pt idx="14">
                  <c:v>9.3645865658528695</c:v>
                </c:pt>
                <c:pt idx="15">
                  <c:v>10.0839235849561</c:v>
                </c:pt>
                <c:pt idx="16">
                  <c:v>10.048729510764799</c:v>
                </c:pt>
                <c:pt idx="17">
                  <c:v>10.030497471353399</c:v>
                </c:pt>
                <c:pt idx="18">
                  <c:v>10.0193314719331</c:v>
                </c:pt>
                <c:pt idx="19">
                  <c:v>10.011785912174901</c:v>
                </c:pt>
                <c:pt idx="20">
                  <c:v>10.9696100239698</c:v>
                </c:pt>
                <c:pt idx="21">
                  <c:v>10.8925499759108</c:v>
                </c:pt>
                <c:pt idx="22">
                  <c:v>10.8487056309111</c:v>
                </c:pt>
                <c:pt idx="23">
                  <c:v>10.8202973551924</c:v>
                </c:pt>
                <c:pt idx="24">
                  <c:v>10.8003524949671</c:v>
                </c:pt>
                <c:pt idx="25">
                  <c:v>8.3035885766609994</c:v>
                </c:pt>
                <c:pt idx="26">
                  <c:v>8.2922250207427606</c:v>
                </c:pt>
                <c:pt idx="27">
                  <c:v>8.2816892471972601</c:v>
                </c:pt>
                <c:pt idx="28">
                  <c:v>8.2718500856925097</c:v>
                </c:pt>
                <c:pt idx="29">
                  <c:v>8.2626436004908008</c:v>
                </c:pt>
                <c:pt idx="30">
                  <c:v>8.8162307040673298</c:v>
                </c:pt>
                <c:pt idx="31">
                  <c:v>8.8132455044184095</c:v>
                </c:pt>
                <c:pt idx="32">
                  <c:v>8.8111676895269309</c:v>
                </c:pt>
                <c:pt idx="33">
                  <c:v>8.8094620313428198</c:v>
                </c:pt>
                <c:pt idx="34">
                  <c:v>8.8079496191764299</c:v>
                </c:pt>
                <c:pt idx="35">
                  <c:v>9.3826186394162896</c:v>
                </c:pt>
                <c:pt idx="36">
                  <c:v>9.3737661880426408</c:v>
                </c:pt>
                <c:pt idx="37">
                  <c:v>9.3692666382451097</c:v>
                </c:pt>
                <c:pt idx="38">
                  <c:v>9.3665254637754298</c:v>
                </c:pt>
                <c:pt idx="39">
                  <c:v>9.3646686778405392</c:v>
                </c:pt>
                <c:pt idx="40">
                  <c:v>10.0839203703474</c:v>
                </c:pt>
                <c:pt idx="41">
                  <c:v>10.0487255385759</c:v>
                </c:pt>
                <c:pt idx="42">
                  <c:v>10.030492792726101</c:v>
                </c:pt>
                <c:pt idx="43">
                  <c:v>10.0193261105081</c:v>
                </c:pt>
                <c:pt idx="44">
                  <c:v>10.0117798795607</c:v>
                </c:pt>
                <c:pt idx="45">
                  <c:v>10.969608943865</c:v>
                </c:pt>
                <c:pt idx="46">
                  <c:v>10.892548515259501</c:v>
                </c:pt>
                <c:pt idx="47">
                  <c:v>10.848703814531699</c:v>
                </c:pt>
                <c:pt idx="48">
                  <c:v>10.8202952124237</c:v>
                </c:pt>
                <c:pt idx="49">
                  <c:v>10.800350034637599</c:v>
                </c:pt>
                <c:pt idx="50">
                  <c:v>8.3068617237215605</c:v>
                </c:pt>
                <c:pt idx="51">
                  <c:v>8.2968654643970705</c:v>
                </c:pt>
                <c:pt idx="52">
                  <c:v>8.2875314738090697</c:v>
                </c:pt>
                <c:pt idx="53">
                  <c:v>8.2787399273774795</c:v>
                </c:pt>
                <c:pt idx="54">
                  <c:v>8.2704380278293108</c:v>
                </c:pt>
                <c:pt idx="55">
                  <c:v>8.8165720911846499</c:v>
                </c:pt>
                <c:pt idx="56">
                  <c:v>8.8137532989023608</c:v>
                </c:pt>
                <c:pt idx="57">
                  <c:v>8.8118381408650599</c:v>
                </c:pt>
                <c:pt idx="58">
                  <c:v>8.8102914393425191</c:v>
                </c:pt>
                <c:pt idx="59">
                  <c:v>8.8089343349884395</c:v>
                </c:pt>
                <c:pt idx="60">
                  <c:v>9.3826369462569392</c:v>
                </c:pt>
                <c:pt idx="61">
                  <c:v>9.3737946959175495</c:v>
                </c:pt>
                <c:pt idx="62">
                  <c:v>9.3693053034870903</c:v>
                </c:pt>
                <c:pt idx="63">
                  <c:v>9.3665742422332805</c:v>
                </c:pt>
                <c:pt idx="64">
                  <c:v>9.3647275148251801</c:v>
                </c:pt>
                <c:pt idx="65">
                  <c:v>10.083918076483</c:v>
                </c:pt>
                <c:pt idx="66">
                  <c:v>10.0487227017979</c:v>
                </c:pt>
                <c:pt idx="67">
                  <c:v>10.030489452212301</c:v>
                </c:pt>
                <c:pt idx="68">
                  <c:v>10.019322281020299</c:v>
                </c:pt>
                <c:pt idx="69">
                  <c:v>10.011775571389601</c:v>
                </c:pt>
                <c:pt idx="70">
                  <c:v>10.969608178284</c:v>
                </c:pt>
                <c:pt idx="71">
                  <c:v>10.892547470541601</c:v>
                </c:pt>
                <c:pt idx="72">
                  <c:v>10.8487025187365</c:v>
                </c:pt>
                <c:pt idx="73">
                  <c:v>10.820293680826699</c:v>
                </c:pt>
                <c:pt idx="74">
                  <c:v>10.800348279978101</c:v>
                </c:pt>
                <c:pt idx="75">
                  <c:v>8.3093540102528198</c:v>
                </c:pt>
                <c:pt idx="76">
                  <c:v>8.3004268256110301</c:v>
                </c:pt>
                <c:pt idx="77">
                  <c:v>8.2920514885820698</c:v>
                </c:pt>
                <c:pt idx="78">
                  <c:v>8.2841145685042097</c:v>
                </c:pt>
                <c:pt idx="79">
                  <c:v>8.27656960692903</c:v>
                </c:pt>
                <c:pt idx="80">
                  <c:v>8.8168289097490593</c:v>
                </c:pt>
                <c:pt idx="81">
                  <c:v>8.8141358797238798</c:v>
                </c:pt>
                <c:pt idx="82">
                  <c:v>8.8123440363256105</c:v>
                </c:pt>
                <c:pt idx="83">
                  <c:v>8.8109182294554191</c:v>
                </c:pt>
                <c:pt idx="84">
                  <c:v>8.8096796287888406</c:v>
                </c:pt>
                <c:pt idx="85">
                  <c:v>9.3826506888415402</c:v>
                </c:pt>
                <c:pt idx="86">
                  <c:v>9.3738160989262003</c:v>
                </c:pt>
                <c:pt idx="87">
                  <c:v>9.3693343457981708</c:v>
                </c:pt>
                <c:pt idx="88">
                  <c:v>9.3666108950774891</c:v>
                </c:pt>
                <c:pt idx="89">
                  <c:v>9.3647717454527406</c:v>
                </c:pt>
                <c:pt idx="90">
                  <c:v>10.0839163543975</c:v>
                </c:pt>
                <c:pt idx="91">
                  <c:v>10.048720574227801</c:v>
                </c:pt>
                <c:pt idx="92">
                  <c:v>10.030486946188701</c:v>
                </c:pt>
                <c:pt idx="93">
                  <c:v>10.0193194095612</c:v>
                </c:pt>
                <c:pt idx="94">
                  <c:v>10.011772341548401</c:v>
                </c:pt>
                <c:pt idx="95">
                  <c:v>10.969607593453301</c:v>
                </c:pt>
                <c:pt idx="96">
                  <c:v>10.892546681241001</c:v>
                </c:pt>
                <c:pt idx="97">
                  <c:v>10.848701547281699</c:v>
                </c:pt>
                <c:pt idx="98">
                  <c:v>10.820292533858</c:v>
                </c:pt>
                <c:pt idx="99">
                  <c:v>10.800346961288801</c:v>
                </c:pt>
                <c:pt idx="100">
                  <c:v>8.3350213960224906</c:v>
                </c:pt>
                <c:pt idx="101">
                  <c:v>8.3355106350361101</c:v>
                </c:pt>
                <c:pt idx="102">
                  <c:v>8.3356874432873997</c:v>
                </c:pt>
                <c:pt idx="103">
                  <c:v>8.3357706692749201</c:v>
                </c:pt>
                <c:pt idx="104">
                  <c:v>8.3358163414937394</c:v>
                </c:pt>
                <c:pt idx="105">
                  <c:v>8.8903861115660394</c:v>
                </c:pt>
                <c:pt idx="106">
                  <c:v>8.8995973980208092</c:v>
                </c:pt>
                <c:pt idx="107">
                  <c:v>8.90359081521086</c:v>
                </c:pt>
                <c:pt idx="108">
                  <c:v>8.90566690299862</c:v>
                </c:pt>
                <c:pt idx="109">
                  <c:v>8.9068804564785093</c:v>
                </c:pt>
                <c:pt idx="110">
                  <c:v>9.4234788253436896</c:v>
                </c:pt>
                <c:pt idx="111">
                  <c:v>9.4408890819687699</c:v>
                </c:pt>
                <c:pt idx="112">
                  <c:v>9.4559616393576995</c:v>
                </c:pt>
                <c:pt idx="113">
                  <c:v>9.4676518560102991</c:v>
                </c:pt>
                <c:pt idx="114">
                  <c:v>9.4765957471482203</c:v>
                </c:pt>
                <c:pt idx="115">
                  <c:v>10.1063089431086</c:v>
                </c:pt>
                <c:pt idx="116">
                  <c:v>10.078480512380001</c:v>
                </c:pt>
                <c:pt idx="117">
                  <c:v>10.0675328239486</c:v>
                </c:pt>
                <c:pt idx="118">
                  <c:v>10.0634893356474</c:v>
                </c:pt>
                <c:pt idx="119">
                  <c:v>10.0628228844914</c:v>
                </c:pt>
                <c:pt idx="120">
                  <c:v>10.976007238402699</c:v>
                </c:pt>
                <c:pt idx="121">
                  <c:v>10.9011989231425</c:v>
                </c:pt>
                <c:pt idx="122">
                  <c:v>10.8593642291554</c:v>
                </c:pt>
                <c:pt idx="123">
                  <c:v>10.832818938018599</c:v>
                </c:pt>
                <c:pt idx="124">
                  <c:v>10.814636678560699</c:v>
                </c:pt>
                <c:pt idx="125">
                  <c:v>8.3277402180713604</c:v>
                </c:pt>
                <c:pt idx="126">
                  <c:v>8.3284374049041201</c:v>
                </c:pt>
                <c:pt idx="127">
                  <c:v>8.3286910079916492</c:v>
                </c:pt>
                <c:pt idx="128">
                  <c:v>8.3288107760319399</c:v>
                </c:pt>
                <c:pt idx="129">
                  <c:v>8.3288766550147102</c:v>
                </c:pt>
                <c:pt idx="130">
                  <c:v>8.8781808217399494</c:v>
                </c:pt>
                <c:pt idx="131">
                  <c:v>8.88990686508685</c:v>
                </c:pt>
                <c:pt idx="132">
                  <c:v>8.8951800547852997</c:v>
                </c:pt>
                <c:pt idx="133">
                  <c:v>8.8979788250137002</c:v>
                </c:pt>
                <c:pt idx="134">
                  <c:v>8.8996368278244606</c:v>
                </c:pt>
                <c:pt idx="135">
                  <c:v>9.4099984365259406</c:v>
                </c:pt>
                <c:pt idx="136">
                  <c:v>9.4251563146071593</c:v>
                </c:pt>
                <c:pt idx="137">
                  <c:v>9.4399694103910292</c:v>
                </c:pt>
                <c:pt idx="138">
                  <c:v>9.4522134176573704</c:v>
                </c:pt>
                <c:pt idx="139">
                  <c:v>9.4619938923601907</c:v>
                </c:pt>
                <c:pt idx="140">
                  <c:v>10.102267678421899</c:v>
                </c:pt>
                <c:pt idx="141">
                  <c:v>10.073041972166999</c:v>
                </c:pt>
                <c:pt idx="142">
                  <c:v>10.0607942795061</c:v>
                </c:pt>
                <c:pt idx="143">
                  <c:v>10.055578784224201</c:v>
                </c:pt>
                <c:pt idx="144">
                  <c:v>10.0538814969236</c:v>
                </c:pt>
                <c:pt idx="145">
                  <c:v>10.974948332553</c:v>
                </c:pt>
                <c:pt idx="146">
                  <c:v>10.899773273241699</c:v>
                </c:pt>
                <c:pt idx="147">
                  <c:v>10.8576153134603</c:v>
                </c:pt>
                <c:pt idx="148">
                  <c:v>10.8307743245705</c:v>
                </c:pt>
                <c:pt idx="149">
                  <c:v>10.812316183572401</c:v>
                </c:pt>
                <c:pt idx="150">
                  <c:v>8.3223276320634394</c:v>
                </c:pt>
                <c:pt idx="151">
                  <c:v>8.3232638232802998</c:v>
                </c:pt>
                <c:pt idx="152">
                  <c:v>8.3236065973099294</c:v>
                </c:pt>
                <c:pt idx="153">
                  <c:v>8.3237690207201496</c:v>
                </c:pt>
                <c:pt idx="154">
                  <c:v>8.3238585609828792</c:v>
                </c:pt>
                <c:pt idx="155">
                  <c:v>8.86753095667342</c:v>
                </c:pt>
                <c:pt idx="156">
                  <c:v>8.8816433348113293</c:v>
                </c:pt>
                <c:pt idx="157">
                  <c:v>8.8882163840791293</c:v>
                </c:pt>
                <c:pt idx="158">
                  <c:v>8.8917757983076093</c:v>
                </c:pt>
                <c:pt idx="159">
                  <c:v>8.8939120912135703</c:v>
                </c:pt>
                <c:pt idx="160">
                  <c:v>9.4002488591920592</c:v>
                </c:pt>
                <c:pt idx="161">
                  <c:v>9.4129169882723698</c:v>
                </c:pt>
                <c:pt idx="162">
                  <c:v>9.4269564571962299</c:v>
                </c:pt>
                <c:pt idx="163">
                  <c:v>9.4392762233024801</c:v>
                </c:pt>
                <c:pt idx="164">
                  <c:v>9.4495155708296608</c:v>
                </c:pt>
                <c:pt idx="165">
                  <c:v>10.099433868017501</c:v>
                </c:pt>
                <c:pt idx="166">
                  <c:v>10.069217243673</c:v>
                </c:pt>
                <c:pt idx="167">
                  <c:v>10.0560171251112</c:v>
                </c:pt>
                <c:pt idx="168">
                  <c:v>10.049911596190899</c:v>
                </c:pt>
                <c:pt idx="169">
                  <c:v>10.0474016279704</c:v>
                </c:pt>
                <c:pt idx="170">
                  <c:v>10.9741899194754</c:v>
                </c:pt>
                <c:pt idx="171">
                  <c:v>10.8987507273246</c:v>
                </c:pt>
                <c:pt idx="172">
                  <c:v>10.856358947151</c:v>
                </c:pt>
                <c:pt idx="173">
                  <c:v>10.8293030897037</c:v>
                </c:pt>
                <c:pt idx="174">
                  <c:v>10.810643518345501</c:v>
                </c:pt>
                <c:pt idx="175">
                  <c:v>8.3180748677608296</c:v>
                </c:pt>
                <c:pt idx="176">
                  <c:v>8.3192788604704493</c:v>
                </c:pt>
                <c:pt idx="177">
                  <c:v>8.3197225734445404</c:v>
                </c:pt>
                <c:pt idx="178">
                  <c:v>8.3199335796091205</c:v>
                </c:pt>
                <c:pt idx="179">
                  <c:v>8.3200501146258894</c:v>
                </c:pt>
                <c:pt idx="180">
                  <c:v>8.8579547933047902</c:v>
                </c:pt>
                <c:pt idx="181">
                  <c:v>8.8742713501680992</c:v>
                </c:pt>
                <c:pt idx="182">
                  <c:v>8.8821316569932502</c:v>
                </c:pt>
                <c:pt idx="183">
                  <c:v>8.8864718351420997</c:v>
                </c:pt>
                <c:pt idx="184">
                  <c:v>8.8891100910539205</c:v>
                </c:pt>
                <c:pt idx="185">
                  <c:v>9.3930506564090201</c:v>
                </c:pt>
                <c:pt idx="186">
                  <c:v>9.4032494125132793</c:v>
                </c:pt>
                <c:pt idx="187">
                  <c:v>9.4162294640120301</c:v>
                </c:pt>
                <c:pt idx="188">
                  <c:v>9.4282956443916799</c:v>
                </c:pt>
                <c:pt idx="189">
                  <c:v>9.4387032972700897</c:v>
                </c:pt>
                <c:pt idx="190">
                  <c:v>10.097342871903001</c:v>
                </c:pt>
                <c:pt idx="191">
                  <c:v>10.066394152279701</c:v>
                </c:pt>
                <c:pt idx="192">
                  <c:v>10.0524745586329</c:v>
                </c:pt>
                <c:pt idx="193">
                  <c:v>10.045679346560901</c:v>
                </c:pt>
                <c:pt idx="194">
                  <c:v>10.0425224880318</c:v>
                </c:pt>
                <c:pt idx="195">
                  <c:v>10.9736199930497</c:v>
                </c:pt>
                <c:pt idx="196">
                  <c:v>10.8979815067018</c:v>
                </c:pt>
                <c:pt idx="197">
                  <c:v>10.855412756426499</c:v>
                </c:pt>
                <c:pt idx="198">
                  <c:v>10.8281937350013</c:v>
                </c:pt>
                <c:pt idx="199">
                  <c:v>10.809380668814899</c:v>
                </c:pt>
                <c:pt idx="200">
                  <c:v>8.3758923961880303</c:v>
                </c:pt>
                <c:pt idx="201">
                  <c:v>8.3760132813606099</c:v>
                </c:pt>
                <c:pt idx="202">
                  <c:v>8.3760562702839305</c:v>
                </c:pt>
                <c:pt idx="203">
                  <c:v>8.3760763337585402</c:v>
                </c:pt>
                <c:pt idx="204">
                  <c:v>8.3760872941115192</c:v>
                </c:pt>
                <c:pt idx="205">
                  <c:v>8.9388114300507304</c:v>
                </c:pt>
                <c:pt idx="206">
                  <c:v>8.9418790339322598</c:v>
                </c:pt>
                <c:pt idx="207">
                  <c:v>8.9430837511973493</c:v>
                </c:pt>
                <c:pt idx="208">
                  <c:v>8.9436767023691104</c:v>
                </c:pt>
                <c:pt idx="209">
                  <c:v>8.9440114127335999</c:v>
                </c:pt>
                <c:pt idx="210">
                  <c:v>9.4906934829798608</c:v>
                </c:pt>
                <c:pt idx="211">
                  <c:v>9.5082423486630905</c:v>
                </c:pt>
                <c:pt idx="212">
                  <c:v>9.5191613781951006</c:v>
                </c:pt>
                <c:pt idx="213">
                  <c:v>9.5261524008330891</c:v>
                </c:pt>
                <c:pt idx="214">
                  <c:v>9.5308421786129198</c:v>
                </c:pt>
                <c:pt idx="215">
                  <c:v>10.131498434449</c:v>
                </c:pt>
                <c:pt idx="216">
                  <c:v>10.1114276856927</c:v>
                </c:pt>
                <c:pt idx="217">
                  <c:v>10.106771860012801</c:v>
                </c:pt>
                <c:pt idx="218">
                  <c:v>10.107651568130199</c:v>
                </c:pt>
                <c:pt idx="219">
                  <c:v>10.1107274819458</c:v>
                </c:pt>
                <c:pt idx="220">
                  <c:v>10.982291026117201</c:v>
                </c:pt>
                <c:pt idx="221">
                  <c:v>10.9096095235577</c:v>
                </c:pt>
                <c:pt idx="222">
                  <c:v>10.869616482611001</c:v>
                </c:pt>
                <c:pt idx="223">
                  <c:v>10.844723979941399</c:v>
                </c:pt>
                <c:pt idx="224">
                  <c:v>10.8280532885039</c:v>
                </c:pt>
                <c:pt idx="225">
                  <c:v>8.3625983488350606</c:v>
                </c:pt>
                <c:pt idx="226">
                  <c:v>8.3627743617539192</c:v>
                </c:pt>
                <c:pt idx="227">
                  <c:v>8.3628371457753108</c:v>
                </c:pt>
                <c:pt idx="228">
                  <c:v>8.3628665022325208</c:v>
                </c:pt>
                <c:pt idx="229">
                  <c:v>8.3628825590679696</c:v>
                </c:pt>
                <c:pt idx="230">
                  <c:v>8.9250469500841803</c:v>
                </c:pt>
                <c:pt idx="231">
                  <c:v>8.9292455435797606</c:v>
                </c:pt>
                <c:pt idx="232">
                  <c:v>8.9309288578770296</c:v>
                </c:pt>
                <c:pt idx="233">
                  <c:v>8.9317667802891396</c:v>
                </c:pt>
                <c:pt idx="234">
                  <c:v>8.93224317664456</c:v>
                </c:pt>
                <c:pt idx="235">
                  <c:v>9.4709977348136292</c:v>
                </c:pt>
                <c:pt idx="236">
                  <c:v>9.4897381118201896</c:v>
                </c:pt>
                <c:pt idx="237">
                  <c:v>9.5022860750432798</c:v>
                </c:pt>
                <c:pt idx="238">
                  <c:v>9.5106791991141097</c:v>
                </c:pt>
                <c:pt idx="239">
                  <c:v>9.5164803371842694</c:v>
                </c:pt>
                <c:pt idx="240">
                  <c:v>10.123008052690899</c:v>
                </c:pt>
                <c:pt idx="241">
                  <c:v>10.100536470661901</c:v>
                </c:pt>
                <c:pt idx="242">
                  <c:v>10.0941015123529</c:v>
                </c:pt>
                <c:pt idx="243">
                  <c:v>10.093724917208</c:v>
                </c:pt>
                <c:pt idx="244">
                  <c:v>10.095955536453999</c:v>
                </c:pt>
                <c:pt idx="245">
                  <c:v>10.9802096527446</c:v>
                </c:pt>
                <c:pt idx="246">
                  <c:v>10.906833103045701</c:v>
                </c:pt>
                <c:pt idx="247">
                  <c:v>10.866244537598799</c:v>
                </c:pt>
                <c:pt idx="248">
                  <c:v>10.840823699368899</c:v>
                </c:pt>
                <c:pt idx="249">
                  <c:v>10.8236756803476</c:v>
                </c:pt>
                <c:pt idx="250">
                  <c:v>8.3529359077549703</c:v>
                </c:pt>
                <c:pt idx="251">
                  <c:v>8.3531766236508496</c:v>
                </c:pt>
                <c:pt idx="252">
                  <c:v>8.3532627783928497</c:v>
                </c:pt>
                <c:pt idx="253">
                  <c:v>8.3533031273861305</c:v>
                </c:pt>
                <c:pt idx="254">
                  <c:v>8.3533252028678699</c:v>
                </c:pt>
                <c:pt idx="255">
                  <c:v>8.9142002312138402</c:v>
                </c:pt>
                <c:pt idx="256">
                  <c:v>8.9196044881720393</c:v>
                </c:pt>
                <c:pt idx="257">
                  <c:v>8.9218154220682493</c:v>
                </c:pt>
                <c:pt idx="258">
                  <c:v>8.9229282941776908</c:v>
                </c:pt>
                <c:pt idx="259">
                  <c:v>8.9235654922303098</c:v>
                </c:pt>
                <c:pt idx="260">
                  <c:v>9.4553413866102698</c:v>
                </c:pt>
                <c:pt idx="261">
                  <c:v>9.4744644238908098</c:v>
                </c:pt>
                <c:pt idx="262">
                  <c:v>9.4881761541942797</c:v>
                </c:pt>
                <c:pt idx="263">
                  <c:v>9.4977270645188803</c:v>
                </c:pt>
                <c:pt idx="264">
                  <c:v>9.5045146235490208</c:v>
                </c:pt>
                <c:pt idx="265">
                  <c:v>10.116977784343099</c:v>
                </c:pt>
                <c:pt idx="266">
                  <c:v>10.092663739794499</c:v>
                </c:pt>
                <c:pt idx="267">
                  <c:v>10.084760964244399</c:v>
                </c:pt>
                <c:pt idx="268">
                  <c:v>10.083263046898701</c:v>
                </c:pt>
                <c:pt idx="269">
                  <c:v>10.0846670758415</c:v>
                </c:pt>
                <c:pt idx="270">
                  <c:v>10.9787148804027</c:v>
                </c:pt>
                <c:pt idx="271">
                  <c:v>10.9048334087167</c:v>
                </c:pt>
                <c:pt idx="272">
                  <c:v>10.8638083253992</c:v>
                </c:pt>
                <c:pt idx="273">
                  <c:v>10.8379964439139</c:v>
                </c:pt>
                <c:pt idx="274">
                  <c:v>10.820491511315099</c:v>
                </c:pt>
                <c:pt idx="275">
                  <c:v>8.3455717672157999</c:v>
                </c:pt>
                <c:pt idx="276">
                  <c:v>8.34588646885293</c:v>
                </c:pt>
                <c:pt idx="277">
                  <c:v>8.3459994639252493</c:v>
                </c:pt>
                <c:pt idx="278">
                  <c:v>8.3460524661461193</c:v>
                </c:pt>
                <c:pt idx="279">
                  <c:v>8.3460814998065391</c:v>
                </c:pt>
                <c:pt idx="280">
                  <c:v>8.9051719438224595</c:v>
                </c:pt>
                <c:pt idx="281">
                  <c:v>8.9118282525128496</c:v>
                </c:pt>
                <c:pt idx="282">
                  <c:v>8.9146057538535697</c:v>
                </c:pt>
                <c:pt idx="283">
                  <c:v>8.9160191900634604</c:v>
                </c:pt>
                <c:pt idx="284">
                  <c:v>8.9168341522327204</c:v>
                </c:pt>
                <c:pt idx="285">
                  <c:v>9.4426375606182997</c:v>
                </c:pt>
                <c:pt idx="286">
                  <c:v>9.4615563828285403</c:v>
                </c:pt>
                <c:pt idx="287">
                  <c:v>9.4760317351796797</c:v>
                </c:pt>
                <c:pt idx="288">
                  <c:v>9.4865038831808093</c:v>
                </c:pt>
                <c:pt idx="289">
                  <c:v>9.4941424980031393</c:v>
                </c:pt>
                <c:pt idx="290">
                  <c:v>10.1124946421488</c:v>
                </c:pt>
                <c:pt idx="291">
                  <c:v>10.0867404088771</c:v>
                </c:pt>
                <c:pt idx="292">
                  <c:v>10.0776287455265</c:v>
                </c:pt>
                <c:pt idx="293">
                  <c:v>10.0751544806614</c:v>
                </c:pt>
                <c:pt idx="294">
                  <c:v>10.075793645798999</c:v>
                </c:pt>
                <c:pt idx="295">
                  <c:v>10.977589367176099</c:v>
                </c:pt>
                <c:pt idx="296">
                  <c:v>10.9033245285628</c:v>
                </c:pt>
                <c:pt idx="297">
                  <c:v>10.861965871379899</c:v>
                </c:pt>
                <c:pt idx="298">
                  <c:v>10.835853070836601</c:v>
                </c:pt>
                <c:pt idx="299">
                  <c:v>10.818071450772401</c:v>
                </c:pt>
                <c:pt idx="300">
                  <c:v>8.4145522024020991</c:v>
                </c:pt>
                <c:pt idx="301">
                  <c:v>8.4146034172645905</c:v>
                </c:pt>
                <c:pt idx="302">
                  <c:v>8.4146215275221294</c:v>
                </c:pt>
                <c:pt idx="303">
                  <c:v>8.4146299599071401</c:v>
                </c:pt>
                <c:pt idx="304">
                  <c:v>8.4146345503254008</c:v>
                </c:pt>
                <c:pt idx="305">
                  <c:v>8.9753170780182998</c:v>
                </c:pt>
                <c:pt idx="306">
                  <c:v>8.9767622425698406</c:v>
                </c:pt>
                <c:pt idx="307">
                  <c:v>8.9773100063431208</c:v>
                </c:pt>
                <c:pt idx="308">
                  <c:v>8.9775744640518909</c:v>
                </c:pt>
                <c:pt idx="309">
                  <c:v>8.9777219287155905</c:v>
                </c:pt>
                <c:pt idx="310">
                  <c:v>9.5383831327633892</c:v>
                </c:pt>
                <c:pt idx="311">
                  <c:v>9.55146492806273</c:v>
                </c:pt>
                <c:pt idx="312">
                  <c:v>9.5585567768310291</c:v>
                </c:pt>
                <c:pt idx="313">
                  <c:v>9.5627400105661309</c:v>
                </c:pt>
                <c:pt idx="314">
                  <c:v>9.5653948736631094</c:v>
                </c:pt>
                <c:pt idx="315">
                  <c:v>10.156781262572901</c:v>
                </c:pt>
                <c:pt idx="316">
                  <c:v>10.1425560910731</c:v>
                </c:pt>
                <c:pt idx="317">
                  <c:v>10.1415675506738</c:v>
                </c:pt>
                <c:pt idx="318">
                  <c:v>10.1445778724625</c:v>
                </c:pt>
                <c:pt idx="319">
                  <c:v>10.148743784576499</c:v>
                </c:pt>
                <c:pt idx="320">
                  <c:v>10.9884566694413</c:v>
                </c:pt>
                <c:pt idx="321">
                  <c:v>10.9177791750169</c:v>
                </c:pt>
                <c:pt idx="322">
                  <c:v>10.8794672899236</c:v>
                </c:pt>
                <c:pt idx="323">
                  <c:v>10.8560326301549</c:v>
                </c:pt>
                <c:pt idx="324">
                  <c:v>10.8406477836393</c:v>
                </c:pt>
                <c:pt idx="325">
                  <c:v>8.3954266152924699</c:v>
                </c:pt>
                <c:pt idx="326">
                  <c:v>8.3955022974522002</c:v>
                </c:pt>
                <c:pt idx="327">
                  <c:v>8.3955291244356705</c:v>
                </c:pt>
                <c:pt idx="328">
                  <c:v>8.3955416273934897</c:v>
                </c:pt>
                <c:pt idx="329">
                  <c:v>8.3955484406676</c:v>
                </c:pt>
                <c:pt idx="330">
                  <c:v>8.9576779258841004</c:v>
                </c:pt>
                <c:pt idx="331">
                  <c:v>8.9597235989632402</c:v>
                </c:pt>
                <c:pt idx="332">
                  <c:v>8.9605101814983499</c:v>
                </c:pt>
                <c:pt idx="333">
                  <c:v>8.9608929073354293</c:v>
                </c:pt>
                <c:pt idx="334">
                  <c:v>8.9611073825276595</c:v>
                </c:pt>
                <c:pt idx="335">
                  <c:v>9.5162986678953398</c:v>
                </c:pt>
                <c:pt idx="336">
                  <c:v>9.5315918920388896</c:v>
                </c:pt>
                <c:pt idx="337">
                  <c:v>9.5403768004895397</c:v>
                </c:pt>
                <c:pt idx="338">
                  <c:v>9.5457397796286401</c:v>
                </c:pt>
                <c:pt idx="339">
                  <c:v>9.5492229842078906</c:v>
                </c:pt>
                <c:pt idx="340">
                  <c:v>10.1442148432798</c:v>
                </c:pt>
                <c:pt idx="341">
                  <c:v>10.1273191733681</c:v>
                </c:pt>
                <c:pt idx="342">
                  <c:v>10.124777505396001</c:v>
                </c:pt>
                <c:pt idx="343">
                  <c:v>10.1269769470907</c:v>
                </c:pt>
                <c:pt idx="344">
                  <c:v>10.130807010117699</c:v>
                </c:pt>
                <c:pt idx="345">
                  <c:v>10.985388487324601</c:v>
                </c:pt>
                <c:pt idx="346">
                  <c:v>10.9137240188325</c:v>
                </c:pt>
                <c:pt idx="347">
                  <c:v>10.8745909263546</c:v>
                </c:pt>
                <c:pt idx="348">
                  <c:v>10.8504505040325</c:v>
                </c:pt>
                <c:pt idx="349">
                  <c:v>10.8344490973268</c:v>
                </c:pt>
                <c:pt idx="350">
                  <c:v>8.3815195586676694</c:v>
                </c:pt>
                <c:pt idx="351">
                  <c:v>8.3816242581218194</c:v>
                </c:pt>
                <c:pt idx="352">
                  <c:v>8.3816614530298903</c:v>
                </c:pt>
                <c:pt idx="353">
                  <c:v>8.3816788058188205</c:v>
                </c:pt>
                <c:pt idx="354">
                  <c:v>8.3816882808780608</c:v>
                </c:pt>
                <c:pt idx="355">
                  <c:v>8.9443726242845703</c:v>
                </c:pt>
                <c:pt idx="356">
                  <c:v>8.9470855806041705</c:v>
                </c:pt>
                <c:pt idx="357">
                  <c:v>8.9481435918892505</c:v>
                </c:pt>
                <c:pt idx="358">
                  <c:v>8.9486623557520595</c:v>
                </c:pt>
                <c:pt idx="359">
                  <c:v>8.9489544800982195</c:v>
                </c:pt>
                <c:pt idx="360">
                  <c:v>9.4984422930244303</c:v>
                </c:pt>
                <c:pt idx="361">
                  <c:v>9.5153703198608195</c:v>
                </c:pt>
                <c:pt idx="362">
                  <c:v>9.52563466888334</c:v>
                </c:pt>
                <c:pt idx="363">
                  <c:v>9.5321060600384602</c:v>
                </c:pt>
                <c:pt idx="364">
                  <c:v>9.5364019752266405</c:v>
                </c:pt>
                <c:pt idx="365">
                  <c:v>10.135139681095801</c:v>
                </c:pt>
                <c:pt idx="366">
                  <c:v>10.116028935293899</c:v>
                </c:pt>
                <c:pt idx="367">
                  <c:v>10.1120415611224</c:v>
                </c:pt>
                <c:pt idx="368">
                  <c:v>10.113360874555299</c:v>
                </c:pt>
                <c:pt idx="369">
                  <c:v>10.116706833421199</c:v>
                </c:pt>
                <c:pt idx="370">
                  <c:v>10.983179021220099</c:v>
                </c:pt>
                <c:pt idx="371">
                  <c:v>10.910791206971099</c:v>
                </c:pt>
                <c:pt idx="372">
                  <c:v>10.8710478994574</c:v>
                </c:pt>
                <c:pt idx="373">
                  <c:v>10.8463751475634</c:v>
                </c:pt>
                <c:pt idx="374">
                  <c:v>10.8299012771976</c:v>
                </c:pt>
                <c:pt idx="375">
                  <c:v>8.3709354670448999</c:v>
                </c:pt>
                <c:pt idx="376">
                  <c:v>8.3710736464903306</c:v>
                </c:pt>
                <c:pt idx="377">
                  <c:v>8.3711228369187101</c:v>
                </c:pt>
                <c:pt idx="378">
                  <c:v>8.3711458046781697</c:v>
                </c:pt>
                <c:pt idx="379">
                  <c:v>8.3711583573254291</c:v>
                </c:pt>
                <c:pt idx="380">
                  <c:v>8.9337974271700205</c:v>
                </c:pt>
                <c:pt idx="381">
                  <c:v>8.9372317354484796</c:v>
                </c:pt>
                <c:pt idx="382">
                  <c:v>8.9385898699852504</c:v>
                </c:pt>
                <c:pt idx="383">
                  <c:v>8.9392608644325993</c:v>
                </c:pt>
                <c:pt idx="384">
                  <c:v>8.9396405394323804</c:v>
                </c:pt>
                <c:pt idx="385">
                  <c:v>9.4835874719128999</c:v>
                </c:pt>
                <c:pt idx="386">
                  <c:v>9.5016388112296593</c:v>
                </c:pt>
                <c:pt idx="387">
                  <c:v>9.5131558476516407</c:v>
                </c:pt>
                <c:pt idx="388">
                  <c:v>9.5206410061847908</c:v>
                </c:pt>
                <c:pt idx="389">
                  <c:v>9.5257137951744006</c:v>
                </c:pt>
                <c:pt idx="390">
                  <c:v>10.1283117005393</c:v>
                </c:pt>
                <c:pt idx="391">
                  <c:v>10.1073665680396</c:v>
                </c:pt>
                <c:pt idx="392">
                  <c:v>10.102080415818</c:v>
                </c:pt>
                <c:pt idx="393">
                  <c:v>10.102528778800201</c:v>
                </c:pt>
                <c:pt idx="394">
                  <c:v>10.1053256385228</c:v>
                </c:pt>
                <c:pt idx="395">
                  <c:v>10.981512055865901</c:v>
                </c:pt>
                <c:pt idx="396">
                  <c:v>10.9085715199693</c:v>
                </c:pt>
                <c:pt idx="397">
                  <c:v>10.8683572709856</c:v>
                </c:pt>
                <c:pt idx="398">
                  <c:v>10.843269219201</c:v>
                </c:pt>
                <c:pt idx="399">
                  <c:v>10.826422532285999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E4-D745-9AD5-05AA43F685A6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DATA!$B$2:$B$401</c:f>
              <c:numCache>
                <c:formatCode>General</c:formatCode>
                <c:ptCount val="4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0.9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0.9</c:v>
                </c:pt>
              </c:numCache>
            </c:numRef>
          </c:xVal>
          <c:yVal>
            <c:numRef>
              <c:f>'D-Stat2'!$B$25:$B$424</c:f>
              <c:numCache>
                <c:formatCode>General</c:formatCode>
                <c:ptCount val="400"/>
                <c:pt idx="0">
                  <c:v>8.2781363009775717</c:v>
                </c:pt>
                <c:pt idx="1">
                  <c:v>8.2781363009775717</c:v>
                </c:pt>
                <c:pt idx="2">
                  <c:v>8.2781363009775717</c:v>
                </c:pt>
                <c:pt idx="3">
                  <c:v>8.2781363009775717</c:v>
                </c:pt>
                <c:pt idx="4">
                  <c:v>8.2781363009775717</c:v>
                </c:pt>
                <c:pt idx="5">
                  <c:v>8.9044870310771067</c:v>
                </c:pt>
                <c:pt idx="6">
                  <c:v>8.9044870310771067</c:v>
                </c:pt>
                <c:pt idx="7">
                  <c:v>8.9044870310771067</c:v>
                </c:pt>
                <c:pt idx="8">
                  <c:v>8.9044870310771067</c:v>
                </c:pt>
                <c:pt idx="9">
                  <c:v>8.9044870310771067</c:v>
                </c:pt>
                <c:pt idx="10">
                  <c:v>9.5308377611766399</c:v>
                </c:pt>
                <c:pt idx="11">
                  <c:v>9.5308377611766399</c:v>
                </c:pt>
                <c:pt idx="12">
                  <c:v>9.5308377611766399</c:v>
                </c:pt>
                <c:pt idx="13">
                  <c:v>9.5308377611766399</c:v>
                </c:pt>
                <c:pt idx="14">
                  <c:v>9.5308377611766399</c:v>
                </c:pt>
                <c:pt idx="15">
                  <c:v>10.157188491276173</c:v>
                </c:pt>
                <c:pt idx="16">
                  <c:v>10.157188491276173</c:v>
                </c:pt>
                <c:pt idx="17">
                  <c:v>10.157188491276173</c:v>
                </c:pt>
                <c:pt idx="18">
                  <c:v>10.157188491276173</c:v>
                </c:pt>
                <c:pt idx="19">
                  <c:v>10.157188491276173</c:v>
                </c:pt>
                <c:pt idx="20">
                  <c:v>10.783539221375708</c:v>
                </c:pt>
                <c:pt idx="21">
                  <c:v>10.783539221375708</c:v>
                </c:pt>
                <c:pt idx="22">
                  <c:v>10.783539221375708</c:v>
                </c:pt>
                <c:pt idx="23">
                  <c:v>10.783539221375708</c:v>
                </c:pt>
                <c:pt idx="24">
                  <c:v>10.783539221375708</c:v>
                </c:pt>
                <c:pt idx="25">
                  <c:v>8.2781363009775717</c:v>
                </c:pt>
                <c:pt idx="26">
                  <c:v>8.2781363009775717</c:v>
                </c:pt>
                <c:pt idx="27">
                  <c:v>8.2781363009775717</c:v>
                </c:pt>
                <c:pt idx="28">
                  <c:v>8.2781363009775717</c:v>
                </c:pt>
                <c:pt idx="29">
                  <c:v>8.2781363009775717</c:v>
                </c:pt>
                <c:pt idx="30">
                  <c:v>8.9044870310771067</c:v>
                </c:pt>
                <c:pt idx="31">
                  <c:v>8.9044870310771067</c:v>
                </c:pt>
                <c:pt idx="32">
                  <c:v>8.9044870310771067</c:v>
                </c:pt>
                <c:pt idx="33">
                  <c:v>8.9044870310771067</c:v>
                </c:pt>
                <c:pt idx="34">
                  <c:v>8.9044870310771067</c:v>
                </c:pt>
                <c:pt idx="35">
                  <c:v>9.5308377611766399</c:v>
                </c:pt>
                <c:pt idx="36">
                  <c:v>9.5308377611766399</c:v>
                </c:pt>
                <c:pt idx="37">
                  <c:v>9.5308377611766399</c:v>
                </c:pt>
                <c:pt idx="38">
                  <c:v>9.5308377611766399</c:v>
                </c:pt>
                <c:pt idx="39">
                  <c:v>9.5308377611766399</c:v>
                </c:pt>
                <c:pt idx="40">
                  <c:v>10.157188491276173</c:v>
                </c:pt>
                <c:pt idx="41">
                  <c:v>10.157188491276173</c:v>
                </c:pt>
                <c:pt idx="42">
                  <c:v>10.157188491276173</c:v>
                </c:pt>
                <c:pt idx="43">
                  <c:v>10.157188491276173</c:v>
                </c:pt>
                <c:pt idx="44">
                  <c:v>10.157188491276173</c:v>
                </c:pt>
                <c:pt idx="45">
                  <c:v>10.783539221375708</c:v>
                </c:pt>
                <c:pt idx="46">
                  <c:v>10.783539221375708</c:v>
                </c:pt>
                <c:pt idx="47">
                  <c:v>10.783539221375708</c:v>
                </c:pt>
                <c:pt idx="48">
                  <c:v>10.783539221375708</c:v>
                </c:pt>
                <c:pt idx="49">
                  <c:v>10.783539221375708</c:v>
                </c:pt>
                <c:pt idx="50">
                  <c:v>8.2781363009775717</c:v>
                </c:pt>
                <c:pt idx="51">
                  <c:v>8.2781363009775717</c:v>
                </c:pt>
                <c:pt idx="52">
                  <c:v>8.2781363009775717</c:v>
                </c:pt>
                <c:pt idx="53">
                  <c:v>8.2781363009775717</c:v>
                </c:pt>
                <c:pt idx="54">
                  <c:v>8.2781363009775717</c:v>
                </c:pt>
                <c:pt idx="55">
                  <c:v>8.9044870310771067</c:v>
                </c:pt>
                <c:pt idx="56">
                  <c:v>8.9044870310771067</c:v>
                </c:pt>
                <c:pt idx="57">
                  <c:v>8.9044870310771067</c:v>
                </c:pt>
                <c:pt idx="58">
                  <c:v>8.9044870310771067</c:v>
                </c:pt>
                <c:pt idx="59">
                  <c:v>8.9044870310771067</c:v>
                </c:pt>
                <c:pt idx="60">
                  <c:v>9.5308377611766399</c:v>
                </c:pt>
                <c:pt idx="61">
                  <c:v>9.5308377611766399</c:v>
                </c:pt>
                <c:pt idx="62">
                  <c:v>9.5308377611766399</c:v>
                </c:pt>
                <c:pt idx="63">
                  <c:v>9.5308377611766399</c:v>
                </c:pt>
                <c:pt idx="64">
                  <c:v>9.5308377611766399</c:v>
                </c:pt>
                <c:pt idx="65">
                  <c:v>10.157188491276173</c:v>
                </c:pt>
                <c:pt idx="66">
                  <c:v>10.157188491276173</c:v>
                </c:pt>
                <c:pt idx="67">
                  <c:v>10.157188491276173</c:v>
                </c:pt>
                <c:pt idx="68">
                  <c:v>10.157188491276173</c:v>
                </c:pt>
                <c:pt idx="69">
                  <c:v>10.157188491276173</c:v>
                </c:pt>
                <c:pt idx="70">
                  <c:v>10.783539221375708</c:v>
                </c:pt>
                <c:pt idx="71">
                  <c:v>10.783539221375708</c:v>
                </c:pt>
                <c:pt idx="72">
                  <c:v>10.783539221375708</c:v>
                </c:pt>
                <c:pt idx="73">
                  <c:v>10.783539221375708</c:v>
                </c:pt>
                <c:pt idx="74">
                  <c:v>10.783539221375708</c:v>
                </c:pt>
                <c:pt idx="75">
                  <c:v>8.2781363009775717</c:v>
                </c:pt>
                <c:pt idx="76">
                  <c:v>8.2781363009775717</c:v>
                </c:pt>
                <c:pt idx="77">
                  <c:v>8.2781363009775717</c:v>
                </c:pt>
                <c:pt idx="78">
                  <c:v>8.2781363009775717</c:v>
                </c:pt>
                <c:pt idx="79">
                  <c:v>8.2781363009775717</c:v>
                </c:pt>
                <c:pt idx="80">
                  <c:v>8.9044870310771067</c:v>
                </c:pt>
                <c:pt idx="81">
                  <c:v>8.9044870310771067</c:v>
                </c:pt>
                <c:pt idx="82">
                  <c:v>8.9044870310771067</c:v>
                </c:pt>
                <c:pt idx="83">
                  <c:v>8.9044870310771067</c:v>
                </c:pt>
                <c:pt idx="84">
                  <c:v>8.9044870310771067</c:v>
                </c:pt>
                <c:pt idx="85">
                  <c:v>9.5308377611766399</c:v>
                </c:pt>
                <c:pt idx="86">
                  <c:v>9.5308377611766399</c:v>
                </c:pt>
                <c:pt idx="87">
                  <c:v>9.5308377611766399</c:v>
                </c:pt>
                <c:pt idx="88">
                  <c:v>9.5308377611766399</c:v>
                </c:pt>
                <c:pt idx="89">
                  <c:v>9.5308377611766399</c:v>
                </c:pt>
                <c:pt idx="90">
                  <c:v>10.157188491276173</c:v>
                </c:pt>
                <c:pt idx="91">
                  <c:v>10.157188491276173</c:v>
                </c:pt>
                <c:pt idx="92">
                  <c:v>10.157188491276173</c:v>
                </c:pt>
                <c:pt idx="93">
                  <c:v>10.157188491276173</c:v>
                </c:pt>
                <c:pt idx="94">
                  <c:v>10.157188491276173</c:v>
                </c:pt>
                <c:pt idx="95">
                  <c:v>10.783539221375708</c:v>
                </c:pt>
                <c:pt idx="96">
                  <c:v>10.783539221375708</c:v>
                </c:pt>
                <c:pt idx="97">
                  <c:v>10.783539221375708</c:v>
                </c:pt>
                <c:pt idx="98">
                  <c:v>10.783539221375708</c:v>
                </c:pt>
                <c:pt idx="99">
                  <c:v>10.783539221375708</c:v>
                </c:pt>
                <c:pt idx="100">
                  <c:v>8.2781363009775717</c:v>
                </c:pt>
                <c:pt idx="101">
                  <c:v>8.2781363009775717</c:v>
                </c:pt>
                <c:pt idx="102">
                  <c:v>8.2781363009775717</c:v>
                </c:pt>
                <c:pt idx="103">
                  <c:v>8.2781363009775717</c:v>
                </c:pt>
                <c:pt idx="104">
                  <c:v>8.2781363009775717</c:v>
                </c:pt>
                <c:pt idx="105">
                  <c:v>8.9044870310771067</c:v>
                </c:pt>
                <c:pt idx="106">
                  <c:v>8.9044870310771067</c:v>
                </c:pt>
                <c:pt idx="107">
                  <c:v>8.9044870310771067</c:v>
                </c:pt>
                <c:pt idx="108">
                  <c:v>8.9044870310771067</c:v>
                </c:pt>
                <c:pt idx="109">
                  <c:v>8.9044870310771067</c:v>
                </c:pt>
                <c:pt idx="110">
                  <c:v>9.5308377611766399</c:v>
                </c:pt>
                <c:pt idx="111">
                  <c:v>9.5308377611766399</c:v>
                </c:pt>
                <c:pt idx="112">
                  <c:v>9.5308377611766399</c:v>
                </c:pt>
                <c:pt idx="113">
                  <c:v>9.5308377611766399</c:v>
                </c:pt>
                <c:pt idx="114">
                  <c:v>9.5308377611766399</c:v>
                </c:pt>
                <c:pt idx="115">
                  <c:v>10.157188491276173</c:v>
                </c:pt>
                <c:pt idx="116">
                  <c:v>10.157188491276173</c:v>
                </c:pt>
                <c:pt idx="117">
                  <c:v>10.157188491276173</c:v>
                </c:pt>
                <c:pt idx="118">
                  <c:v>10.157188491276173</c:v>
                </c:pt>
                <c:pt idx="119">
                  <c:v>10.157188491276173</c:v>
                </c:pt>
                <c:pt idx="120">
                  <c:v>10.783539221375708</c:v>
                </c:pt>
                <c:pt idx="121">
                  <c:v>10.783539221375708</c:v>
                </c:pt>
                <c:pt idx="122">
                  <c:v>10.783539221375708</c:v>
                </c:pt>
                <c:pt idx="123">
                  <c:v>10.783539221375708</c:v>
                </c:pt>
                <c:pt idx="124">
                  <c:v>10.783539221375708</c:v>
                </c:pt>
                <c:pt idx="125">
                  <c:v>8.2781363009775717</c:v>
                </c:pt>
                <c:pt idx="126">
                  <c:v>8.2781363009775717</c:v>
                </c:pt>
                <c:pt idx="127">
                  <c:v>8.2781363009775717</c:v>
                </c:pt>
                <c:pt idx="128">
                  <c:v>8.2781363009775717</c:v>
                </c:pt>
                <c:pt idx="129">
                  <c:v>8.2781363009775717</c:v>
                </c:pt>
                <c:pt idx="130">
                  <c:v>8.9044870310771067</c:v>
                </c:pt>
                <c:pt idx="131">
                  <c:v>8.9044870310771067</c:v>
                </c:pt>
                <c:pt idx="132">
                  <c:v>8.9044870310771067</c:v>
                </c:pt>
                <c:pt idx="133">
                  <c:v>8.9044870310771067</c:v>
                </c:pt>
                <c:pt idx="134">
                  <c:v>8.9044870310771067</c:v>
                </c:pt>
                <c:pt idx="135">
                  <c:v>9.5308377611766399</c:v>
                </c:pt>
                <c:pt idx="136">
                  <c:v>9.5308377611766399</c:v>
                </c:pt>
                <c:pt idx="137">
                  <c:v>9.5308377611766399</c:v>
                </c:pt>
                <c:pt idx="138">
                  <c:v>9.5308377611766399</c:v>
                </c:pt>
                <c:pt idx="139">
                  <c:v>9.5308377611766399</c:v>
                </c:pt>
                <c:pt idx="140">
                  <c:v>10.157188491276173</c:v>
                </c:pt>
                <c:pt idx="141">
                  <c:v>10.157188491276173</c:v>
                </c:pt>
                <c:pt idx="142">
                  <c:v>10.157188491276173</c:v>
                </c:pt>
                <c:pt idx="143">
                  <c:v>10.157188491276173</c:v>
                </c:pt>
                <c:pt idx="144">
                  <c:v>10.157188491276173</c:v>
                </c:pt>
                <c:pt idx="145">
                  <c:v>10.783539221375708</c:v>
                </c:pt>
                <c:pt idx="146">
                  <c:v>10.783539221375708</c:v>
                </c:pt>
                <c:pt idx="147">
                  <c:v>10.783539221375708</c:v>
                </c:pt>
                <c:pt idx="148">
                  <c:v>10.783539221375708</c:v>
                </c:pt>
                <c:pt idx="149">
                  <c:v>10.783539221375708</c:v>
                </c:pt>
                <c:pt idx="150">
                  <c:v>8.2781363009775717</c:v>
                </c:pt>
                <c:pt idx="151">
                  <c:v>8.2781363009775717</c:v>
                </c:pt>
                <c:pt idx="152">
                  <c:v>8.2781363009775717</c:v>
                </c:pt>
                <c:pt idx="153">
                  <c:v>8.2781363009775717</c:v>
                </c:pt>
                <c:pt idx="154">
                  <c:v>8.2781363009775717</c:v>
                </c:pt>
                <c:pt idx="155">
                  <c:v>8.9044870310771067</c:v>
                </c:pt>
                <c:pt idx="156">
                  <c:v>8.9044870310771067</c:v>
                </c:pt>
                <c:pt idx="157">
                  <c:v>8.9044870310771067</c:v>
                </c:pt>
                <c:pt idx="158">
                  <c:v>8.9044870310771067</c:v>
                </c:pt>
                <c:pt idx="159">
                  <c:v>8.9044870310771067</c:v>
                </c:pt>
                <c:pt idx="160">
                  <c:v>9.5308377611766399</c:v>
                </c:pt>
                <c:pt idx="161">
                  <c:v>9.5308377611766399</c:v>
                </c:pt>
                <c:pt idx="162">
                  <c:v>9.5308377611766399</c:v>
                </c:pt>
                <c:pt idx="163">
                  <c:v>9.5308377611766399</c:v>
                </c:pt>
                <c:pt idx="164">
                  <c:v>9.5308377611766399</c:v>
                </c:pt>
                <c:pt idx="165">
                  <c:v>10.157188491276173</c:v>
                </c:pt>
                <c:pt idx="166">
                  <c:v>10.157188491276173</c:v>
                </c:pt>
                <c:pt idx="167">
                  <c:v>10.157188491276173</c:v>
                </c:pt>
                <c:pt idx="168">
                  <c:v>10.157188491276173</c:v>
                </c:pt>
                <c:pt idx="169">
                  <c:v>10.157188491276173</c:v>
                </c:pt>
                <c:pt idx="170">
                  <c:v>10.783539221375708</c:v>
                </c:pt>
                <c:pt idx="171">
                  <c:v>10.783539221375708</c:v>
                </c:pt>
                <c:pt idx="172">
                  <c:v>10.783539221375708</c:v>
                </c:pt>
                <c:pt idx="173">
                  <c:v>10.783539221375708</c:v>
                </c:pt>
                <c:pt idx="174">
                  <c:v>10.783539221375708</c:v>
                </c:pt>
                <c:pt idx="175">
                  <c:v>8.2781363009775717</c:v>
                </c:pt>
                <c:pt idx="176">
                  <c:v>8.2781363009775717</c:v>
                </c:pt>
                <c:pt idx="177">
                  <c:v>8.2781363009775717</c:v>
                </c:pt>
                <c:pt idx="178">
                  <c:v>8.2781363009775717</c:v>
                </c:pt>
                <c:pt idx="179">
                  <c:v>8.2781363009775717</c:v>
                </c:pt>
                <c:pt idx="180">
                  <c:v>8.9044870310771067</c:v>
                </c:pt>
                <c:pt idx="181">
                  <c:v>8.9044870310771067</c:v>
                </c:pt>
                <c:pt idx="182">
                  <c:v>8.9044870310771067</c:v>
                </c:pt>
                <c:pt idx="183">
                  <c:v>8.9044870310771067</c:v>
                </c:pt>
                <c:pt idx="184">
                  <c:v>8.9044870310771067</c:v>
                </c:pt>
                <c:pt idx="185">
                  <c:v>9.5308377611766399</c:v>
                </c:pt>
                <c:pt idx="186">
                  <c:v>9.5308377611766399</c:v>
                </c:pt>
                <c:pt idx="187">
                  <c:v>9.5308377611766399</c:v>
                </c:pt>
                <c:pt idx="188">
                  <c:v>9.5308377611766399</c:v>
                </c:pt>
                <c:pt idx="189">
                  <c:v>9.5308377611766399</c:v>
                </c:pt>
                <c:pt idx="190">
                  <c:v>10.157188491276173</c:v>
                </c:pt>
                <c:pt idx="191">
                  <c:v>10.157188491276173</c:v>
                </c:pt>
                <c:pt idx="192">
                  <c:v>10.157188491276173</c:v>
                </c:pt>
                <c:pt idx="193">
                  <c:v>10.157188491276173</c:v>
                </c:pt>
                <c:pt idx="194">
                  <c:v>10.157188491276173</c:v>
                </c:pt>
                <c:pt idx="195">
                  <c:v>10.783539221375708</c:v>
                </c:pt>
                <c:pt idx="196">
                  <c:v>10.783539221375708</c:v>
                </c:pt>
                <c:pt idx="197">
                  <c:v>10.783539221375708</c:v>
                </c:pt>
                <c:pt idx="198">
                  <c:v>10.783539221375708</c:v>
                </c:pt>
                <c:pt idx="199">
                  <c:v>10.783539221375708</c:v>
                </c:pt>
                <c:pt idx="200">
                  <c:v>8.2781363009775717</c:v>
                </c:pt>
                <c:pt idx="201">
                  <c:v>8.2781363009775717</c:v>
                </c:pt>
                <c:pt idx="202">
                  <c:v>8.2781363009775717</c:v>
                </c:pt>
                <c:pt idx="203">
                  <c:v>8.2781363009775717</c:v>
                </c:pt>
                <c:pt idx="204">
                  <c:v>8.2781363009775717</c:v>
                </c:pt>
                <c:pt idx="205">
                  <c:v>8.9044870310771067</c:v>
                </c:pt>
                <c:pt idx="206">
                  <c:v>8.9044870310771067</c:v>
                </c:pt>
                <c:pt idx="207">
                  <c:v>8.9044870310771067</c:v>
                </c:pt>
                <c:pt idx="208">
                  <c:v>8.9044870310771067</c:v>
                </c:pt>
                <c:pt idx="209">
                  <c:v>8.9044870310771067</c:v>
                </c:pt>
                <c:pt idx="210">
                  <c:v>9.5308377611766399</c:v>
                </c:pt>
                <c:pt idx="211">
                  <c:v>9.5308377611766399</c:v>
                </c:pt>
                <c:pt idx="212">
                  <c:v>9.5308377611766399</c:v>
                </c:pt>
                <c:pt idx="213">
                  <c:v>9.5308377611766399</c:v>
                </c:pt>
                <c:pt idx="214">
                  <c:v>9.5308377611766399</c:v>
                </c:pt>
                <c:pt idx="215">
                  <c:v>10.157188491276173</c:v>
                </c:pt>
                <c:pt idx="216">
                  <c:v>10.157188491276173</c:v>
                </c:pt>
                <c:pt idx="217">
                  <c:v>10.157188491276173</c:v>
                </c:pt>
                <c:pt idx="218">
                  <c:v>10.157188491276173</c:v>
                </c:pt>
                <c:pt idx="219">
                  <c:v>10.157188491276173</c:v>
                </c:pt>
                <c:pt idx="220">
                  <c:v>10.783539221375708</c:v>
                </c:pt>
                <c:pt idx="221">
                  <c:v>10.783539221375708</c:v>
                </c:pt>
                <c:pt idx="222">
                  <c:v>10.783539221375708</c:v>
                </c:pt>
                <c:pt idx="223">
                  <c:v>10.783539221375708</c:v>
                </c:pt>
                <c:pt idx="224">
                  <c:v>10.783539221375708</c:v>
                </c:pt>
                <c:pt idx="225">
                  <c:v>8.2781363009775717</c:v>
                </c:pt>
                <c:pt idx="226">
                  <c:v>8.2781363009775717</c:v>
                </c:pt>
                <c:pt idx="227">
                  <c:v>8.2781363009775717</c:v>
                </c:pt>
                <c:pt idx="228">
                  <c:v>8.2781363009775717</c:v>
                </c:pt>
                <c:pt idx="229">
                  <c:v>8.2781363009775717</c:v>
                </c:pt>
                <c:pt idx="230">
                  <c:v>8.9044870310771067</c:v>
                </c:pt>
                <c:pt idx="231">
                  <c:v>8.9044870310771067</c:v>
                </c:pt>
                <c:pt idx="232">
                  <c:v>8.9044870310771067</c:v>
                </c:pt>
                <c:pt idx="233">
                  <c:v>8.9044870310771067</c:v>
                </c:pt>
                <c:pt idx="234">
                  <c:v>8.9044870310771067</c:v>
                </c:pt>
                <c:pt idx="235">
                  <c:v>9.5308377611766399</c:v>
                </c:pt>
                <c:pt idx="236">
                  <c:v>9.5308377611766399</c:v>
                </c:pt>
                <c:pt idx="237">
                  <c:v>9.5308377611766399</c:v>
                </c:pt>
                <c:pt idx="238">
                  <c:v>9.5308377611766399</c:v>
                </c:pt>
                <c:pt idx="239">
                  <c:v>9.5308377611766399</c:v>
                </c:pt>
                <c:pt idx="240">
                  <c:v>10.157188491276173</c:v>
                </c:pt>
                <c:pt idx="241">
                  <c:v>10.157188491276173</c:v>
                </c:pt>
                <c:pt idx="242">
                  <c:v>10.157188491276173</c:v>
                </c:pt>
                <c:pt idx="243">
                  <c:v>10.157188491276173</c:v>
                </c:pt>
                <c:pt idx="244">
                  <c:v>10.157188491276173</c:v>
                </c:pt>
                <c:pt idx="245">
                  <c:v>10.783539221375708</c:v>
                </c:pt>
                <c:pt idx="246">
                  <c:v>10.783539221375708</c:v>
                </c:pt>
                <c:pt idx="247">
                  <c:v>10.783539221375708</c:v>
                </c:pt>
                <c:pt idx="248">
                  <c:v>10.783539221375708</c:v>
                </c:pt>
                <c:pt idx="249">
                  <c:v>10.783539221375708</c:v>
                </c:pt>
                <c:pt idx="250">
                  <c:v>8.2781363009775717</c:v>
                </c:pt>
                <c:pt idx="251">
                  <c:v>8.2781363009775717</c:v>
                </c:pt>
                <c:pt idx="252">
                  <c:v>8.2781363009775717</c:v>
                </c:pt>
                <c:pt idx="253">
                  <c:v>8.2781363009775717</c:v>
                </c:pt>
                <c:pt idx="254">
                  <c:v>8.2781363009775717</c:v>
                </c:pt>
                <c:pt idx="255">
                  <c:v>8.9044870310771067</c:v>
                </c:pt>
                <c:pt idx="256">
                  <c:v>8.9044870310771067</c:v>
                </c:pt>
                <c:pt idx="257">
                  <c:v>8.9044870310771067</c:v>
                </c:pt>
                <c:pt idx="258">
                  <c:v>8.9044870310771067</c:v>
                </c:pt>
                <c:pt idx="259">
                  <c:v>8.9044870310771067</c:v>
                </c:pt>
                <c:pt idx="260">
                  <c:v>9.5308377611766399</c:v>
                </c:pt>
                <c:pt idx="261">
                  <c:v>9.5308377611766399</c:v>
                </c:pt>
                <c:pt idx="262">
                  <c:v>9.5308377611766399</c:v>
                </c:pt>
                <c:pt idx="263">
                  <c:v>9.5308377611766399</c:v>
                </c:pt>
                <c:pt idx="264">
                  <c:v>9.5308377611766399</c:v>
                </c:pt>
                <c:pt idx="265">
                  <c:v>10.157188491276173</c:v>
                </c:pt>
                <c:pt idx="266">
                  <c:v>10.157188491276173</c:v>
                </c:pt>
                <c:pt idx="267">
                  <c:v>10.157188491276173</c:v>
                </c:pt>
                <c:pt idx="268">
                  <c:v>10.157188491276173</c:v>
                </c:pt>
                <c:pt idx="269">
                  <c:v>10.157188491276173</c:v>
                </c:pt>
                <c:pt idx="270">
                  <c:v>10.783539221375708</c:v>
                </c:pt>
                <c:pt idx="271">
                  <c:v>10.783539221375708</c:v>
                </c:pt>
                <c:pt idx="272">
                  <c:v>10.783539221375708</c:v>
                </c:pt>
                <c:pt idx="273">
                  <c:v>10.783539221375708</c:v>
                </c:pt>
                <c:pt idx="274">
                  <c:v>10.783539221375708</c:v>
                </c:pt>
                <c:pt idx="275">
                  <c:v>8.2781363009775717</c:v>
                </c:pt>
                <c:pt idx="276">
                  <c:v>8.2781363009775717</c:v>
                </c:pt>
                <c:pt idx="277">
                  <c:v>8.2781363009775717</c:v>
                </c:pt>
                <c:pt idx="278">
                  <c:v>8.2781363009775717</c:v>
                </c:pt>
                <c:pt idx="279">
                  <c:v>8.2781363009775717</c:v>
                </c:pt>
                <c:pt idx="280">
                  <c:v>8.9044870310771067</c:v>
                </c:pt>
                <c:pt idx="281">
                  <c:v>8.9044870310771067</c:v>
                </c:pt>
                <c:pt idx="282">
                  <c:v>8.9044870310771067</c:v>
                </c:pt>
                <c:pt idx="283">
                  <c:v>8.9044870310771067</c:v>
                </c:pt>
                <c:pt idx="284">
                  <c:v>8.9044870310771067</c:v>
                </c:pt>
                <c:pt idx="285">
                  <c:v>9.5308377611766399</c:v>
                </c:pt>
                <c:pt idx="286">
                  <c:v>9.5308377611766399</c:v>
                </c:pt>
                <c:pt idx="287">
                  <c:v>9.5308377611766399</c:v>
                </c:pt>
                <c:pt idx="288">
                  <c:v>9.5308377611766399</c:v>
                </c:pt>
                <c:pt idx="289">
                  <c:v>9.5308377611766399</c:v>
                </c:pt>
                <c:pt idx="290">
                  <c:v>10.157188491276173</c:v>
                </c:pt>
                <c:pt idx="291">
                  <c:v>10.157188491276173</c:v>
                </c:pt>
                <c:pt idx="292">
                  <c:v>10.157188491276173</c:v>
                </c:pt>
                <c:pt idx="293">
                  <c:v>10.157188491276173</c:v>
                </c:pt>
                <c:pt idx="294">
                  <c:v>10.157188491276173</c:v>
                </c:pt>
                <c:pt idx="295">
                  <c:v>10.783539221375708</c:v>
                </c:pt>
                <c:pt idx="296">
                  <c:v>10.783539221375708</c:v>
                </c:pt>
                <c:pt idx="297">
                  <c:v>10.783539221375708</c:v>
                </c:pt>
                <c:pt idx="298">
                  <c:v>10.783539221375708</c:v>
                </c:pt>
                <c:pt idx="299">
                  <c:v>10.783539221375708</c:v>
                </c:pt>
                <c:pt idx="300">
                  <c:v>8.2781363009775717</c:v>
                </c:pt>
                <c:pt idx="301">
                  <c:v>8.2781363009775717</c:v>
                </c:pt>
                <c:pt idx="302">
                  <c:v>8.2781363009775717</c:v>
                </c:pt>
                <c:pt idx="303">
                  <c:v>8.2781363009775717</c:v>
                </c:pt>
                <c:pt idx="304">
                  <c:v>8.2781363009775717</c:v>
                </c:pt>
                <c:pt idx="305">
                  <c:v>8.9044870310771067</c:v>
                </c:pt>
                <c:pt idx="306">
                  <c:v>8.9044870310771067</c:v>
                </c:pt>
                <c:pt idx="307">
                  <c:v>8.9044870310771067</c:v>
                </c:pt>
                <c:pt idx="308">
                  <c:v>8.9044870310771067</c:v>
                </c:pt>
                <c:pt idx="309">
                  <c:v>8.9044870310771067</c:v>
                </c:pt>
                <c:pt idx="310">
                  <c:v>9.5308377611766399</c:v>
                </c:pt>
                <c:pt idx="311">
                  <c:v>9.5308377611766399</c:v>
                </c:pt>
                <c:pt idx="312">
                  <c:v>9.5308377611766399</c:v>
                </c:pt>
                <c:pt idx="313">
                  <c:v>9.5308377611766399</c:v>
                </c:pt>
                <c:pt idx="314">
                  <c:v>9.5308377611766399</c:v>
                </c:pt>
                <c:pt idx="315">
                  <c:v>10.157188491276173</c:v>
                </c:pt>
                <c:pt idx="316">
                  <c:v>10.157188491276173</c:v>
                </c:pt>
                <c:pt idx="317">
                  <c:v>10.157188491276173</c:v>
                </c:pt>
                <c:pt idx="318">
                  <c:v>10.157188491276173</c:v>
                </c:pt>
                <c:pt idx="319">
                  <c:v>10.157188491276173</c:v>
                </c:pt>
                <c:pt idx="320">
                  <c:v>10.783539221375708</c:v>
                </c:pt>
                <c:pt idx="321">
                  <c:v>10.783539221375708</c:v>
                </c:pt>
                <c:pt idx="322">
                  <c:v>10.783539221375708</c:v>
                </c:pt>
                <c:pt idx="323">
                  <c:v>10.783539221375708</c:v>
                </c:pt>
                <c:pt idx="324">
                  <c:v>10.783539221375708</c:v>
                </c:pt>
                <c:pt idx="325">
                  <c:v>8.2781363009775717</c:v>
                </c:pt>
                <c:pt idx="326">
                  <c:v>8.2781363009775717</c:v>
                </c:pt>
                <c:pt idx="327">
                  <c:v>8.2781363009775717</c:v>
                </c:pt>
                <c:pt idx="328">
                  <c:v>8.2781363009775717</c:v>
                </c:pt>
                <c:pt idx="329">
                  <c:v>8.2781363009775717</c:v>
                </c:pt>
                <c:pt idx="330">
                  <c:v>8.9044870310771067</c:v>
                </c:pt>
                <c:pt idx="331">
                  <c:v>8.9044870310771067</c:v>
                </c:pt>
                <c:pt idx="332">
                  <c:v>8.9044870310771067</c:v>
                </c:pt>
                <c:pt idx="333">
                  <c:v>8.9044870310771067</c:v>
                </c:pt>
                <c:pt idx="334">
                  <c:v>8.9044870310771067</c:v>
                </c:pt>
                <c:pt idx="335">
                  <c:v>9.5308377611766399</c:v>
                </c:pt>
                <c:pt idx="336">
                  <c:v>9.5308377611766399</c:v>
                </c:pt>
                <c:pt idx="337">
                  <c:v>9.5308377611766399</c:v>
                </c:pt>
                <c:pt idx="338">
                  <c:v>9.5308377611766399</c:v>
                </c:pt>
                <c:pt idx="339">
                  <c:v>9.5308377611766399</c:v>
                </c:pt>
                <c:pt idx="340">
                  <c:v>10.157188491276173</c:v>
                </c:pt>
                <c:pt idx="341">
                  <c:v>10.157188491276173</c:v>
                </c:pt>
                <c:pt idx="342">
                  <c:v>10.157188491276173</c:v>
                </c:pt>
                <c:pt idx="343">
                  <c:v>10.157188491276173</c:v>
                </c:pt>
                <c:pt idx="344">
                  <c:v>10.157188491276173</c:v>
                </c:pt>
                <c:pt idx="345">
                  <c:v>10.783539221375708</c:v>
                </c:pt>
                <c:pt idx="346">
                  <c:v>10.783539221375708</c:v>
                </c:pt>
                <c:pt idx="347">
                  <c:v>10.783539221375708</c:v>
                </c:pt>
                <c:pt idx="348">
                  <c:v>10.783539221375708</c:v>
                </c:pt>
                <c:pt idx="349">
                  <c:v>10.783539221375708</c:v>
                </c:pt>
                <c:pt idx="350">
                  <c:v>8.2781363009775717</c:v>
                </c:pt>
                <c:pt idx="351">
                  <c:v>8.2781363009775717</c:v>
                </c:pt>
                <c:pt idx="352">
                  <c:v>8.2781363009775717</c:v>
                </c:pt>
                <c:pt idx="353">
                  <c:v>8.2781363009775717</c:v>
                </c:pt>
                <c:pt idx="354">
                  <c:v>8.2781363009775717</c:v>
                </c:pt>
                <c:pt idx="355">
                  <c:v>8.9044870310771067</c:v>
                </c:pt>
                <c:pt idx="356">
                  <c:v>8.9044870310771067</c:v>
                </c:pt>
                <c:pt idx="357">
                  <c:v>8.9044870310771067</c:v>
                </c:pt>
                <c:pt idx="358">
                  <c:v>8.9044870310771067</c:v>
                </c:pt>
                <c:pt idx="359">
                  <c:v>8.9044870310771067</c:v>
                </c:pt>
                <c:pt idx="360">
                  <c:v>9.5308377611766399</c:v>
                </c:pt>
                <c:pt idx="361">
                  <c:v>9.5308377611766399</c:v>
                </c:pt>
                <c:pt idx="362">
                  <c:v>9.5308377611766399</c:v>
                </c:pt>
                <c:pt idx="363">
                  <c:v>9.5308377611766399</c:v>
                </c:pt>
                <c:pt idx="364">
                  <c:v>9.5308377611766399</c:v>
                </c:pt>
                <c:pt idx="365">
                  <c:v>10.157188491276173</c:v>
                </c:pt>
                <c:pt idx="366">
                  <c:v>10.157188491276173</c:v>
                </c:pt>
                <c:pt idx="367">
                  <c:v>10.157188491276173</c:v>
                </c:pt>
                <c:pt idx="368">
                  <c:v>10.157188491276173</c:v>
                </c:pt>
                <c:pt idx="369">
                  <c:v>10.157188491276173</c:v>
                </c:pt>
                <c:pt idx="370">
                  <c:v>10.783539221375708</c:v>
                </c:pt>
                <c:pt idx="371">
                  <c:v>10.783539221375708</c:v>
                </c:pt>
                <c:pt idx="372">
                  <c:v>10.783539221375708</c:v>
                </c:pt>
                <c:pt idx="373">
                  <c:v>10.783539221375708</c:v>
                </c:pt>
                <c:pt idx="374">
                  <c:v>10.783539221375708</c:v>
                </c:pt>
                <c:pt idx="375">
                  <c:v>8.2781363009775717</c:v>
                </c:pt>
                <c:pt idx="376">
                  <c:v>8.2781363009775717</c:v>
                </c:pt>
                <c:pt idx="377">
                  <c:v>8.2781363009775717</c:v>
                </c:pt>
                <c:pt idx="378">
                  <c:v>8.2781363009775717</c:v>
                </c:pt>
                <c:pt idx="379">
                  <c:v>8.2781363009775717</c:v>
                </c:pt>
                <c:pt idx="380">
                  <c:v>8.9044870310771067</c:v>
                </c:pt>
                <c:pt idx="381">
                  <c:v>8.9044870310771067</c:v>
                </c:pt>
                <c:pt idx="382">
                  <c:v>8.9044870310771067</c:v>
                </c:pt>
                <c:pt idx="383">
                  <c:v>8.9044870310771067</c:v>
                </c:pt>
                <c:pt idx="384">
                  <c:v>8.9044870310771067</c:v>
                </c:pt>
                <c:pt idx="385">
                  <c:v>9.5308377611766399</c:v>
                </c:pt>
                <c:pt idx="386">
                  <c:v>9.5308377611766399</c:v>
                </c:pt>
                <c:pt idx="387">
                  <c:v>9.5308377611766399</c:v>
                </c:pt>
                <c:pt idx="388">
                  <c:v>9.5308377611766399</c:v>
                </c:pt>
                <c:pt idx="389">
                  <c:v>9.5308377611766399</c:v>
                </c:pt>
                <c:pt idx="390">
                  <c:v>10.157188491276173</c:v>
                </c:pt>
                <c:pt idx="391">
                  <c:v>10.157188491276173</c:v>
                </c:pt>
                <c:pt idx="392">
                  <c:v>10.157188491276173</c:v>
                </c:pt>
                <c:pt idx="393">
                  <c:v>10.157188491276173</c:v>
                </c:pt>
                <c:pt idx="394">
                  <c:v>10.157188491276173</c:v>
                </c:pt>
                <c:pt idx="395">
                  <c:v>10.783539221375708</c:v>
                </c:pt>
                <c:pt idx="396">
                  <c:v>10.783539221375708</c:v>
                </c:pt>
                <c:pt idx="397">
                  <c:v>10.783539221375708</c:v>
                </c:pt>
                <c:pt idx="398">
                  <c:v>10.783539221375708</c:v>
                </c:pt>
                <c:pt idx="399">
                  <c:v>10.783539221375708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E4-D745-9AD5-05AA43F68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976751"/>
        <c:axId val="2140202591"/>
      </c:scatterChart>
      <c:valAx>
        <c:axId val="209097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0202591"/>
        <c:crosses val="autoZero"/>
        <c:crossBetween val="midCat"/>
      </c:valAx>
      <c:valAx>
        <c:axId val="2140202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909767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147320</xdr:colOff>
      <xdr:row>21</xdr:row>
      <xdr:rowOff>91440</xdr:rowOff>
    </xdr:from>
    <xdr:to>
      <xdr:col>12</xdr:col>
      <xdr:colOff>142240</xdr:colOff>
      <xdr:row>38</xdr:row>
      <xdr:rowOff>121920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148CB8B-4F27-7560-F866-C026814E7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224693</xdr:colOff>
      <xdr:row>6</xdr:row>
      <xdr:rowOff>156309</xdr:rowOff>
    </xdr:from>
    <xdr:to>
      <xdr:col>17</xdr:col>
      <xdr:colOff>725365</xdr:colOff>
      <xdr:row>21</xdr:row>
      <xdr:rowOff>87923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C40D25DC-A400-E39F-414C-F672D9900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9</xdr:row>
      <xdr:rowOff>152400</xdr:rowOff>
    </xdr:from>
    <xdr:to>
      <xdr:col>13</xdr:col>
      <xdr:colOff>800100</xdr:colOff>
      <xdr:row>44</xdr:row>
      <xdr:rowOff>165100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909DF15-B093-00C4-88EC-54F8E6ADB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89A2144-561D-0E1B-E018-B69D04BAF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BC978526-21B9-E66D-EDF9-1F5B8C93F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63500</xdr:rowOff>
    </xdr:from>
    <xdr:to>
      <xdr:col>17</xdr:col>
      <xdr:colOff>279400</xdr:colOff>
      <xdr:row>15</xdr:row>
      <xdr:rowOff>50800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ED9A976C-D172-C647-FECA-14213D21E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279400</xdr:colOff>
      <xdr:row>7</xdr:row>
      <xdr:rowOff>63500</xdr:rowOff>
    </xdr:from>
    <xdr:to>
      <xdr:col>18</xdr:col>
      <xdr:colOff>279400</xdr:colOff>
      <xdr:row>17</xdr:row>
      <xdr:rowOff>63500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24DBB8F-44A5-C3C3-3B81-12FCDA0E2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96651DF-7415-DB2D-55BA-0C2DEE252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DFFA091-D44E-71B1-9F79-2D521F795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3D4820D-BFFF-46E4-AAE4-D7E3DBC97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55AC6E55-AFD7-F1FB-FA12-9E50B7FE9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63500</xdr:rowOff>
    </xdr:from>
    <xdr:to>
      <xdr:col>17</xdr:col>
      <xdr:colOff>279400</xdr:colOff>
      <xdr:row>15</xdr:row>
      <xdr:rowOff>50800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B3757980-8C65-007C-FF88-47E30426A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279400</xdr:colOff>
      <xdr:row>7</xdr:row>
      <xdr:rowOff>63500</xdr:rowOff>
    </xdr:from>
    <xdr:to>
      <xdr:col>18</xdr:col>
      <xdr:colOff>279400</xdr:colOff>
      <xdr:row>17</xdr:row>
      <xdr:rowOff>63500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DF0B6023-EB7B-B389-6C81-F0764850D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7DA03EE-9AA7-E46F-6E2A-2FC914171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61BADC9-D005-BA9D-B403-FB78D32DA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7D57-4FC3-4844-A8C0-DAD6D7324F59}">
  <dimension ref="B2:G6"/>
  <sheetViews>
    <sheetView tabSelected="1" workbookViewId="0">
      <selection activeCell="G3" sqref="G3"/>
    </sheetView>
  </sheetViews>
  <sheetFormatPr defaultColWidth="11" defaultRowHeight="15.75"/>
  <sheetData>
    <row r="2" spans="2:7">
      <c r="B2" t="s">
        <v>30</v>
      </c>
      <c r="C2">
        <v>100</v>
      </c>
      <c r="E2" t="s">
        <v>33</v>
      </c>
      <c r="F2">
        <f>C2+((C3-C2)/(1+C4*C6^(C5-1)))</f>
        <v>7733.333333333333</v>
      </c>
    </row>
    <row r="3" spans="2:7">
      <c r="B3" t="s">
        <v>31</v>
      </c>
      <c r="C3">
        <v>23000</v>
      </c>
      <c r="E3" t="s">
        <v>32</v>
      </c>
      <c r="F3">
        <f>(F2-C2)/(C3-C2)</f>
        <v>0.33333333333333331</v>
      </c>
      <c r="G3" s="1" t="s">
        <v>48</v>
      </c>
    </row>
    <row r="4" spans="2:7">
      <c r="B4" t="s">
        <v>1</v>
      </c>
      <c r="C4">
        <v>2</v>
      </c>
      <c r="E4" s="19" t="s">
        <v>34</v>
      </c>
      <c r="F4" s="19">
        <f>(((C4*F3))/(1-F3))^(1/(1-C5))</f>
        <v>0.99999999999999967</v>
      </c>
      <c r="G4" s="19">
        <f>(((C4*F3^C5))/(1-F3))^(1/(1-C5))</f>
        <v>2.9999999999999991</v>
      </c>
    </row>
    <row r="5" spans="2:7">
      <c r="B5" t="s">
        <v>0</v>
      </c>
      <c r="C5">
        <v>0.7</v>
      </c>
      <c r="E5" t="s">
        <v>34</v>
      </c>
      <c r="F5">
        <f>C4*F3*F4^C5+(F3*F4)</f>
        <v>0.99999999999999978</v>
      </c>
      <c r="G5">
        <f>C4*(F3*G4)^C5+(F3*G4)</f>
        <v>2.9999999999999991</v>
      </c>
    </row>
    <row r="6" spans="2:7">
      <c r="B6" t="s">
        <v>34</v>
      </c>
      <c r="C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87F8-0C1F-3243-8559-D586320EBA4B}">
  <dimension ref="A1:E16"/>
  <sheetViews>
    <sheetView zoomScale="125" workbookViewId="0"/>
  </sheetViews>
  <sheetFormatPr defaultColWidth="11" defaultRowHeight="15.75"/>
  <sheetData>
    <row r="1" spans="1:5">
      <c r="C1" s="1" t="s">
        <v>35</v>
      </c>
      <c r="D1" s="1" t="s">
        <v>36</v>
      </c>
    </row>
    <row r="2" spans="1:5">
      <c r="A2" s="7" t="s">
        <v>0</v>
      </c>
      <c r="B2" s="6">
        <v>-7</v>
      </c>
      <c r="C2" s="1">
        <f>10^B2</f>
        <v>9.9999999999999995E-8</v>
      </c>
      <c r="D2" s="1">
        <f>$A$7+(($A$9-$A$7)/(1+($A$3^1.875)*($A$5^-1)*C2^(1-$A$3)))</f>
        <v>29939.282036225621</v>
      </c>
      <c r="E2" s="1">
        <f>$A$9+($A$7-$A$9)/(1+($A$3^1.875)/($A$5*C2^($A$3-1)))</f>
        <v>160.71796377437931</v>
      </c>
    </row>
    <row r="3" spans="1:5">
      <c r="A3">
        <v>0.7</v>
      </c>
      <c r="B3" s="6">
        <v>-6</v>
      </c>
      <c r="C3" s="1">
        <f t="shared" ref="C3:C16" si="0">10^B3</f>
        <v>9.9999999999999995E-7</v>
      </c>
      <c r="D3" s="1">
        <f t="shared" ref="D3:D16" si="1">$A$7+(($A$9-$A$7)/(1+($A$3^1.875)*($A$5^-1)*C3^(1-$A$3)))</f>
        <v>29879.096091547784</v>
      </c>
      <c r="E3" s="1">
        <f t="shared" ref="E3:E16" si="2">$A$9+($A$7-$A$9)/(1+($A$3^1.875)/($A$5*C3^($A$3-1)))</f>
        <v>220.90390845221555</v>
      </c>
    </row>
    <row r="4" spans="1:5">
      <c r="A4" s="7" t="s">
        <v>1</v>
      </c>
      <c r="B4" s="6">
        <v>-5</v>
      </c>
      <c r="C4" s="1">
        <f t="shared" si="0"/>
        <v>1.0000000000000001E-5</v>
      </c>
      <c r="D4" s="1">
        <f t="shared" si="1"/>
        <v>29759.73193493954</v>
      </c>
      <c r="E4" s="1">
        <f t="shared" si="2"/>
        <v>340.26806506045978</v>
      </c>
    </row>
    <row r="5" spans="1:5">
      <c r="A5">
        <v>2</v>
      </c>
      <c r="B5" s="6">
        <v>-4</v>
      </c>
      <c r="C5" s="1">
        <f t="shared" si="0"/>
        <v>1E-4</v>
      </c>
      <c r="D5" s="1">
        <f t="shared" si="1"/>
        <v>29524.405820334232</v>
      </c>
      <c r="E5" s="1">
        <f t="shared" si="2"/>
        <v>575.59417966576802</v>
      </c>
    </row>
    <row r="6" spans="1:5">
      <c r="A6" s="7" t="s">
        <v>37</v>
      </c>
      <c r="B6" s="6">
        <v>-3</v>
      </c>
      <c r="C6" s="1">
        <f t="shared" si="0"/>
        <v>1E-3</v>
      </c>
      <c r="D6" s="1">
        <f t="shared" si="1"/>
        <v>29065.853149438379</v>
      </c>
      <c r="E6" s="1">
        <f t="shared" si="2"/>
        <v>1034.1468505616212</v>
      </c>
    </row>
    <row r="7" spans="1:5">
      <c r="A7">
        <v>100</v>
      </c>
      <c r="B7" s="6">
        <v>-2</v>
      </c>
      <c r="C7" s="1">
        <f t="shared" si="0"/>
        <v>0.01</v>
      </c>
      <c r="D7" s="1">
        <f t="shared" si="1"/>
        <v>28192.340010388201</v>
      </c>
      <c r="E7" s="1">
        <f t="shared" si="2"/>
        <v>1907.6599896117987</v>
      </c>
    </row>
    <row r="8" spans="1:5">
      <c r="A8" s="7" t="s">
        <v>38</v>
      </c>
      <c r="B8" s="6">
        <v>-1</v>
      </c>
      <c r="C8" s="1">
        <f t="shared" si="0"/>
        <v>0.1</v>
      </c>
      <c r="D8" s="1">
        <f t="shared" si="1"/>
        <v>26597.947129564327</v>
      </c>
      <c r="E8" s="1">
        <f t="shared" si="2"/>
        <v>3502.052870435673</v>
      </c>
    </row>
    <row r="9" spans="1:5">
      <c r="A9">
        <v>30000</v>
      </c>
      <c r="B9" s="6">
        <v>0</v>
      </c>
      <c r="C9" s="1">
        <f t="shared" si="0"/>
        <v>1</v>
      </c>
      <c r="D9" s="1">
        <f t="shared" si="1"/>
        <v>23902.504535492179</v>
      </c>
      <c r="E9" s="1">
        <f t="shared" si="2"/>
        <v>6197.4954645078215</v>
      </c>
    </row>
    <row r="10" spans="1:5">
      <c r="B10" s="6">
        <v>1</v>
      </c>
      <c r="C10" s="1">
        <f t="shared" si="0"/>
        <v>10</v>
      </c>
      <c r="D10" s="1">
        <f t="shared" si="1"/>
        <v>19886.556556867046</v>
      </c>
      <c r="E10" s="1">
        <f t="shared" si="2"/>
        <v>10213.443443132954</v>
      </c>
    </row>
    <row r="11" spans="1:5">
      <c r="B11" s="6">
        <v>2</v>
      </c>
      <c r="C11" s="1">
        <f t="shared" si="0"/>
        <v>100</v>
      </c>
      <c r="D11" s="1">
        <f t="shared" si="1"/>
        <v>14903.2080114293</v>
      </c>
      <c r="E11" s="1">
        <f t="shared" si="2"/>
        <v>15196.7919885707</v>
      </c>
    </row>
    <row r="12" spans="1:5">
      <c r="B12" s="6">
        <v>3</v>
      </c>
      <c r="C12" s="1">
        <f t="shared" si="0"/>
        <v>1000</v>
      </c>
      <c r="D12" s="1">
        <f t="shared" si="1"/>
        <v>9952.2710678408912</v>
      </c>
      <c r="E12" s="1">
        <f t="shared" si="2"/>
        <v>20147.728932159109</v>
      </c>
    </row>
    <row r="13" spans="1:5">
      <c r="B13" s="6">
        <v>4</v>
      </c>
      <c r="C13" s="1">
        <f t="shared" si="0"/>
        <v>10000</v>
      </c>
      <c r="D13" s="1">
        <f t="shared" si="1"/>
        <v>6009.0603869573461</v>
      </c>
      <c r="E13" s="1">
        <f t="shared" si="2"/>
        <v>24090.939613042654</v>
      </c>
    </row>
    <row r="14" spans="1:5">
      <c r="B14" s="6">
        <v>5</v>
      </c>
      <c r="C14" s="1">
        <f t="shared" si="0"/>
        <v>100000</v>
      </c>
      <c r="D14" s="1">
        <f t="shared" si="1"/>
        <v>3385.4192666559684</v>
      </c>
      <c r="E14" s="1">
        <f t="shared" si="2"/>
        <v>26714.580733344032</v>
      </c>
    </row>
    <row r="15" spans="1:5">
      <c r="B15" s="6">
        <v>6</v>
      </c>
      <c r="C15" s="1">
        <f t="shared" si="0"/>
        <v>1000000</v>
      </c>
      <c r="D15" s="1">
        <f t="shared" si="1"/>
        <v>1842.0937749868187</v>
      </c>
      <c r="E15" s="1">
        <f t="shared" si="2"/>
        <v>28257.906225013183</v>
      </c>
    </row>
    <row r="16" spans="1:5">
      <c r="B16" s="6">
        <v>7</v>
      </c>
      <c r="C16" s="1">
        <f t="shared" si="0"/>
        <v>10000000</v>
      </c>
      <c r="D16" s="1">
        <f t="shared" si="1"/>
        <v>999.24990692266363</v>
      </c>
      <c r="E16" s="1">
        <f t="shared" si="2"/>
        <v>29100.750093077335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0BC4-377A-CB4B-A568-61E96E5381A3}">
  <dimension ref="A1:Y402"/>
  <sheetViews>
    <sheetView topLeftCell="D1" zoomScale="130" zoomScaleNormal="130" workbookViewId="0">
      <selection activeCell="L2" sqref="L2"/>
    </sheetView>
  </sheetViews>
  <sheetFormatPr defaultColWidth="11" defaultRowHeight="15.75"/>
  <cols>
    <col min="1" max="2" width="10.875" style="6"/>
    <col min="3" max="4" width="8.875" style="6" customWidth="1"/>
    <col min="5" max="5" width="8.875" customWidth="1"/>
    <col min="6" max="6" width="8.875" style="6" customWidth="1"/>
    <col min="8" max="9" width="8.875" style="1" customWidth="1"/>
    <col min="11" max="11" width="8.875" customWidth="1"/>
    <col min="12" max="12" width="19" bestFit="1" customWidth="1"/>
    <col min="14" max="14" width="10.875" style="1"/>
    <col min="20" max="20" width="12.125" bestFit="1" customWidth="1"/>
  </cols>
  <sheetData>
    <row r="1" spans="1:25" ht="18.75">
      <c r="A1" s="9" t="s">
        <v>39</v>
      </c>
      <c r="B1" s="9" t="s">
        <v>0</v>
      </c>
      <c r="C1" s="9" t="s">
        <v>1</v>
      </c>
      <c r="D1" s="9" t="s">
        <v>47</v>
      </c>
      <c r="E1" s="9" t="s">
        <v>41</v>
      </c>
      <c r="F1" s="9" t="s">
        <v>40</v>
      </c>
      <c r="H1" s="9" t="s">
        <v>45</v>
      </c>
      <c r="I1" s="9" t="s">
        <v>40</v>
      </c>
      <c r="J1" s="9" t="s">
        <v>46</v>
      </c>
      <c r="K1" s="9"/>
      <c r="L1" s="9"/>
      <c r="M1" s="9"/>
      <c r="N1" s="9"/>
      <c r="O1" s="9"/>
      <c r="P1" s="11"/>
      <c r="Q1" s="2"/>
      <c r="R1" s="2"/>
      <c r="S1" s="2"/>
    </row>
    <row r="2" spans="1:25">
      <c r="A2" s="6">
        <f>1-B2</f>
        <v>0.5</v>
      </c>
      <c r="B2" s="6">
        <v>0.5</v>
      </c>
      <c r="C2" s="5">
        <v>1</v>
      </c>
      <c r="D2" s="8">
        <v>12.8519664309355</v>
      </c>
      <c r="E2" s="10">
        <v>3.58496393324649</v>
      </c>
      <c r="F2" s="8">
        <v>0.99996984856212001</v>
      </c>
      <c r="G2" s="10"/>
      <c r="H2" s="8">
        <v>8.2991007410791298</v>
      </c>
      <c r="I2" s="8">
        <v>0.99999956179825999</v>
      </c>
      <c r="J2" s="4">
        <f>H2/D2</f>
        <v>0.64574559742878468</v>
      </c>
      <c r="K2" s="16">
        <f>1/D2</f>
        <v>7.7809104573517751E-2</v>
      </c>
      <c r="L2" s="16">
        <f>MIN(K2:K401)</f>
        <v>7.7809104488898009E-2</v>
      </c>
      <c r="M2" s="11" t="s">
        <v>0</v>
      </c>
      <c r="N2" s="1">
        <v>0.5</v>
      </c>
      <c r="O2" s="10">
        <v>0.6</v>
      </c>
      <c r="P2" s="1">
        <v>0.7</v>
      </c>
      <c r="Q2" s="10">
        <v>0.8</v>
      </c>
      <c r="R2" s="1">
        <v>0.9</v>
      </c>
      <c r="S2" s="3"/>
      <c r="W2" s="15"/>
      <c r="Y2" s="15"/>
    </row>
    <row r="3" spans="1:25" ht="18.75">
      <c r="A3" s="6">
        <f t="shared" ref="A3:A66" si="0">1-B3</f>
        <v>0.5</v>
      </c>
      <c r="B3" s="6">
        <v>0.5</v>
      </c>
      <c r="C3" s="5">
        <v>1.5</v>
      </c>
      <c r="D3" s="8">
        <v>12.8519644448038</v>
      </c>
      <c r="E3" s="10">
        <v>5.3774453901689396</v>
      </c>
      <c r="F3" s="8">
        <v>0.99996910811216799</v>
      </c>
      <c r="G3" s="10"/>
      <c r="H3" s="8">
        <v>8.2859315845766197</v>
      </c>
      <c r="I3" s="8">
        <v>0.99999919258493997</v>
      </c>
      <c r="J3" s="4">
        <f>H3/D3</f>
        <v>0.64472101678796034</v>
      </c>
      <c r="K3" s="16">
        <f t="shared" ref="K3:K66" si="1">1/D3</f>
        <v>7.7809116598070868E-2</v>
      </c>
      <c r="L3" s="16"/>
      <c r="M3" s="9" t="s">
        <v>47</v>
      </c>
      <c r="N3" s="10">
        <f>SUMIF($B2:$B401,"=0.5",$D2:$D401)/80</f>
        <v>12.806951230199052</v>
      </c>
      <c r="O3" s="10">
        <f>SUMIF($B2:$B401,"=0.6",$D2:$D401)/80</f>
        <v>12.077958044427179</v>
      </c>
      <c r="P3" s="10">
        <f>SUMIF($B2:$B401,"=0.7",$D2:$D401)/80</f>
        <v>11.364909486696513</v>
      </c>
      <c r="Q3" s="10">
        <f>SUMIF($B2:$B401,"=0.8",$D2:$D401)/80</f>
        <v>10.671221190533805</v>
      </c>
      <c r="R3" s="10">
        <f>SUMIF($B2:$B401,"=0.9",$D2:$D401)/80</f>
        <v>9.9904801890960435</v>
      </c>
      <c r="S3" s="3"/>
      <c r="W3" s="15"/>
      <c r="Y3" s="8"/>
    </row>
    <row r="4" spans="1:25" ht="18.75">
      <c r="A4" s="6">
        <f t="shared" si="0"/>
        <v>0.5</v>
      </c>
      <c r="B4" s="6">
        <v>0.5</v>
      </c>
      <c r="C4" s="5">
        <v>2</v>
      </c>
      <c r="D4" s="8">
        <v>12.8519617164668</v>
      </c>
      <c r="E4" s="10">
        <v>7.16992656542988</v>
      </c>
      <c r="F4" s="8">
        <v>0.99996842951356102</v>
      </c>
      <c r="G4" s="10"/>
      <c r="H4" s="8">
        <v>8.2738542165808706</v>
      </c>
      <c r="I4" s="8">
        <v>0.99999874806672195</v>
      </c>
      <c r="J4" s="4">
        <f t="shared" ref="J4:J67" si="2">H4/D4</f>
        <v>0.64378142412141259</v>
      </c>
      <c r="K4" s="16">
        <f t="shared" si="1"/>
        <v>7.780913311613219E-2</v>
      </c>
      <c r="L4" s="16"/>
      <c r="M4" s="9" t="s">
        <v>45</v>
      </c>
      <c r="N4" s="10">
        <f>SUMIF($B2:$B401,"=0.5",$H2:$H401)/80</f>
        <v>8.340338846033756</v>
      </c>
      <c r="O4" s="10">
        <f>SUMIF($B2:$B401,"=0.6",$H2:$H401)/80</f>
        <v>8.8956801274407376</v>
      </c>
      <c r="P4" s="10">
        <f>SUMIF($B2:$B401,"=0.7",$H2:$H401)/80</f>
        <v>9.4568603282665009</v>
      </c>
      <c r="Q4" s="10">
        <f>SUMIF($B2:$B401,"=0.8",$H2:$H401)/80</f>
        <v>10.082753887780873</v>
      </c>
      <c r="R4" s="10">
        <f>SUMIF($B2:$B401,"=0.9",$H2:$H401)/80</f>
        <v>10.878555616361343</v>
      </c>
      <c r="S4" s="3"/>
      <c r="W4" s="15"/>
      <c r="Y4" s="8"/>
    </row>
    <row r="5" spans="1:25">
      <c r="A5" s="6">
        <f t="shared" si="0"/>
        <v>0.5</v>
      </c>
      <c r="B5" s="6">
        <v>0.5</v>
      </c>
      <c r="C5" s="5">
        <v>2.5</v>
      </c>
      <c r="D5" s="8">
        <v>12.851958226062999</v>
      </c>
      <c r="E5" s="10">
        <v>8.9624069830676305</v>
      </c>
      <c r="F5" s="8">
        <v>0.99996780489746295</v>
      </c>
      <c r="G5" s="10"/>
      <c r="H5" s="8">
        <v>8.2627154071258992</v>
      </c>
      <c r="I5" s="8">
        <v>0.99999826490441901</v>
      </c>
      <c r="J5" s="4">
        <f t="shared" si="2"/>
        <v>0.64291489762000698</v>
      </c>
      <c r="K5" s="16">
        <f t="shared" si="1"/>
        <v>7.7809154247954218E-2</v>
      </c>
      <c r="L5" s="16"/>
      <c r="M5" s="9" t="s">
        <v>46</v>
      </c>
      <c r="N5" s="10">
        <f>N4/N3</f>
        <v>0.65123530933475149</v>
      </c>
      <c r="O5" s="10">
        <f>O4/O3</f>
        <v>0.73652186029452571</v>
      </c>
      <c r="P5" s="10">
        <f>P4/P3</f>
        <v>0.83211048353147654</v>
      </c>
      <c r="Q5" s="10">
        <f>Q4/Q3</f>
        <v>0.94485473665610575</v>
      </c>
      <c r="R5" s="10">
        <f>R4/R3</f>
        <v>1.0888921663880156</v>
      </c>
      <c r="S5" s="3"/>
      <c r="W5" s="15"/>
      <c r="Y5" s="8"/>
    </row>
    <row r="6" spans="1:25">
      <c r="A6" s="6">
        <f t="shared" si="0"/>
        <v>0.5</v>
      </c>
      <c r="B6" s="6">
        <v>0.5</v>
      </c>
      <c r="C6" s="5">
        <v>3</v>
      </c>
      <c r="D6" s="8">
        <v>12.851953973255499</v>
      </c>
      <c r="E6" s="10">
        <v>10.754886585718999</v>
      </c>
      <c r="F6" s="8">
        <v>0.99996722421891304</v>
      </c>
      <c r="G6" s="10"/>
      <c r="H6" s="8">
        <v>8.2524298771403402</v>
      </c>
      <c r="I6" s="8">
        <v>0.99999777029609305</v>
      </c>
      <c r="J6" s="4">
        <f t="shared" si="2"/>
        <v>0.64211480171134905</v>
      </c>
      <c r="K6" s="16">
        <f t="shared" si="1"/>
        <v>7.7809179995584149E-2</v>
      </c>
      <c r="L6" s="16"/>
      <c r="N6" s="10">
        <f>1/N4</f>
        <v>0.1198992053512969</v>
      </c>
      <c r="O6" s="10">
        <f t="shared" ref="O6:R6" si="3">1/O4</f>
        <v>0.11241411400520954</v>
      </c>
      <c r="P6" s="10">
        <f t="shared" si="3"/>
        <v>0.10574334031465028</v>
      </c>
      <c r="Q6" s="10">
        <f t="shared" si="3"/>
        <v>9.9179253121697619E-2</v>
      </c>
      <c r="R6" s="10">
        <f t="shared" si="3"/>
        <v>9.192396815033059E-2</v>
      </c>
      <c r="S6" s="3"/>
      <c r="W6" s="15"/>
      <c r="Y6" s="8"/>
    </row>
    <row r="7" spans="1:25">
      <c r="A7" s="6">
        <f t="shared" si="0"/>
        <v>0.4</v>
      </c>
      <c r="B7" s="6">
        <v>0.6</v>
      </c>
      <c r="C7" s="5">
        <v>1</v>
      </c>
      <c r="D7" s="8">
        <v>12.116853772320701</v>
      </c>
      <c r="E7" s="10">
        <v>2.71241380975601</v>
      </c>
      <c r="F7" s="8">
        <v>0.99997580621622095</v>
      </c>
      <c r="G7" s="10"/>
      <c r="H7" s="8">
        <v>8.8157547479129708</v>
      </c>
      <c r="I7" s="8">
        <v>0.99999982245276398</v>
      </c>
      <c r="J7" s="4">
        <f t="shared" si="2"/>
        <v>0.72756137142228783</v>
      </c>
      <c r="K7" s="16">
        <f t="shared" si="1"/>
        <v>8.2529674682083193E-2</v>
      </c>
      <c r="L7" s="16"/>
      <c r="N7" s="10"/>
      <c r="O7" s="10"/>
      <c r="P7" s="1"/>
      <c r="Q7" s="3"/>
      <c r="R7" s="3"/>
      <c r="S7" s="3"/>
      <c r="W7" s="15"/>
      <c r="Y7" s="8"/>
    </row>
    <row r="8" spans="1:25">
      <c r="A8" s="6">
        <f t="shared" si="0"/>
        <v>0.4</v>
      </c>
      <c r="B8" s="6">
        <v>0.6</v>
      </c>
      <c r="C8" s="5">
        <v>1.5</v>
      </c>
      <c r="D8" s="8">
        <v>12.116819696222899</v>
      </c>
      <c r="E8" s="10">
        <v>4.0686161223920099</v>
      </c>
      <c r="F8" s="8">
        <v>0.99997499944840196</v>
      </c>
      <c r="G8" s="10"/>
      <c r="H8" s="8">
        <v>8.8125390136043098</v>
      </c>
      <c r="I8" s="8">
        <v>0.99999989995766303</v>
      </c>
      <c r="J8" s="4">
        <f t="shared" si="2"/>
        <v>0.72729802328835413</v>
      </c>
      <c r="K8" s="16">
        <f t="shared" si="1"/>
        <v>8.252990678005416E-2</v>
      </c>
      <c r="L8" s="16"/>
      <c r="N8" s="10"/>
      <c r="O8" s="10"/>
      <c r="P8" s="1"/>
      <c r="Q8" s="3"/>
      <c r="R8" s="3"/>
      <c r="S8" s="3"/>
      <c r="W8" s="15"/>
      <c r="Y8" s="8"/>
    </row>
    <row r="9" spans="1:25">
      <c r="A9" s="6">
        <f t="shared" si="0"/>
        <v>0.4</v>
      </c>
      <c r="B9" s="6">
        <v>0.6</v>
      </c>
      <c r="C9" s="5">
        <v>2</v>
      </c>
      <c r="D9" s="8">
        <v>12.116773936759801</v>
      </c>
      <c r="E9" s="10">
        <v>5.4248133241909597</v>
      </c>
      <c r="F9" s="8">
        <v>0.99997421813936405</v>
      </c>
      <c r="G9" s="10"/>
      <c r="H9" s="8">
        <v>8.8102368361469505</v>
      </c>
      <c r="I9" s="8">
        <v>0.99999992672729299</v>
      </c>
      <c r="J9" s="4">
        <f t="shared" si="2"/>
        <v>0.72711077074884622</v>
      </c>
      <c r="K9" s="16">
        <f t="shared" si="1"/>
        <v>8.2530218457423365E-2</v>
      </c>
      <c r="L9" s="16"/>
      <c r="N9" s="10"/>
      <c r="O9" s="10"/>
      <c r="P9" s="1"/>
      <c r="Q9" s="3"/>
      <c r="R9" s="3"/>
      <c r="S9" s="3"/>
      <c r="W9" s="15"/>
      <c r="Y9" s="8"/>
    </row>
    <row r="10" spans="1:25">
      <c r="A10" s="6">
        <f t="shared" si="0"/>
        <v>0.4</v>
      </c>
      <c r="B10" s="6">
        <v>0.6</v>
      </c>
      <c r="C10" s="5">
        <v>2.5</v>
      </c>
      <c r="D10" s="8">
        <v>12.116716128764899</v>
      </c>
      <c r="E10" s="10">
        <v>6.7810037128046297</v>
      </c>
      <c r="F10" s="8">
        <v>0.99997347382777302</v>
      </c>
      <c r="G10" s="10"/>
      <c r="H10" s="8">
        <v>8.8083128879433605</v>
      </c>
      <c r="I10" s="8">
        <v>0.99999993694759304</v>
      </c>
      <c r="J10" s="4">
        <f t="shared" si="2"/>
        <v>0.72695545511977122</v>
      </c>
      <c r="K10" s="16">
        <f t="shared" si="1"/>
        <v>8.2530612203253265E-2</v>
      </c>
      <c r="L10" s="16"/>
      <c r="N10" s="10"/>
      <c r="O10" s="10"/>
      <c r="P10" s="1"/>
      <c r="Q10" s="3"/>
      <c r="R10" s="3"/>
      <c r="S10" s="3"/>
      <c r="W10" s="15"/>
      <c r="Y10" s="8"/>
    </row>
    <row r="11" spans="1:25">
      <c r="A11" s="6">
        <f t="shared" si="0"/>
        <v>0.4</v>
      </c>
      <c r="B11" s="6">
        <v>0.6</v>
      </c>
      <c r="C11" s="5">
        <v>3</v>
      </c>
      <c r="D11" s="8">
        <v>12.1166463402009</v>
      </c>
      <c r="E11" s="10">
        <v>8.1371857034880897</v>
      </c>
      <c r="F11" s="8">
        <v>0.99997276386238998</v>
      </c>
      <c r="G11" s="10"/>
      <c r="H11" s="8">
        <v>8.8065881572120297</v>
      </c>
      <c r="I11" s="8">
        <v>0.99999993978085699</v>
      </c>
      <c r="J11" s="4">
        <f t="shared" si="2"/>
        <v>0.72681729828106978</v>
      </c>
      <c r="K11" s="16">
        <f t="shared" si="1"/>
        <v>8.2531087556973248E-2</v>
      </c>
      <c r="L11" s="16"/>
      <c r="N11" s="10"/>
      <c r="O11" s="10"/>
      <c r="P11" s="1"/>
      <c r="Q11" s="3"/>
      <c r="R11" s="3"/>
      <c r="S11" s="3"/>
      <c r="W11" s="15"/>
      <c r="Y11" s="8"/>
    </row>
    <row r="12" spans="1:25">
      <c r="A12" s="6">
        <f t="shared" si="0"/>
        <v>0.30000000000000004</v>
      </c>
      <c r="B12" s="6">
        <v>0.7</v>
      </c>
      <c r="C12" s="5">
        <v>1</v>
      </c>
      <c r="D12" s="8">
        <v>11.3967537143453</v>
      </c>
      <c r="E12" s="10">
        <v>2.0750776196139502</v>
      </c>
      <c r="F12" s="8">
        <v>0.99998384661550999</v>
      </c>
      <c r="G12" s="10"/>
      <c r="H12" s="8">
        <v>9.3825930368238009</v>
      </c>
      <c r="I12" s="8">
        <v>0.99999875373508496</v>
      </c>
      <c r="J12" s="4">
        <f t="shared" si="2"/>
        <v>0.8232689125337298</v>
      </c>
      <c r="K12" s="16">
        <f t="shared" si="1"/>
        <v>8.774428447473441E-2</v>
      </c>
      <c r="L12" s="16"/>
      <c r="N12" s="10"/>
      <c r="O12" s="10"/>
      <c r="P12" s="1"/>
      <c r="Q12" s="3"/>
      <c r="R12" s="3"/>
      <c r="S12" s="3"/>
      <c r="W12" s="15"/>
      <c r="Y12" s="8"/>
    </row>
    <row r="13" spans="1:25">
      <c r="A13" s="6">
        <f t="shared" si="0"/>
        <v>0.30000000000000004</v>
      </c>
      <c r="B13" s="6">
        <v>0.7</v>
      </c>
      <c r="C13" s="5">
        <v>1.5</v>
      </c>
      <c r="D13" s="8">
        <v>11.3962471492232</v>
      </c>
      <c r="E13" s="10">
        <v>3.1125749410864998</v>
      </c>
      <c r="F13" s="8">
        <v>0.99998306133340598</v>
      </c>
      <c r="G13" s="10"/>
      <c r="H13" s="8">
        <v>9.3737263464155305</v>
      </c>
      <c r="I13" s="8">
        <v>0.99999936367836695</v>
      </c>
      <c r="J13" s="4">
        <f t="shared" si="2"/>
        <v>0.82252747098894485</v>
      </c>
      <c r="K13" s="16">
        <f t="shared" si="1"/>
        <v>8.7748184723087791E-2</v>
      </c>
      <c r="L13" s="16"/>
      <c r="N13" s="10"/>
      <c r="O13" s="10"/>
      <c r="P13" s="1"/>
      <c r="Q13" s="3"/>
      <c r="R13" s="3"/>
      <c r="S13" s="3"/>
      <c r="W13" s="15"/>
      <c r="Y13" s="8"/>
    </row>
    <row r="14" spans="1:25">
      <c r="A14" s="6">
        <f t="shared" si="0"/>
        <v>0.30000000000000004</v>
      </c>
      <c r="B14" s="6">
        <v>0.7</v>
      </c>
      <c r="C14" s="5">
        <v>2</v>
      </c>
      <c r="D14" s="8">
        <v>11.395602182307901</v>
      </c>
      <c r="E14" s="10">
        <v>4.1500294526828396</v>
      </c>
      <c r="F14" s="8">
        <v>0.99998224826780702</v>
      </c>
      <c r="G14" s="10"/>
      <c r="H14" s="8">
        <v>9.3692126204675308</v>
      </c>
      <c r="I14" s="8">
        <v>0.99999960787733</v>
      </c>
      <c r="J14" s="4">
        <f t="shared" si="2"/>
        <v>0.82217793062428812</v>
      </c>
      <c r="K14" s="16">
        <f t="shared" si="1"/>
        <v>8.7753151084243489E-2</v>
      </c>
      <c r="L14" s="16"/>
      <c r="N14" s="10"/>
      <c r="O14" s="10"/>
      <c r="P14" s="1"/>
      <c r="Q14" s="3"/>
      <c r="R14" s="3"/>
      <c r="S14" s="3"/>
      <c r="W14" s="15"/>
      <c r="Y14" s="8"/>
    </row>
    <row r="15" spans="1:25">
      <c r="A15" s="6">
        <f t="shared" si="0"/>
        <v>0.30000000000000004</v>
      </c>
      <c r="B15" s="6">
        <v>0.7</v>
      </c>
      <c r="C15" s="5">
        <v>2.5</v>
      </c>
      <c r="D15" s="8">
        <v>11.394813243178</v>
      </c>
      <c r="E15" s="10">
        <v>5.1874290484195198</v>
      </c>
      <c r="F15" s="8">
        <v>0.999981444349614</v>
      </c>
      <c r="G15" s="10"/>
      <c r="H15" s="8">
        <v>9.3664573576978203</v>
      </c>
      <c r="I15" s="8">
        <v>0.99999973142640397</v>
      </c>
      <c r="J15" s="4">
        <f t="shared" si="2"/>
        <v>0.82199305577083126</v>
      </c>
      <c r="K15" s="16">
        <f t="shared" si="1"/>
        <v>8.7759226821790479E-2</v>
      </c>
      <c r="L15" s="16"/>
      <c r="N15" s="10"/>
      <c r="O15" s="10"/>
      <c r="P15" s="1"/>
      <c r="Q15" s="3"/>
      <c r="R15" s="3"/>
      <c r="S15" s="3"/>
      <c r="W15" s="15"/>
      <c r="Y15" s="8"/>
    </row>
    <row r="16" spans="1:25">
      <c r="A16" s="6">
        <f t="shared" si="0"/>
        <v>0.30000000000000004</v>
      </c>
      <c r="B16" s="6">
        <v>0.7</v>
      </c>
      <c r="C16" s="5">
        <v>3</v>
      </c>
      <c r="D16" s="8">
        <v>11.393886951971</v>
      </c>
      <c r="E16" s="10">
        <v>6.2247630821073496</v>
      </c>
      <c r="F16" s="8">
        <v>0.99998065802061697</v>
      </c>
      <c r="G16" s="10"/>
      <c r="H16" s="8">
        <v>9.3645865658528695</v>
      </c>
      <c r="I16" s="8">
        <v>0.99999980309685299</v>
      </c>
      <c r="J16" s="4">
        <f t="shared" si="2"/>
        <v>0.82189568891877707</v>
      </c>
      <c r="K16" s="16">
        <f t="shared" si="1"/>
        <v>8.7766361401980783E-2</v>
      </c>
      <c r="L16" s="16"/>
      <c r="N16" s="10"/>
      <c r="O16" s="10"/>
      <c r="P16" s="1"/>
      <c r="Q16" s="3"/>
      <c r="R16" s="3"/>
      <c r="S16" s="3"/>
      <c r="W16" s="15"/>
      <c r="Y16" s="8"/>
    </row>
    <row r="17" spans="1:25">
      <c r="A17" s="6">
        <f t="shared" si="0"/>
        <v>0.19999999999999996</v>
      </c>
      <c r="B17" s="6">
        <v>0.8</v>
      </c>
      <c r="C17" s="5">
        <v>1</v>
      </c>
      <c r="D17" s="8">
        <v>10.7047137654511</v>
      </c>
      <c r="E17" s="10">
        <v>1.60662681736976</v>
      </c>
      <c r="F17" s="8">
        <v>0.99999191306150803</v>
      </c>
      <c r="G17" s="10"/>
      <c r="H17" s="8">
        <v>10.0839235849561</v>
      </c>
      <c r="I17" s="8">
        <v>0.99999539812228699</v>
      </c>
      <c r="J17" s="4">
        <f t="shared" si="2"/>
        <v>0.94200777394921409</v>
      </c>
      <c r="K17" s="16">
        <f t="shared" si="1"/>
        <v>9.3416790202036734E-2</v>
      </c>
      <c r="L17" s="16"/>
      <c r="N17" s="10"/>
      <c r="O17" s="10"/>
      <c r="P17" s="1"/>
      <c r="Q17" s="3"/>
      <c r="R17" s="3"/>
      <c r="S17" s="3"/>
      <c r="W17" s="15"/>
      <c r="Y17" s="8"/>
    </row>
    <row r="18" spans="1:25">
      <c r="A18" s="6">
        <f t="shared" si="0"/>
        <v>0.19999999999999996</v>
      </c>
      <c r="B18" s="6">
        <v>0.8</v>
      </c>
      <c r="C18" s="5">
        <v>1.5</v>
      </c>
      <c r="D18" s="8">
        <v>10.699110555975601</v>
      </c>
      <c r="E18" s="10">
        <v>2.4096878842616598</v>
      </c>
      <c r="F18" s="8">
        <v>0.99999138907898599</v>
      </c>
      <c r="G18" s="10"/>
      <c r="H18" s="8">
        <v>10.048729510764799</v>
      </c>
      <c r="I18" s="8">
        <v>0.99999738368026303</v>
      </c>
      <c r="J18" s="4">
        <f t="shared" si="2"/>
        <v>0.93921167167979636</v>
      </c>
      <c r="K18" s="16">
        <f t="shared" si="1"/>
        <v>9.3465713319644705E-2</v>
      </c>
      <c r="L18" s="16"/>
      <c r="N18" s="10"/>
      <c r="O18" s="10"/>
      <c r="P18" s="1"/>
      <c r="Q18" s="3"/>
      <c r="R18" s="3"/>
      <c r="S18" s="3"/>
      <c r="W18" s="15"/>
      <c r="Y18" s="8"/>
    </row>
    <row r="19" spans="1:25">
      <c r="A19" s="6">
        <f t="shared" si="0"/>
        <v>0.19999999999999996</v>
      </c>
      <c r="B19" s="6">
        <v>0.8</v>
      </c>
      <c r="C19" s="5">
        <v>2</v>
      </c>
      <c r="D19" s="8">
        <v>10.692915009521201</v>
      </c>
      <c r="E19" s="10">
        <v>3.2125449918752702</v>
      </c>
      <c r="F19" s="8">
        <v>0.99999085383951902</v>
      </c>
      <c r="G19" s="10"/>
      <c r="H19" s="8">
        <v>10.030497471353399</v>
      </c>
      <c r="I19" s="8">
        <v>0.99999828405339097</v>
      </c>
      <c r="J19" s="4">
        <f t="shared" si="2"/>
        <v>0.93805079928364055</v>
      </c>
      <c r="K19" s="16">
        <f t="shared" si="1"/>
        <v>9.3519867978898039E-2</v>
      </c>
      <c r="L19" s="16"/>
      <c r="N19" s="10"/>
      <c r="O19" s="10"/>
      <c r="P19" s="1"/>
      <c r="Q19" s="3"/>
      <c r="R19" s="3"/>
      <c r="S19" s="3"/>
      <c r="W19" s="15"/>
      <c r="Y19" s="8"/>
    </row>
    <row r="20" spans="1:25">
      <c r="A20" s="6">
        <f t="shared" si="0"/>
        <v>0.19999999999999996</v>
      </c>
      <c r="B20" s="6">
        <v>0.8</v>
      </c>
      <c r="C20" s="5">
        <v>2.5</v>
      </c>
      <c r="D20" s="8">
        <v>10.6860464422865</v>
      </c>
      <c r="E20" s="10">
        <v>4.0151652127439403</v>
      </c>
      <c r="F20" s="8">
        <v>0.99999034238120799</v>
      </c>
      <c r="G20" s="10"/>
      <c r="H20" s="8">
        <v>10.0193314719331</v>
      </c>
      <c r="I20" s="8">
        <v>0.999998775812171</v>
      </c>
      <c r="J20" s="4">
        <f t="shared" si="2"/>
        <v>0.93760882717904948</v>
      </c>
      <c r="K20" s="16">
        <f t="shared" si="1"/>
        <v>9.3579978844451794E-2</v>
      </c>
      <c r="L20" s="16"/>
      <c r="N20" s="10"/>
      <c r="O20" s="10"/>
      <c r="P20" s="1"/>
      <c r="Q20" s="3"/>
      <c r="R20" s="3"/>
      <c r="S20" s="3"/>
      <c r="W20" s="15"/>
      <c r="Y20" s="8"/>
    </row>
    <row r="21" spans="1:25">
      <c r="A21" s="6">
        <f t="shared" si="0"/>
        <v>0.19999999999999996</v>
      </c>
      <c r="B21" s="6">
        <v>0.8</v>
      </c>
      <c r="C21" s="5">
        <v>3</v>
      </c>
      <c r="D21" s="8">
        <v>10.678621955143999</v>
      </c>
      <c r="E21" s="10">
        <v>4.8175285464437296</v>
      </c>
      <c r="F21" s="8">
        <v>0.99998986463058603</v>
      </c>
      <c r="G21" s="10"/>
      <c r="H21" s="8">
        <v>10.011785912174901</v>
      </c>
      <c r="I21" s="8">
        <v>0.99999907671310595</v>
      </c>
      <c r="J21" s="4">
        <f t="shared" si="2"/>
        <v>0.93755411084218809</v>
      </c>
      <c r="K21" s="16">
        <f t="shared" si="1"/>
        <v>9.3645041860320744E-2</v>
      </c>
      <c r="L21" s="16"/>
      <c r="N21" s="10"/>
      <c r="O21" s="10"/>
      <c r="P21" s="1"/>
      <c r="Q21" s="3"/>
      <c r="R21" s="3"/>
      <c r="S21" s="3"/>
      <c r="W21" s="15"/>
      <c r="Y21" s="8"/>
    </row>
    <row r="22" spans="1:25">
      <c r="A22" s="6">
        <f t="shared" si="0"/>
        <v>9.9999999999999978E-2</v>
      </c>
      <c r="B22" s="6">
        <v>0.9</v>
      </c>
      <c r="C22" s="5">
        <v>1</v>
      </c>
      <c r="D22" s="8">
        <v>10.048911853917801</v>
      </c>
      <c r="E22" s="10">
        <v>1.25953982453703</v>
      </c>
      <c r="F22" s="8">
        <v>0.99999831311412801</v>
      </c>
      <c r="G22" s="10"/>
      <c r="H22" s="8">
        <v>10.9696100239698</v>
      </c>
      <c r="I22" s="8">
        <v>0.99999703989320199</v>
      </c>
      <c r="J22" s="4">
        <f t="shared" si="2"/>
        <v>1.091621678390287</v>
      </c>
      <c r="K22" s="16">
        <f t="shared" si="1"/>
        <v>9.9513262185708884E-2</v>
      </c>
      <c r="L22" s="16"/>
      <c r="N22" s="10"/>
      <c r="O22" s="10"/>
      <c r="P22" s="1"/>
      <c r="Q22" s="3"/>
      <c r="R22" s="3"/>
      <c r="S22" s="3"/>
      <c r="W22" s="15"/>
      <c r="Y22" s="8"/>
    </row>
    <row r="23" spans="1:25">
      <c r="A23" s="6">
        <f t="shared" si="0"/>
        <v>9.9999999999999978E-2</v>
      </c>
      <c r="B23" s="6">
        <v>0.9</v>
      </c>
      <c r="C23" s="5">
        <v>1.5</v>
      </c>
      <c r="D23" s="8">
        <v>10.0213468764537</v>
      </c>
      <c r="E23" s="10">
        <v>1.8887908427279101</v>
      </c>
      <c r="F23" s="8">
        <v>0.99999827538637898</v>
      </c>
      <c r="G23" s="10"/>
      <c r="H23" s="8">
        <v>10.8925499759108</v>
      </c>
      <c r="I23" s="8">
        <v>0.99999785316530498</v>
      </c>
      <c r="J23" s="4">
        <f t="shared" si="2"/>
        <v>1.0869347314485331</v>
      </c>
      <c r="K23" s="16">
        <f t="shared" si="1"/>
        <v>9.9786985953915469E-2</v>
      </c>
      <c r="L23" s="16"/>
      <c r="N23" s="10"/>
      <c r="O23" s="10"/>
      <c r="P23" s="1"/>
      <c r="Q23" s="3"/>
      <c r="R23" s="3"/>
      <c r="S23" s="3"/>
      <c r="W23" s="15"/>
      <c r="Y23" s="8"/>
    </row>
    <row r="24" spans="1:25">
      <c r="A24" s="6">
        <f t="shared" si="0"/>
        <v>9.9999999999999978E-2</v>
      </c>
      <c r="B24" s="6">
        <v>0.9</v>
      </c>
      <c r="C24" s="5">
        <v>2</v>
      </c>
      <c r="D24" s="8">
        <v>9.9986542805246792</v>
      </c>
      <c r="E24" s="10">
        <v>2.5178169383632198</v>
      </c>
      <c r="F24" s="8">
        <v>0.99999830431997005</v>
      </c>
      <c r="G24" s="10"/>
      <c r="H24" s="8">
        <v>10.8487056309111</v>
      </c>
      <c r="I24" s="8">
        <v>0.99999838352824999</v>
      </c>
      <c r="J24" s="4">
        <f t="shared" si="2"/>
        <v>1.0850165758848314</v>
      </c>
      <c r="K24" s="16">
        <f t="shared" si="1"/>
        <v>0.10001345900595786</v>
      </c>
      <c r="L24" s="16"/>
      <c r="N24" s="10"/>
      <c r="O24" s="10"/>
      <c r="P24" s="1"/>
      <c r="Q24" s="3"/>
      <c r="R24" s="3"/>
      <c r="S24" s="3"/>
      <c r="W24" s="15"/>
      <c r="Y24" s="8"/>
    </row>
    <row r="25" spans="1:25">
      <c r="A25" s="6">
        <f t="shared" si="0"/>
        <v>9.9999999999999978E-2</v>
      </c>
      <c r="B25" s="6">
        <v>0.9</v>
      </c>
      <c r="C25" s="5">
        <v>2.5</v>
      </c>
      <c r="D25" s="8">
        <v>9.9786677189138597</v>
      </c>
      <c r="E25" s="10">
        <v>3.1466414906016098</v>
      </c>
      <c r="F25" s="8">
        <v>0.99999836184259905</v>
      </c>
      <c r="G25" s="10"/>
      <c r="H25" s="8">
        <v>10.8202973551924</v>
      </c>
      <c r="I25" s="8">
        <v>0.99999873982778698</v>
      </c>
      <c r="J25" s="4">
        <f t="shared" si="2"/>
        <v>1.0843428862435505</v>
      </c>
      <c r="K25" s="16">
        <f t="shared" si="1"/>
        <v>0.10021377884991306</v>
      </c>
      <c r="L25" s="16"/>
      <c r="N25" s="10"/>
      <c r="O25" s="10"/>
      <c r="P25" s="1"/>
      <c r="Q25" s="3"/>
      <c r="R25" s="3"/>
      <c r="S25" s="3"/>
      <c r="W25" s="15"/>
      <c r="Y25" s="8"/>
    </row>
    <row r="26" spans="1:25">
      <c r="A26" s="6">
        <f t="shared" si="0"/>
        <v>9.9999999999999978E-2</v>
      </c>
      <c r="B26" s="6">
        <v>0.9</v>
      </c>
      <c r="C26" s="5">
        <v>3</v>
      </c>
      <c r="D26" s="8">
        <v>9.9607122222042896</v>
      </c>
      <c r="E26" s="10">
        <v>3.7752897938967398</v>
      </c>
      <c r="F26" s="8">
        <v>0.99999843229560503</v>
      </c>
      <c r="G26" s="10"/>
      <c r="H26" s="8">
        <v>10.8003524949671</v>
      </c>
      <c r="I26" s="8">
        <v>0.99999898948945398</v>
      </c>
      <c r="J26" s="4">
        <f t="shared" si="2"/>
        <v>1.0842952044022611</v>
      </c>
      <c r="K26" s="16">
        <f t="shared" si="1"/>
        <v>0.10039442739554437</v>
      </c>
      <c r="L26" s="16"/>
      <c r="N26" s="10"/>
      <c r="O26" s="10"/>
      <c r="P26" s="1"/>
      <c r="Q26" s="3"/>
      <c r="R26" s="3"/>
      <c r="S26" s="3"/>
      <c r="W26" s="15"/>
      <c r="Y26" s="8"/>
    </row>
    <row r="27" spans="1:25">
      <c r="A27" s="6">
        <f t="shared" si="0"/>
        <v>0.5</v>
      </c>
      <c r="B27" s="6">
        <v>0.5</v>
      </c>
      <c r="C27" s="5">
        <v>1</v>
      </c>
      <c r="D27" s="8">
        <v>12.851966441688401</v>
      </c>
      <c r="E27" s="10">
        <v>3.5849639334174701</v>
      </c>
      <c r="F27" s="8">
        <v>0.99996984856212001</v>
      </c>
      <c r="G27" s="10"/>
      <c r="H27" s="8">
        <v>8.3035885766609994</v>
      </c>
      <c r="I27" s="8">
        <v>0.99999967429330705</v>
      </c>
      <c r="J27" s="4">
        <f t="shared" si="2"/>
        <v>0.64609479135631265</v>
      </c>
      <c r="K27" s="16">
        <f t="shared" si="1"/>
        <v>7.7809104508416924E-2</v>
      </c>
      <c r="L27" s="16"/>
      <c r="N27" s="10"/>
      <c r="O27" s="10"/>
      <c r="P27" s="1"/>
      <c r="Q27" s="3"/>
      <c r="R27" s="3"/>
      <c r="S27" s="3"/>
      <c r="W27" s="15"/>
      <c r="Y27" s="8"/>
    </row>
    <row r="28" spans="1:25">
      <c r="A28" s="6">
        <f t="shared" si="0"/>
        <v>0.5</v>
      </c>
      <c r="B28" s="6">
        <v>0.5</v>
      </c>
      <c r="C28" s="5">
        <v>1.5</v>
      </c>
      <c r="D28" s="8">
        <v>12.851964440684499</v>
      </c>
      <c r="E28" s="10">
        <v>5.3774453912651801</v>
      </c>
      <c r="F28" s="8">
        <v>0.99996910811216799</v>
      </c>
      <c r="G28" s="10"/>
      <c r="H28" s="8">
        <v>8.2922250207427606</v>
      </c>
      <c r="I28" s="8">
        <v>0.99999940150936795</v>
      </c>
      <c r="J28" s="4">
        <f t="shared" si="2"/>
        <v>0.64521070370321643</v>
      </c>
      <c r="K28" s="16">
        <f t="shared" si="1"/>
        <v>7.7809116623010183E-2</v>
      </c>
      <c r="L28" s="16"/>
      <c r="N28" s="10"/>
      <c r="O28" s="10"/>
      <c r="P28" s="1"/>
      <c r="Q28" s="3"/>
      <c r="R28" s="3"/>
      <c r="S28" s="3"/>
      <c r="W28" s="15"/>
      <c r="Y28" s="8"/>
    </row>
    <row r="29" spans="1:25">
      <c r="A29" s="6">
        <f t="shared" si="0"/>
        <v>0.5</v>
      </c>
      <c r="B29" s="6">
        <v>0.5</v>
      </c>
      <c r="C29" s="5">
        <v>2</v>
      </c>
      <c r="D29" s="8">
        <v>12.851961715633299</v>
      </c>
      <c r="E29" s="10">
        <v>7.1699265652977804</v>
      </c>
      <c r="F29" s="8">
        <v>0.99996842951356102</v>
      </c>
      <c r="G29" s="10"/>
      <c r="H29" s="8">
        <v>8.2816892471972601</v>
      </c>
      <c r="I29" s="8">
        <v>0.999999061478826</v>
      </c>
      <c r="J29" s="4">
        <f t="shared" si="2"/>
        <v>0.6443910611034035</v>
      </c>
      <c r="K29" s="16">
        <f t="shared" si="1"/>
        <v>7.7809133121178417E-2</v>
      </c>
      <c r="L29" s="16"/>
      <c r="N29" s="10"/>
      <c r="O29" s="10"/>
      <c r="P29" s="1"/>
      <c r="Q29" s="3"/>
      <c r="R29" s="3"/>
      <c r="S29" s="3"/>
      <c r="W29" s="15"/>
      <c r="Y29" s="8"/>
    </row>
    <row r="30" spans="1:25">
      <c r="A30" s="6">
        <f t="shared" si="0"/>
        <v>0.5</v>
      </c>
      <c r="B30" s="6">
        <v>0.5</v>
      </c>
      <c r="C30" s="5">
        <v>2.5</v>
      </c>
      <c r="D30" s="8">
        <v>12.8519582246361</v>
      </c>
      <c r="E30" s="10">
        <v>8.9624069813280105</v>
      </c>
      <c r="F30" s="8">
        <v>0.99996780489746295</v>
      </c>
      <c r="G30" s="10"/>
      <c r="H30" s="8">
        <v>8.2718500856925097</v>
      </c>
      <c r="I30" s="8">
        <v>0.99999867938084297</v>
      </c>
      <c r="J30" s="4">
        <f t="shared" si="2"/>
        <v>0.64362565930506088</v>
      </c>
      <c r="K30" s="16">
        <f t="shared" si="1"/>
        <v>7.7809154256593044E-2</v>
      </c>
      <c r="L30" s="16"/>
      <c r="N30" s="10"/>
      <c r="O30" s="10"/>
      <c r="P30" s="1"/>
      <c r="Q30" s="3"/>
      <c r="R30" s="3"/>
      <c r="S30" s="3"/>
      <c r="W30" s="15"/>
      <c r="Y30" s="8"/>
    </row>
    <row r="31" spans="1:25">
      <c r="A31" s="6">
        <f t="shared" si="0"/>
        <v>0.5</v>
      </c>
      <c r="B31" s="6">
        <v>0.5</v>
      </c>
      <c r="C31" s="5">
        <v>3</v>
      </c>
      <c r="D31" s="8">
        <v>12.8519539805677</v>
      </c>
      <c r="E31" s="10">
        <v>10.754886585353599</v>
      </c>
      <c r="F31" s="8">
        <v>0.99996722421891304</v>
      </c>
      <c r="G31" s="10"/>
      <c r="H31" s="8">
        <v>8.2626436004908008</v>
      </c>
      <c r="I31" s="8">
        <v>0.99999827434464394</v>
      </c>
      <c r="J31" s="4">
        <f t="shared" si="2"/>
        <v>0.6429095227841628</v>
      </c>
      <c r="K31" s="16">
        <f t="shared" si="1"/>
        <v>7.7809179951314117E-2</v>
      </c>
      <c r="L31" s="16"/>
      <c r="N31" s="10"/>
      <c r="O31" s="10"/>
      <c r="P31" s="1"/>
      <c r="Q31" s="3"/>
      <c r="R31" s="3"/>
      <c r="S31" s="3"/>
      <c r="W31" s="15"/>
      <c r="Y31" s="8"/>
    </row>
    <row r="32" spans="1:25">
      <c r="A32" s="6">
        <f t="shared" si="0"/>
        <v>0.4</v>
      </c>
      <c r="B32" s="6">
        <v>0.6</v>
      </c>
      <c r="C32" s="5">
        <v>1</v>
      </c>
      <c r="D32" s="8">
        <v>12.1168537711624</v>
      </c>
      <c r="E32" s="10">
        <v>2.7124138095989099</v>
      </c>
      <c r="F32" s="8">
        <v>0.99997580621622095</v>
      </c>
      <c r="G32" s="10"/>
      <c r="H32" s="8">
        <v>8.8162307040673298</v>
      </c>
      <c r="I32" s="8">
        <v>0.99999982643114305</v>
      </c>
      <c r="J32" s="4">
        <f t="shared" si="2"/>
        <v>0.72760065199842439</v>
      </c>
      <c r="K32" s="16">
        <f t="shared" si="1"/>
        <v>8.2529674689972549E-2</v>
      </c>
      <c r="L32" s="16"/>
      <c r="N32" s="10"/>
      <c r="O32" s="10"/>
      <c r="P32" s="1"/>
      <c r="Q32" s="3"/>
      <c r="R32" s="3"/>
      <c r="S32" s="3"/>
      <c r="W32" s="15"/>
      <c r="Y32" s="8"/>
    </row>
    <row r="33" spans="1:25">
      <c r="A33" s="6">
        <f t="shared" si="0"/>
        <v>0.4</v>
      </c>
      <c r="B33" s="6">
        <v>0.6</v>
      </c>
      <c r="C33" s="5">
        <v>1.5</v>
      </c>
      <c r="D33" s="8">
        <v>12.1168196876851</v>
      </c>
      <c r="E33" s="10">
        <v>4.0686161220379899</v>
      </c>
      <c r="F33" s="8">
        <v>0.99997499944840196</v>
      </c>
      <c r="G33" s="10"/>
      <c r="H33" s="8">
        <v>8.8132455044184095</v>
      </c>
      <c r="I33" s="8">
        <v>0.99999990471703903</v>
      </c>
      <c r="J33" s="4">
        <f t="shared" si="2"/>
        <v>0.72735633042189529</v>
      </c>
      <c r="K33" s="16">
        <f t="shared" si="1"/>
        <v>8.2529906838206699E-2</v>
      </c>
      <c r="L33" s="16"/>
      <c r="N33" s="10"/>
      <c r="O33" s="10"/>
      <c r="P33" s="1"/>
      <c r="Q33" s="3"/>
      <c r="R33" s="3"/>
      <c r="S33" s="3"/>
      <c r="W33" s="15"/>
      <c r="Y33" s="15"/>
    </row>
    <row r="34" spans="1:25">
      <c r="A34" s="6">
        <f t="shared" si="0"/>
        <v>0.4</v>
      </c>
      <c r="B34" s="6">
        <v>0.6</v>
      </c>
      <c r="C34" s="5">
        <v>2</v>
      </c>
      <c r="D34" s="8">
        <v>12.116773934545799</v>
      </c>
      <c r="E34" s="10">
        <v>5.4248133241758802</v>
      </c>
      <c r="F34" s="8">
        <v>0.99997421813936405</v>
      </c>
      <c r="G34" s="10"/>
      <c r="H34" s="8">
        <v>8.8111676895269309</v>
      </c>
      <c r="I34" s="8">
        <v>0.99999993257649999</v>
      </c>
      <c r="J34" s="4">
        <f t="shared" si="2"/>
        <v>0.72718759441452108</v>
      </c>
      <c r="K34" s="16">
        <f t="shared" si="1"/>
        <v>8.2530218472503442E-2</v>
      </c>
      <c r="L34" s="16"/>
      <c r="N34" s="10"/>
      <c r="O34" s="10"/>
      <c r="P34" s="1"/>
      <c r="Q34" s="3"/>
      <c r="R34" s="3"/>
      <c r="S34" s="3"/>
      <c r="W34" s="15"/>
      <c r="Y34" s="15"/>
    </row>
    <row r="35" spans="1:25">
      <c r="A35" s="6">
        <f t="shared" si="0"/>
        <v>0.4</v>
      </c>
      <c r="B35" s="6">
        <v>0.6</v>
      </c>
      <c r="C35" s="5">
        <v>2.5</v>
      </c>
      <c r="D35" s="8">
        <v>12.116716126164601</v>
      </c>
      <c r="E35" s="10">
        <v>6.7810037125773501</v>
      </c>
      <c r="F35" s="8">
        <v>0.99997347382777302</v>
      </c>
      <c r="G35" s="10"/>
      <c r="H35" s="8">
        <v>8.8094620313428198</v>
      </c>
      <c r="I35" s="8">
        <v>0.99999994415841198</v>
      </c>
      <c r="J35" s="4">
        <f t="shared" si="2"/>
        <v>0.72705029478406602</v>
      </c>
      <c r="K35" s="16">
        <f t="shared" si="1"/>
        <v>8.253061222096468E-2</v>
      </c>
      <c r="L35" s="16"/>
      <c r="N35" s="10"/>
      <c r="O35" s="10"/>
      <c r="P35" s="1"/>
      <c r="Q35" s="3"/>
      <c r="R35" s="3"/>
      <c r="S35" s="3"/>
      <c r="W35" s="15"/>
      <c r="Y35" s="15"/>
    </row>
    <row r="36" spans="1:25">
      <c r="A36" s="6">
        <f t="shared" si="0"/>
        <v>0.4</v>
      </c>
      <c r="B36" s="6">
        <v>0.6</v>
      </c>
      <c r="C36" s="5">
        <v>3</v>
      </c>
      <c r="D36" s="8">
        <v>12.1166463411429</v>
      </c>
      <c r="E36" s="10">
        <v>8.1371857034128503</v>
      </c>
      <c r="F36" s="8">
        <v>0.99997276386238998</v>
      </c>
      <c r="G36" s="10"/>
      <c r="H36" s="8">
        <v>8.8079496191764299</v>
      </c>
      <c r="I36" s="8">
        <v>0.99999994859488694</v>
      </c>
      <c r="J36" s="4">
        <f t="shared" si="2"/>
        <v>0.72692966116114455</v>
      </c>
      <c r="K36" s="16">
        <f t="shared" si="1"/>
        <v>8.2531087550556936E-2</v>
      </c>
      <c r="L36" s="16"/>
      <c r="N36" s="10"/>
      <c r="O36" s="10"/>
      <c r="P36" s="1"/>
      <c r="Q36" s="3"/>
      <c r="R36" s="3"/>
      <c r="S36" s="3"/>
      <c r="W36" s="15"/>
      <c r="Y36" s="15"/>
    </row>
    <row r="37" spans="1:25">
      <c r="A37" s="6">
        <f t="shared" si="0"/>
        <v>0.30000000000000004</v>
      </c>
      <c r="B37" s="6">
        <v>0.7</v>
      </c>
      <c r="C37" s="5">
        <v>1</v>
      </c>
      <c r="D37" s="8">
        <v>11.396753699933999</v>
      </c>
      <c r="E37" s="10">
        <v>2.07507761943054</v>
      </c>
      <c r="F37" s="8">
        <v>0.99998384661550999</v>
      </c>
      <c r="G37" s="10"/>
      <c r="H37" s="8">
        <v>9.3826186394162896</v>
      </c>
      <c r="I37" s="8">
        <v>0.99999875442373998</v>
      </c>
      <c r="J37" s="4">
        <f t="shared" si="2"/>
        <v>0.82327116005592249</v>
      </c>
      <c r="K37" s="16">
        <f t="shared" si="1"/>
        <v>8.7744284585687865E-2</v>
      </c>
      <c r="L37" s="16"/>
      <c r="N37" s="10"/>
      <c r="O37" s="10"/>
      <c r="P37" s="1"/>
      <c r="Q37" s="3"/>
      <c r="R37" s="3"/>
      <c r="S37" s="3"/>
      <c r="W37" s="15"/>
    </row>
    <row r="38" spans="1:25">
      <c r="A38" s="6">
        <f t="shared" si="0"/>
        <v>0.30000000000000004</v>
      </c>
      <c r="B38" s="6">
        <v>0.7</v>
      </c>
      <c r="C38" s="5">
        <v>1.5</v>
      </c>
      <c r="D38" s="8">
        <v>11.396247144654</v>
      </c>
      <c r="E38" s="10">
        <v>3.1125749409867098</v>
      </c>
      <c r="F38" s="8">
        <v>0.99998306133340598</v>
      </c>
      <c r="G38" s="10"/>
      <c r="H38" s="8">
        <v>9.3737661880426408</v>
      </c>
      <c r="I38" s="8">
        <v>0.99999936433178205</v>
      </c>
      <c r="J38" s="4">
        <f t="shared" si="2"/>
        <v>0.82253096734918496</v>
      </c>
      <c r="K38" s="16">
        <f t="shared" si="1"/>
        <v>8.7748184758269468E-2</v>
      </c>
      <c r="L38" s="16"/>
      <c r="N38" s="10"/>
      <c r="O38" s="10"/>
      <c r="P38" s="1"/>
      <c r="Q38" s="3"/>
      <c r="R38" s="3"/>
      <c r="S38" s="3"/>
      <c r="W38" s="15"/>
    </row>
    <row r="39" spans="1:25">
      <c r="A39" s="6">
        <f t="shared" si="0"/>
        <v>0.30000000000000004</v>
      </c>
      <c r="B39" s="6">
        <v>0.7</v>
      </c>
      <c r="C39" s="5">
        <v>2</v>
      </c>
      <c r="D39" s="8">
        <v>11.3956021855017</v>
      </c>
      <c r="E39" s="10">
        <v>4.1500294526501902</v>
      </c>
      <c r="F39" s="8">
        <v>0.99998224826780702</v>
      </c>
      <c r="G39" s="10"/>
      <c r="H39" s="8">
        <v>9.3692666382451097</v>
      </c>
      <c r="I39" s="8">
        <v>0.99999960850852798</v>
      </c>
      <c r="J39" s="4">
        <f t="shared" si="2"/>
        <v>0.82218267062405537</v>
      </c>
      <c r="K39" s="16">
        <f t="shared" si="1"/>
        <v>8.7753151059649273E-2</v>
      </c>
      <c r="L39" s="16"/>
      <c r="N39" s="10"/>
      <c r="O39" s="10"/>
      <c r="P39" s="1"/>
      <c r="Q39" s="3"/>
      <c r="R39" s="3"/>
      <c r="S39" s="3"/>
      <c r="W39" s="15"/>
    </row>
    <row r="40" spans="1:25">
      <c r="A40" s="6">
        <f t="shared" si="0"/>
        <v>0.30000000000000004</v>
      </c>
      <c r="B40" s="6">
        <v>0.7</v>
      </c>
      <c r="C40" s="5">
        <v>2.5</v>
      </c>
      <c r="D40" s="8">
        <v>11.3948132369208</v>
      </c>
      <c r="E40" s="10">
        <v>5.1874290489750301</v>
      </c>
      <c r="F40" s="8">
        <v>0.999981444349614</v>
      </c>
      <c r="G40" s="10"/>
      <c r="H40" s="8">
        <v>9.3665254637754298</v>
      </c>
      <c r="I40" s="8">
        <v>0.99999973204274895</v>
      </c>
      <c r="J40" s="4">
        <f t="shared" si="2"/>
        <v>0.82199903315892597</v>
      </c>
      <c r="K40" s="16">
        <f t="shared" si="1"/>
        <v>8.775922686998143E-2</v>
      </c>
      <c r="L40" s="16"/>
      <c r="N40" s="10"/>
      <c r="O40" s="10"/>
      <c r="P40" s="1"/>
      <c r="Q40" s="3"/>
      <c r="R40" s="3"/>
      <c r="S40" s="3"/>
      <c r="W40" s="15"/>
    </row>
    <row r="41" spans="1:25">
      <c r="A41" s="6">
        <f t="shared" si="0"/>
        <v>0.30000000000000004</v>
      </c>
      <c r="B41" s="6">
        <v>0.7</v>
      </c>
      <c r="C41" s="5">
        <v>3</v>
      </c>
      <c r="D41" s="8">
        <v>11.3938869390861</v>
      </c>
      <c r="E41" s="10">
        <v>6.2247630817875397</v>
      </c>
      <c r="F41" s="8">
        <v>0.99998065802061697</v>
      </c>
      <c r="G41" s="10"/>
      <c r="H41" s="8">
        <v>9.3646686778405392</v>
      </c>
      <c r="I41" s="8">
        <v>0.99999980370304498</v>
      </c>
      <c r="J41" s="4">
        <f t="shared" si="2"/>
        <v>0.82190289651862003</v>
      </c>
      <c r="K41" s="16">
        <f t="shared" si="1"/>
        <v>8.7766361501232321E-2</v>
      </c>
      <c r="L41" s="16"/>
      <c r="N41" s="10"/>
      <c r="O41" s="10"/>
      <c r="P41" s="1"/>
      <c r="Q41" s="3"/>
      <c r="R41" s="3"/>
      <c r="S41" s="3"/>
      <c r="W41" s="15"/>
    </row>
    <row r="42" spans="1:25">
      <c r="A42" s="6">
        <f t="shared" si="0"/>
        <v>0.19999999999999996</v>
      </c>
      <c r="B42" s="6">
        <v>0.8</v>
      </c>
      <c r="C42" s="5">
        <v>1</v>
      </c>
      <c r="D42" s="8">
        <v>10.704713760949399</v>
      </c>
      <c r="E42" s="10">
        <v>1.60662681734135</v>
      </c>
      <c r="F42" s="8">
        <v>0.99999191306150803</v>
      </c>
      <c r="G42" s="10"/>
      <c r="H42" s="8">
        <v>10.0839203703474</v>
      </c>
      <c r="I42" s="8">
        <v>0.99999539818159999</v>
      </c>
      <c r="J42" s="4">
        <f t="shared" si="2"/>
        <v>0.94200747404693408</v>
      </c>
      <c r="K42" s="16">
        <f t="shared" si="1"/>
        <v>9.3416790241321698E-2</v>
      </c>
      <c r="L42" s="16"/>
      <c r="N42" s="10"/>
      <c r="O42" s="10"/>
      <c r="P42" s="1"/>
      <c r="Q42" s="3"/>
      <c r="R42" s="3"/>
      <c r="S42" s="3"/>
      <c r="W42" s="15"/>
    </row>
    <row r="43" spans="1:25">
      <c r="A43" s="6">
        <f t="shared" si="0"/>
        <v>0.19999999999999996</v>
      </c>
      <c r="B43" s="6">
        <v>0.8</v>
      </c>
      <c r="C43" s="5">
        <v>1.5</v>
      </c>
      <c r="D43" s="8">
        <v>10.6991105555401</v>
      </c>
      <c r="E43" s="10">
        <v>2.4096878842652898</v>
      </c>
      <c r="F43" s="8">
        <v>0.99999138907898599</v>
      </c>
      <c r="G43" s="10"/>
      <c r="H43" s="8">
        <v>10.0487255385759</v>
      </c>
      <c r="I43" s="8">
        <v>0.99999738373278002</v>
      </c>
      <c r="J43" s="4">
        <f t="shared" si="2"/>
        <v>0.93921130045455736</v>
      </c>
      <c r="K43" s="16">
        <f t="shared" si="1"/>
        <v>9.3465713323449176E-2</v>
      </c>
      <c r="L43" s="16"/>
      <c r="N43" s="10"/>
      <c r="O43" s="10"/>
      <c r="P43" s="1"/>
      <c r="Q43" s="3"/>
      <c r="R43" s="3"/>
      <c r="S43" s="3"/>
      <c r="W43" s="15"/>
    </row>
    <row r="44" spans="1:25">
      <c r="A44" s="6">
        <f t="shared" si="0"/>
        <v>0.19999999999999996</v>
      </c>
      <c r="B44" s="6">
        <v>0.8</v>
      </c>
      <c r="C44" s="5">
        <v>2</v>
      </c>
      <c r="D44" s="8">
        <v>10.6929150078204</v>
      </c>
      <c r="E44" s="10">
        <v>3.2125449918320701</v>
      </c>
      <c r="F44" s="8">
        <v>0.99999085383951902</v>
      </c>
      <c r="G44" s="10"/>
      <c r="H44" s="8">
        <v>10.030492792726101</v>
      </c>
      <c r="I44" s="8">
        <v>0.99999828409842595</v>
      </c>
      <c r="J44" s="4">
        <f t="shared" si="2"/>
        <v>0.93805036188823832</v>
      </c>
      <c r="K44" s="16">
        <f t="shared" si="1"/>
        <v>9.3519867993773195E-2</v>
      </c>
      <c r="L44" s="16"/>
      <c r="N44" s="10"/>
      <c r="O44" s="10"/>
      <c r="P44" s="1"/>
      <c r="Q44" s="3"/>
      <c r="R44" s="3"/>
      <c r="S44" s="3"/>
      <c r="W44" s="15"/>
    </row>
    <row r="45" spans="1:25">
      <c r="A45" s="6">
        <f t="shared" si="0"/>
        <v>0.19999999999999996</v>
      </c>
      <c r="B45" s="6">
        <v>0.8</v>
      </c>
      <c r="C45" s="5">
        <v>2.5</v>
      </c>
      <c r="D45" s="8">
        <v>10.686046432386799</v>
      </c>
      <c r="E45" s="10">
        <v>4.0151652127403299</v>
      </c>
      <c r="F45" s="8">
        <v>0.99999034238120799</v>
      </c>
      <c r="G45" s="10"/>
      <c r="H45" s="8">
        <v>10.0193261105081</v>
      </c>
      <c r="I45" s="8">
        <v>0.99999877585047403</v>
      </c>
      <c r="J45" s="4">
        <f t="shared" si="2"/>
        <v>0.93760832632562474</v>
      </c>
      <c r="K45" s="16">
        <f t="shared" si="1"/>
        <v>9.3579978931145572E-2</v>
      </c>
      <c r="L45" s="16"/>
      <c r="N45" s="10"/>
      <c r="O45" s="10"/>
      <c r="P45" s="1"/>
      <c r="Q45" s="3"/>
      <c r="R45" s="3"/>
      <c r="S45" s="3"/>
      <c r="W45" s="15"/>
    </row>
    <row r="46" spans="1:25">
      <c r="A46" s="6">
        <f t="shared" si="0"/>
        <v>0.19999999999999996</v>
      </c>
      <c r="B46" s="6">
        <v>0.8</v>
      </c>
      <c r="C46" s="5">
        <v>3</v>
      </c>
      <c r="D46" s="8">
        <v>10.678621955871</v>
      </c>
      <c r="E46" s="10">
        <v>4.8175285464522997</v>
      </c>
      <c r="F46" s="8">
        <v>0.99998986463058603</v>
      </c>
      <c r="G46" s="10"/>
      <c r="H46" s="8">
        <v>10.0117798795607</v>
      </c>
      <c r="I46" s="8">
        <v>0.99999907674556598</v>
      </c>
      <c r="J46" s="4">
        <f t="shared" si="2"/>
        <v>0.93755354585395012</v>
      </c>
      <c r="K46" s="16">
        <f t="shared" si="1"/>
        <v>9.3645041853945399E-2</v>
      </c>
      <c r="L46" s="16"/>
      <c r="N46" s="10"/>
      <c r="O46" s="10"/>
      <c r="P46" s="1"/>
      <c r="Q46" s="3"/>
      <c r="R46" s="3"/>
      <c r="S46" s="3"/>
      <c r="W46" s="15"/>
    </row>
    <row r="47" spans="1:25">
      <c r="A47" s="6">
        <f t="shared" si="0"/>
        <v>9.9999999999999978E-2</v>
      </c>
      <c r="B47" s="6">
        <v>0.9</v>
      </c>
      <c r="C47" s="5">
        <v>1</v>
      </c>
      <c r="D47" s="8">
        <v>10.048911854038399</v>
      </c>
      <c r="E47" s="10">
        <v>1.25953982442246</v>
      </c>
      <c r="F47" s="8">
        <v>0.99999831311412801</v>
      </c>
      <c r="G47" s="10"/>
      <c r="H47" s="8">
        <v>10.969608943865</v>
      </c>
      <c r="I47" s="8">
        <v>0.99999703988944799</v>
      </c>
      <c r="J47" s="4">
        <f t="shared" si="2"/>
        <v>1.0916215708924339</v>
      </c>
      <c r="K47" s="16">
        <f t="shared" si="1"/>
        <v>9.9513262184514603E-2</v>
      </c>
      <c r="L47" s="16"/>
      <c r="N47" s="10"/>
      <c r="O47" s="10"/>
      <c r="P47" s="1"/>
      <c r="Q47" s="3"/>
      <c r="R47" s="3"/>
      <c r="S47" s="3"/>
      <c r="W47" s="15"/>
    </row>
    <row r="48" spans="1:25">
      <c r="A48" s="6">
        <f t="shared" si="0"/>
        <v>9.9999999999999978E-2</v>
      </c>
      <c r="B48" s="6">
        <v>0.9</v>
      </c>
      <c r="C48" s="5">
        <v>1.5</v>
      </c>
      <c r="D48" s="8">
        <v>10.0213468654535</v>
      </c>
      <c r="E48" s="10">
        <v>1.88879084271493</v>
      </c>
      <c r="F48" s="8">
        <v>0.99999827538637898</v>
      </c>
      <c r="G48" s="10"/>
      <c r="H48" s="8">
        <v>10.892548515259501</v>
      </c>
      <c r="I48" s="8">
        <v>0.99999785316158796</v>
      </c>
      <c r="J48" s="4">
        <f t="shared" si="2"/>
        <v>1.0869345868876454</v>
      </c>
      <c r="K48" s="16">
        <f t="shared" si="1"/>
        <v>9.9786986063449323E-2</v>
      </c>
      <c r="L48" s="16"/>
      <c r="N48" s="10"/>
      <c r="O48" s="10"/>
      <c r="P48" s="1"/>
      <c r="Q48" s="3"/>
      <c r="R48" s="3"/>
      <c r="S48" s="3"/>
      <c r="W48" s="15"/>
    </row>
    <row r="49" spans="1:23">
      <c r="A49" s="6">
        <f t="shared" si="0"/>
        <v>9.9999999999999978E-2</v>
      </c>
      <c r="B49" s="6">
        <v>0.9</v>
      </c>
      <c r="C49" s="5">
        <v>2</v>
      </c>
      <c r="D49" s="8">
        <v>9.9986542745026394</v>
      </c>
      <c r="E49" s="10">
        <v>2.5178169383636302</v>
      </c>
      <c r="F49" s="8">
        <v>0.99999830431997005</v>
      </c>
      <c r="G49" s="10"/>
      <c r="H49" s="8">
        <v>10.848703814531699</v>
      </c>
      <c r="I49" s="8">
        <v>0.99999838352423498</v>
      </c>
      <c r="J49" s="4">
        <f t="shared" si="2"/>
        <v>1.0850163948759337</v>
      </c>
      <c r="K49" s="16">
        <f t="shared" si="1"/>
        <v>0.10001345906619447</v>
      </c>
      <c r="L49" s="16"/>
      <c r="N49" s="10"/>
      <c r="O49" s="10"/>
      <c r="P49" s="1"/>
      <c r="Q49" s="3"/>
      <c r="R49" s="3"/>
      <c r="S49" s="3"/>
      <c r="W49" s="15"/>
    </row>
    <row r="50" spans="1:23">
      <c r="A50" s="6">
        <f t="shared" si="0"/>
        <v>9.9999999999999978E-2</v>
      </c>
      <c r="B50" s="6">
        <v>0.9</v>
      </c>
      <c r="C50" s="5">
        <v>2.5</v>
      </c>
      <c r="D50" s="8">
        <v>9.9786677180049992</v>
      </c>
      <c r="E50" s="10">
        <v>3.14664149062687</v>
      </c>
      <c r="F50" s="8">
        <v>0.99999836184259905</v>
      </c>
      <c r="G50" s="10"/>
      <c r="H50" s="8">
        <v>10.8202952124237</v>
      </c>
      <c r="I50" s="8">
        <v>0.99999873982328602</v>
      </c>
      <c r="J50" s="4">
        <f t="shared" si="2"/>
        <v>1.0843426716073641</v>
      </c>
      <c r="K50" s="16">
        <f t="shared" si="1"/>
        <v>0.10021377885904056</v>
      </c>
      <c r="L50" s="16"/>
      <c r="N50" s="10"/>
      <c r="O50" s="10"/>
      <c r="P50" s="1"/>
      <c r="Q50" s="3"/>
      <c r="R50" s="3"/>
      <c r="S50" s="3"/>
      <c r="W50" s="15"/>
    </row>
    <row r="51" spans="1:23">
      <c r="A51" s="6">
        <f t="shared" si="0"/>
        <v>9.9999999999999978E-2</v>
      </c>
      <c r="B51" s="6">
        <v>0.9</v>
      </c>
      <c r="C51" s="5">
        <v>3</v>
      </c>
      <c r="D51" s="8">
        <v>9.9607122196218807</v>
      </c>
      <c r="E51" s="10">
        <v>3.7752897938824499</v>
      </c>
      <c r="F51" s="8">
        <v>0.99999843229560503</v>
      </c>
      <c r="G51" s="10"/>
      <c r="H51" s="8">
        <v>10.800350034637599</v>
      </c>
      <c r="I51" s="8">
        <v>0.99999898948438504</v>
      </c>
      <c r="J51" s="4">
        <f t="shared" si="2"/>
        <v>1.0842949576800034</v>
      </c>
      <c r="K51" s="16">
        <f t="shared" si="1"/>
        <v>0.10039442742157258</v>
      </c>
      <c r="L51" s="16"/>
      <c r="N51" s="10"/>
      <c r="O51" s="10"/>
      <c r="P51" s="1"/>
      <c r="Q51" s="3"/>
      <c r="R51" s="3"/>
      <c r="S51" s="3"/>
      <c r="W51" s="15"/>
    </row>
    <row r="52" spans="1:23">
      <c r="A52" s="6">
        <f t="shared" si="0"/>
        <v>0.5</v>
      </c>
      <c r="B52" s="6">
        <v>0.5</v>
      </c>
      <c r="C52" s="5">
        <v>1</v>
      </c>
      <c r="D52" s="8">
        <v>12.8519664375946</v>
      </c>
      <c r="E52" s="10">
        <v>3.5849639333567702</v>
      </c>
      <c r="F52" s="8">
        <v>0.99996984856212001</v>
      </c>
      <c r="G52" s="10"/>
      <c r="H52" s="8">
        <v>8.3068617237215605</v>
      </c>
      <c r="I52" s="8">
        <v>0.99999974617674703</v>
      </c>
      <c r="J52" s="4">
        <f t="shared" si="2"/>
        <v>0.64634947220390426</v>
      </c>
      <c r="K52" s="16">
        <f t="shared" si="1"/>
        <v>7.7809104533201848E-2</v>
      </c>
      <c r="L52" s="16"/>
      <c r="N52" s="10"/>
      <c r="O52" s="10"/>
      <c r="P52" s="1"/>
      <c r="Q52" s="3"/>
      <c r="R52" s="3"/>
      <c r="S52" s="3"/>
      <c r="W52" s="15"/>
    </row>
    <row r="53" spans="1:23">
      <c r="A53" s="6">
        <f t="shared" si="0"/>
        <v>0.5</v>
      </c>
      <c r="B53" s="6">
        <v>0.5</v>
      </c>
      <c r="C53" s="5">
        <v>1.5</v>
      </c>
      <c r="D53" s="8">
        <v>12.851964444349701</v>
      </c>
      <c r="E53" s="10">
        <v>5.3774453911610003</v>
      </c>
      <c r="F53" s="8">
        <v>0.99996910811216799</v>
      </c>
      <c r="G53" s="10"/>
      <c r="H53" s="8">
        <v>8.2968654643970705</v>
      </c>
      <c r="I53" s="8">
        <v>0.99999953744010195</v>
      </c>
      <c r="J53" s="4">
        <f t="shared" si="2"/>
        <v>0.64557177234058905</v>
      </c>
      <c r="K53" s="16">
        <f t="shared" si="1"/>
        <v>7.78091166008201E-2</v>
      </c>
      <c r="L53" s="16"/>
      <c r="N53" s="10"/>
      <c r="O53" s="10"/>
      <c r="P53" s="1"/>
      <c r="Q53" s="3"/>
      <c r="R53" s="3"/>
      <c r="S53" s="3"/>
      <c r="W53" s="15"/>
    </row>
    <row r="54" spans="1:23">
      <c r="A54" s="6">
        <f t="shared" si="0"/>
        <v>0.5</v>
      </c>
      <c r="B54" s="6">
        <v>0.5</v>
      </c>
      <c r="C54" s="5">
        <v>2</v>
      </c>
      <c r="D54" s="8">
        <v>12.851961718711101</v>
      </c>
      <c r="E54" s="10">
        <v>7.1699265645239798</v>
      </c>
      <c r="F54" s="8">
        <v>0.99996842951356102</v>
      </c>
      <c r="G54" s="10"/>
      <c r="H54" s="8">
        <v>8.2875314738090697</v>
      </c>
      <c r="I54" s="8">
        <v>0.99999927031184799</v>
      </c>
      <c r="J54" s="4">
        <f t="shared" si="2"/>
        <v>0.64484563953713758</v>
      </c>
      <c r="K54" s="16">
        <f t="shared" si="1"/>
        <v>7.7809133102544614E-2</v>
      </c>
      <c r="L54" s="16"/>
      <c r="N54" s="10"/>
      <c r="O54" s="10"/>
      <c r="P54" s="1"/>
      <c r="Q54" s="3"/>
      <c r="R54" s="3"/>
      <c r="S54" s="3"/>
      <c r="W54" s="15"/>
    </row>
    <row r="55" spans="1:23">
      <c r="A55" s="6">
        <f t="shared" si="0"/>
        <v>0.5</v>
      </c>
      <c r="B55" s="6">
        <v>0.5</v>
      </c>
      <c r="C55" s="5">
        <v>2.5</v>
      </c>
      <c r="D55" s="8">
        <v>12.8519582295676</v>
      </c>
      <c r="E55" s="10">
        <v>8.9624069814207594</v>
      </c>
      <c r="F55" s="8">
        <v>0.99996780489746295</v>
      </c>
      <c r="G55" s="10"/>
      <c r="H55" s="8">
        <v>8.2787399273774795</v>
      </c>
      <c r="I55" s="8">
        <v>0.99999896305218805</v>
      </c>
      <c r="J55" s="4">
        <f t="shared" si="2"/>
        <v>0.64416175181235513</v>
      </c>
      <c r="K55" s="16">
        <f t="shared" si="1"/>
        <v>7.7809154226736441E-2</v>
      </c>
      <c r="L55" s="16"/>
      <c r="N55" s="10"/>
      <c r="O55" s="10"/>
      <c r="P55" s="1"/>
      <c r="Q55" s="3"/>
      <c r="R55" s="3"/>
      <c r="S55" s="3"/>
      <c r="W55" s="15"/>
    </row>
    <row r="56" spans="1:23">
      <c r="A56" s="6">
        <f t="shared" si="0"/>
        <v>0.5</v>
      </c>
      <c r="B56" s="6">
        <v>0.5</v>
      </c>
      <c r="C56" s="5">
        <v>3</v>
      </c>
      <c r="D56" s="8">
        <v>12.851953974998899</v>
      </c>
      <c r="E56" s="10">
        <v>10.7548865849352</v>
      </c>
      <c r="F56" s="8">
        <v>0.99996722421891304</v>
      </c>
      <c r="G56" s="10"/>
      <c r="H56" s="8">
        <v>8.2704380278293108</v>
      </c>
      <c r="I56" s="8">
        <v>0.99999862950644303</v>
      </c>
      <c r="J56" s="4">
        <f t="shared" si="2"/>
        <v>0.64351600106240026</v>
      </c>
      <c r="K56" s="16">
        <f t="shared" si="1"/>
        <v>7.7809179985029134E-2</v>
      </c>
      <c r="L56" s="16"/>
      <c r="N56" s="10"/>
      <c r="O56" s="10"/>
      <c r="P56" s="1"/>
      <c r="Q56" s="3"/>
      <c r="R56" s="3"/>
      <c r="S56" s="3"/>
      <c r="W56" s="15"/>
    </row>
    <row r="57" spans="1:23">
      <c r="A57" s="6">
        <f t="shared" si="0"/>
        <v>0.4</v>
      </c>
      <c r="B57" s="6">
        <v>0.6</v>
      </c>
      <c r="C57" s="5">
        <v>1</v>
      </c>
      <c r="D57" s="8">
        <v>12.116853773599001</v>
      </c>
      <c r="E57" s="10">
        <v>2.7124138095807302</v>
      </c>
      <c r="F57" s="8">
        <v>0.99997580621622095</v>
      </c>
      <c r="G57" s="10"/>
      <c r="H57" s="8">
        <v>8.8165720911846499</v>
      </c>
      <c r="I57" s="8">
        <v>0.99999982920546004</v>
      </c>
      <c r="J57" s="4">
        <f t="shared" si="2"/>
        <v>0.72762882641983995</v>
      </c>
      <c r="K57" s="16">
        <f t="shared" si="1"/>
        <v>8.2529674673376505E-2</v>
      </c>
      <c r="L57" s="16"/>
      <c r="N57" s="10"/>
      <c r="O57" s="10"/>
      <c r="P57" s="1"/>
      <c r="Q57" s="3"/>
      <c r="R57" s="3"/>
      <c r="S57" s="3"/>
      <c r="W57" s="15"/>
    </row>
    <row r="58" spans="1:23">
      <c r="A58" s="6">
        <f t="shared" si="0"/>
        <v>0.4</v>
      </c>
      <c r="B58" s="6">
        <v>0.6</v>
      </c>
      <c r="C58" s="5">
        <v>1.5</v>
      </c>
      <c r="D58" s="8">
        <v>12.1168196951264</v>
      </c>
      <c r="E58" s="10">
        <v>4.0686161219903303</v>
      </c>
      <c r="F58" s="8">
        <v>0.99997499944840196</v>
      </c>
      <c r="G58" s="10"/>
      <c r="H58" s="8">
        <v>8.8137532989023608</v>
      </c>
      <c r="I58" s="8">
        <v>0.99999990796723204</v>
      </c>
      <c r="J58" s="4">
        <f t="shared" si="2"/>
        <v>0.72739823820663174</v>
      </c>
      <c r="K58" s="16">
        <f t="shared" si="1"/>
        <v>8.2529906787522617E-2</v>
      </c>
      <c r="L58" s="16"/>
      <c r="N58" s="10"/>
      <c r="O58" s="10"/>
      <c r="P58" s="1"/>
      <c r="Q58" s="3"/>
      <c r="R58" s="3"/>
      <c r="S58" s="3"/>
      <c r="W58" s="15"/>
    </row>
    <row r="59" spans="1:23">
      <c r="A59" s="6">
        <f t="shared" si="0"/>
        <v>0.4</v>
      </c>
      <c r="B59" s="6">
        <v>0.6</v>
      </c>
      <c r="C59" s="5">
        <v>2</v>
      </c>
      <c r="D59" s="8">
        <v>12.1167739436359</v>
      </c>
      <c r="E59" s="10">
        <v>5.4248133247182704</v>
      </c>
      <c r="F59" s="8">
        <v>0.99997421813936405</v>
      </c>
      <c r="G59" s="10"/>
      <c r="H59" s="8">
        <v>8.8118381408650599</v>
      </c>
      <c r="I59" s="8">
        <v>0.999999936498841</v>
      </c>
      <c r="J59" s="4">
        <f t="shared" si="2"/>
        <v>0.72724292636434851</v>
      </c>
      <c r="K59" s="16">
        <f t="shared" si="1"/>
        <v>8.2530218410588621E-2</v>
      </c>
      <c r="L59" s="16"/>
      <c r="N59" s="10"/>
      <c r="O59" s="10"/>
      <c r="P59" s="1"/>
      <c r="Q59" s="3"/>
      <c r="R59" s="3"/>
      <c r="S59" s="3"/>
      <c r="W59" s="15"/>
    </row>
    <row r="60" spans="1:23">
      <c r="A60" s="6">
        <f t="shared" si="0"/>
        <v>0.4</v>
      </c>
      <c r="B60" s="6">
        <v>0.6</v>
      </c>
      <c r="C60" s="5">
        <v>2.5</v>
      </c>
      <c r="D60" s="8">
        <v>12.1167161228236</v>
      </c>
      <c r="E60" s="10">
        <v>6.7810037117441402</v>
      </c>
      <c r="F60" s="8">
        <v>0.99997347382777302</v>
      </c>
      <c r="G60" s="10"/>
      <c r="H60" s="8">
        <v>8.8102914393425191</v>
      </c>
      <c r="I60" s="8">
        <v>0.99999994892810395</v>
      </c>
      <c r="J60" s="4">
        <f t="shared" si="2"/>
        <v>0.72711874653455411</v>
      </c>
      <c r="K60" s="16">
        <f t="shared" si="1"/>
        <v>8.2530612243721241E-2</v>
      </c>
      <c r="L60" s="16"/>
      <c r="N60" s="10"/>
      <c r="O60" s="10"/>
      <c r="P60" s="1"/>
      <c r="Q60" s="3"/>
      <c r="R60" s="3"/>
      <c r="S60" s="3"/>
      <c r="W60" s="15"/>
    </row>
    <row r="61" spans="1:23">
      <c r="A61" s="6">
        <f t="shared" si="0"/>
        <v>0.4</v>
      </c>
      <c r="B61" s="6">
        <v>0.6</v>
      </c>
      <c r="C61" s="5">
        <v>3</v>
      </c>
      <c r="D61" s="8">
        <v>12.116646336075</v>
      </c>
      <c r="E61" s="10">
        <v>8.1371857036663595</v>
      </c>
      <c r="F61" s="8">
        <v>0.99997276386238998</v>
      </c>
      <c r="G61" s="10"/>
      <c r="H61" s="8">
        <v>8.8089343349884395</v>
      </c>
      <c r="I61" s="8">
        <v>0.99999995437057199</v>
      </c>
      <c r="J61" s="4">
        <f t="shared" si="2"/>
        <v>0.72701093113211701</v>
      </c>
      <c r="K61" s="16">
        <f t="shared" si="1"/>
        <v>8.2531087585076324E-2</v>
      </c>
      <c r="L61" s="16"/>
      <c r="N61" s="10"/>
      <c r="O61" s="10"/>
      <c r="P61" s="1"/>
      <c r="Q61" s="3"/>
      <c r="R61" s="3"/>
      <c r="S61" s="3"/>
      <c r="W61" s="15"/>
    </row>
    <row r="62" spans="1:23">
      <c r="A62" s="6">
        <f t="shared" si="0"/>
        <v>0.30000000000000004</v>
      </c>
      <c r="B62" s="6">
        <v>0.7</v>
      </c>
      <c r="C62" s="5">
        <v>1</v>
      </c>
      <c r="D62" s="8">
        <v>11.3967536997305</v>
      </c>
      <c r="E62" s="10">
        <v>2.0750776193248601</v>
      </c>
      <c r="F62" s="8">
        <v>0.99998384661550999</v>
      </c>
      <c r="G62" s="10"/>
      <c r="H62" s="8">
        <v>9.3826369462569392</v>
      </c>
      <c r="I62" s="8">
        <v>0.99999875491587698</v>
      </c>
      <c r="J62" s="4">
        <f t="shared" si="2"/>
        <v>0.82327276639125857</v>
      </c>
      <c r="K62" s="16">
        <f t="shared" si="1"/>
        <v>8.7744284587254626E-2</v>
      </c>
      <c r="L62" s="16"/>
      <c r="N62" s="10"/>
      <c r="O62" s="10"/>
      <c r="P62" s="1"/>
      <c r="Q62" s="3"/>
      <c r="R62" s="3"/>
      <c r="S62" s="3"/>
      <c r="W62" s="15"/>
    </row>
    <row r="63" spans="1:23">
      <c r="A63" s="6">
        <f t="shared" si="0"/>
        <v>0.30000000000000004</v>
      </c>
      <c r="B63" s="6">
        <v>0.7</v>
      </c>
      <c r="C63" s="5">
        <v>1.5</v>
      </c>
      <c r="D63" s="8">
        <v>11.396247145189299</v>
      </c>
      <c r="E63" s="10">
        <v>3.1125749409966601</v>
      </c>
      <c r="F63" s="8">
        <v>0.99998306133340598</v>
      </c>
      <c r="G63" s="10"/>
      <c r="H63" s="8">
        <v>9.3737946959175495</v>
      </c>
      <c r="I63" s="8">
        <v>0.99999936479875895</v>
      </c>
      <c r="J63" s="4">
        <f t="shared" si="2"/>
        <v>0.82253346882482381</v>
      </c>
      <c r="K63" s="16">
        <f t="shared" si="1"/>
        <v>8.7748184754147793E-2</v>
      </c>
      <c r="L63" s="16"/>
      <c r="N63" s="10"/>
      <c r="O63" s="10"/>
      <c r="P63" s="1"/>
      <c r="Q63" s="3"/>
      <c r="R63" s="3"/>
      <c r="S63" s="3"/>
      <c r="W63" s="15"/>
    </row>
    <row r="64" spans="1:23">
      <c r="A64" s="6">
        <f t="shared" si="0"/>
        <v>0.30000000000000004</v>
      </c>
      <c r="B64" s="6">
        <v>0.7</v>
      </c>
      <c r="C64" s="5">
        <v>2</v>
      </c>
      <c r="D64" s="8">
        <v>11.3956021863749</v>
      </c>
      <c r="E64" s="10">
        <v>4.1500294525072503</v>
      </c>
      <c r="F64" s="8">
        <v>0.99998224826780702</v>
      </c>
      <c r="G64" s="10"/>
      <c r="H64" s="8">
        <v>9.3693053034870903</v>
      </c>
      <c r="I64" s="8">
        <v>0.99999960895957396</v>
      </c>
      <c r="J64" s="4">
        <f t="shared" si="2"/>
        <v>0.82218606355787482</v>
      </c>
      <c r="K64" s="16">
        <f t="shared" si="1"/>
        <v>8.7753151052925096E-2</v>
      </c>
      <c r="L64" s="16"/>
      <c r="N64" s="10"/>
      <c r="O64" s="10"/>
      <c r="P64" s="1"/>
      <c r="Q64" s="3"/>
      <c r="R64" s="3"/>
      <c r="S64" s="3"/>
      <c r="W64" s="15"/>
    </row>
    <row r="65" spans="1:23">
      <c r="A65" s="6">
        <f t="shared" si="0"/>
        <v>0.30000000000000004</v>
      </c>
      <c r="B65" s="6">
        <v>0.7</v>
      </c>
      <c r="C65" s="5">
        <v>2.5</v>
      </c>
      <c r="D65" s="8">
        <v>11.394813232630799</v>
      </c>
      <c r="E65" s="10">
        <v>5.1874290488517101</v>
      </c>
      <c r="F65" s="8">
        <v>0.999981444349614</v>
      </c>
      <c r="G65" s="10"/>
      <c r="H65" s="8">
        <v>9.3665742422332805</v>
      </c>
      <c r="I65" s="8">
        <v>0.99999973248305696</v>
      </c>
      <c r="J65" s="4">
        <f t="shared" si="2"/>
        <v>0.82200331422814865</v>
      </c>
      <c r="K65" s="16">
        <f t="shared" si="1"/>
        <v>8.7759226903021653E-2</v>
      </c>
      <c r="L65" s="16"/>
      <c r="N65" s="10"/>
      <c r="O65" s="10"/>
      <c r="P65" s="1"/>
      <c r="Q65" s="3"/>
      <c r="R65" s="3"/>
      <c r="S65" s="3"/>
      <c r="W65" s="15"/>
    </row>
    <row r="66" spans="1:23">
      <c r="A66" s="6">
        <f t="shared" si="0"/>
        <v>0.30000000000000004</v>
      </c>
      <c r="B66" s="6">
        <v>0.7</v>
      </c>
      <c r="C66" s="5">
        <v>3</v>
      </c>
      <c r="D66" s="8">
        <v>11.3938869454603</v>
      </c>
      <c r="E66" s="10">
        <v>6.2247630818309601</v>
      </c>
      <c r="F66" s="8">
        <v>0.99998065802061697</v>
      </c>
      <c r="G66" s="10"/>
      <c r="H66" s="8">
        <v>9.3647275148251801</v>
      </c>
      <c r="I66" s="8">
        <v>0.99999980413590805</v>
      </c>
      <c r="J66" s="4">
        <f t="shared" si="2"/>
        <v>0.8219080599668751</v>
      </c>
      <c r="K66" s="16">
        <f t="shared" si="1"/>
        <v>8.7766361452132263E-2</v>
      </c>
      <c r="L66" s="16"/>
      <c r="N66" s="10"/>
      <c r="O66" s="10"/>
      <c r="P66" s="1"/>
      <c r="Q66" s="3"/>
      <c r="R66" s="3"/>
      <c r="S66" s="3"/>
      <c r="W66" s="15"/>
    </row>
    <row r="67" spans="1:23">
      <c r="A67" s="6">
        <f t="shared" ref="A67:A130" si="4">1-B67</f>
        <v>0.19999999999999996</v>
      </c>
      <c r="B67" s="6">
        <v>0.8</v>
      </c>
      <c r="C67" s="5">
        <v>1</v>
      </c>
      <c r="D67" s="8">
        <v>10.7047137692332</v>
      </c>
      <c r="E67" s="10">
        <v>1.6066268173244</v>
      </c>
      <c r="F67" s="8">
        <v>0.99999191306150803</v>
      </c>
      <c r="G67" s="10"/>
      <c r="H67" s="8">
        <v>10.083918076483</v>
      </c>
      <c r="I67" s="8">
        <v>0.99999539822397199</v>
      </c>
      <c r="J67" s="4">
        <f t="shared" si="2"/>
        <v>0.94200725903251603</v>
      </c>
      <c r="K67" s="16">
        <f t="shared" ref="K67:K130" si="5">1/D67</f>
        <v>9.3416790169031497E-2</v>
      </c>
      <c r="L67" s="16"/>
      <c r="N67" s="10"/>
      <c r="O67" s="10"/>
      <c r="P67" s="1"/>
      <c r="Q67" s="3"/>
      <c r="R67" s="3"/>
      <c r="S67" s="3"/>
      <c r="W67" s="15"/>
    </row>
    <row r="68" spans="1:23">
      <c r="A68" s="6">
        <f t="shared" si="4"/>
        <v>0.19999999999999996</v>
      </c>
      <c r="B68" s="6">
        <v>0.8</v>
      </c>
      <c r="C68" s="5">
        <v>1.5</v>
      </c>
      <c r="D68" s="8">
        <v>10.6991105423284</v>
      </c>
      <c r="E68" s="10">
        <v>2.4096878842307299</v>
      </c>
      <c r="F68" s="8">
        <v>0.99999138907898599</v>
      </c>
      <c r="G68" s="10"/>
      <c r="H68" s="8">
        <v>10.0487227017979</v>
      </c>
      <c r="I68" s="8">
        <v>0.99999738377030101</v>
      </c>
      <c r="J68" s="4">
        <f t="shared" ref="J68:J131" si="6">H68/D68</f>
        <v>0.93921103647285431</v>
      </c>
      <c r="K68" s="16">
        <f t="shared" si="5"/>
        <v>9.3465713438864464E-2</v>
      </c>
      <c r="L68" s="16"/>
      <c r="N68" s="10"/>
      <c r="O68" s="10"/>
      <c r="P68" s="1"/>
      <c r="Q68" s="3"/>
      <c r="R68" s="3"/>
      <c r="S68" s="3"/>
      <c r="W68" s="15"/>
    </row>
    <row r="69" spans="1:23">
      <c r="A69" s="6">
        <f t="shared" si="4"/>
        <v>0.19999999999999996</v>
      </c>
      <c r="B69" s="6">
        <v>0.8</v>
      </c>
      <c r="C69" s="5">
        <v>2</v>
      </c>
      <c r="D69" s="8">
        <v>10.6929150197758</v>
      </c>
      <c r="E69" s="10">
        <v>3.2125449918715399</v>
      </c>
      <c r="F69" s="8">
        <v>0.99999085383951902</v>
      </c>
      <c r="G69" s="10"/>
      <c r="H69" s="8">
        <v>10.030489452212301</v>
      </c>
      <c r="I69" s="8">
        <v>0.99999828413060599</v>
      </c>
      <c r="J69" s="4">
        <f t="shared" si="6"/>
        <v>0.93805004843502549</v>
      </c>
      <c r="K69" s="16">
        <f t="shared" si="5"/>
        <v>9.3519867889211669E-2</v>
      </c>
      <c r="L69" s="16"/>
      <c r="N69" s="10"/>
      <c r="O69" s="10"/>
      <c r="P69" s="1"/>
      <c r="Q69" s="3"/>
      <c r="R69" s="3"/>
      <c r="S69" s="3"/>
      <c r="W69" s="15"/>
    </row>
    <row r="70" spans="1:23">
      <c r="A70" s="6">
        <f t="shared" si="4"/>
        <v>0.19999999999999996</v>
      </c>
      <c r="B70" s="6">
        <v>0.8</v>
      </c>
      <c r="C70" s="5">
        <v>2.5</v>
      </c>
      <c r="D70" s="8">
        <v>10.686046436813401</v>
      </c>
      <c r="E70" s="10">
        <v>4.0151652127228799</v>
      </c>
      <c r="F70" s="8">
        <v>0.99999034238120799</v>
      </c>
      <c r="G70" s="10"/>
      <c r="H70" s="8">
        <v>10.019322281020299</v>
      </c>
      <c r="I70" s="8">
        <v>0.99999877587785002</v>
      </c>
      <c r="J70" s="4">
        <f t="shared" si="6"/>
        <v>0.93760796757384113</v>
      </c>
      <c r="K70" s="16">
        <f t="shared" si="5"/>
        <v>9.3579978892380886E-2</v>
      </c>
      <c r="L70" s="16"/>
      <c r="N70" s="10"/>
      <c r="O70" s="10"/>
      <c r="P70" s="1"/>
      <c r="Q70" s="3"/>
      <c r="R70" s="3"/>
      <c r="S70" s="3"/>
      <c r="W70" s="15"/>
    </row>
    <row r="71" spans="1:23">
      <c r="A71" s="6">
        <f t="shared" si="4"/>
        <v>0.19999999999999996</v>
      </c>
      <c r="B71" s="6">
        <v>0.8</v>
      </c>
      <c r="C71" s="5">
        <v>3</v>
      </c>
      <c r="D71" s="8">
        <v>10.678621952417201</v>
      </c>
      <c r="E71" s="10">
        <v>4.8175285463811202</v>
      </c>
      <c r="F71" s="8">
        <v>0.99998986463058603</v>
      </c>
      <c r="G71" s="10"/>
      <c r="H71" s="8">
        <v>10.011775571389601</v>
      </c>
      <c r="I71" s="8">
        <v>0.99999907676877198</v>
      </c>
      <c r="J71" s="4">
        <f t="shared" si="6"/>
        <v>0.93755314271832113</v>
      </c>
      <c r="K71" s="16">
        <f t="shared" si="5"/>
        <v>9.3645041884233116E-2</v>
      </c>
      <c r="L71" s="16"/>
      <c r="N71" s="10"/>
      <c r="O71" s="10"/>
      <c r="P71" s="1"/>
      <c r="Q71" s="3"/>
      <c r="R71" s="3"/>
      <c r="S71" s="3"/>
      <c r="W71" s="15"/>
    </row>
    <row r="72" spans="1:23">
      <c r="A72" s="6">
        <f t="shared" si="4"/>
        <v>9.9999999999999978E-2</v>
      </c>
      <c r="B72" s="6">
        <v>0.9</v>
      </c>
      <c r="C72" s="5">
        <v>1</v>
      </c>
      <c r="D72" s="8">
        <v>10.048911867783801</v>
      </c>
      <c r="E72" s="10">
        <v>1.2595398245341001</v>
      </c>
      <c r="F72" s="8">
        <v>0.99999831311412801</v>
      </c>
      <c r="G72" s="10"/>
      <c r="H72" s="8">
        <v>10.969608178284</v>
      </c>
      <c r="I72" s="8">
        <v>0.99999703988676603</v>
      </c>
      <c r="J72" s="4">
        <f t="shared" si="6"/>
        <v>1.0916214932137971</v>
      </c>
      <c r="K72" s="16">
        <f t="shared" si="5"/>
        <v>9.9513262048395418E-2</v>
      </c>
      <c r="L72" s="16"/>
      <c r="N72" s="10"/>
      <c r="O72" s="10"/>
      <c r="P72" s="1"/>
      <c r="Q72" s="3"/>
      <c r="R72" s="3"/>
      <c r="S72" s="3"/>
      <c r="W72" s="15"/>
    </row>
    <row r="73" spans="1:23">
      <c r="A73" s="6">
        <f t="shared" si="4"/>
        <v>9.9999999999999978E-2</v>
      </c>
      <c r="B73" s="6">
        <v>0.9</v>
      </c>
      <c r="C73" s="5">
        <v>1.5</v>
      </c>
      <c r="D73" s="8">
        <v>10.021346872214099</v>
      </c>
      <c r="E73" s="10">
        <v>1.8887908427233699</v>
      </c>
      <c r="F73" s="8">
        <v>0.99999827538637898</v>
      </c>
      <c r="G73" s="10"/>
      <c r="H73" s="8">
        <v>10.892547470541601</v>
      </c>
      <c r="I73" s="8">
        <v>0.99999785315893197</v>
      </c>
      <c r="J73" s="4">
        <f t="shared" si="6"/>
        <v>1.0869344819051274</v>
      </c>
      <c r="K73" s="16">
        <f t="shared" si="5"/>
        <v>9.9786985996131047E-2</v>
      </c>
      <c r="L73" s="16"/>
      <c r="N73" s="10"/>
      <c r="O73" s="10"/>
      <c r="P73" s="1"/>
      <c r="Q73" s="3"/>
      <c r="R73" s="3"/>
      <c r="S73" s="3"/>
      <c r="W73" s="15"/>
    </row>
    <row r="74" spans="1:23">
      <c r="A74" s="6">
        <f t="shared" si="4"/>
        <v>9.9999999999999978E-2</v>
      </c>
      <c r="B74" s="6">
        <v>0.9</v>
      </c>
      <c r="C74" s="5">
        <v>2</v>
      </c>
      <c r="D74" s="8">
        <v>9.9986542757576693</v>
      </c>
      <c r="E74" s="10">
        <v>2.5178169383660398</v>
      </c>
      <c r="F74" s="8">
        <v>0.99999830431997005</v>
      </c>
      <c r="G74" s="10"/>
      <c r="H74" s="8">
        <v>10.8487025187365</v>
      </c>
      <c r="I74" s="8">
        <v>0.99999838352136705</v>
      </c>
      <c r="J74" s="4">
        <f t="shared" si="6"/>
        <v>1.0850162651427826</v>
      </c>
      <c r="K74" s="16">
        <f t="shared" si="5"/>
        <v>0.10001345905364079</v>
      </c>
      <c r="L74" s="16"/>
      <c r="N74" s="10"/>
      <c r="O74" s="10"/>
      <c r="P74" s="1"/>
      <c r="Q74" s="3"/>
      <c r="R74" s="3"/>
      <c r="S74" s="3"/>
      <c r="W74" s="15"/>
    </row>
    <row r="75" spans="1:23">
      <c r="A75" s="6">
        <f t="shared" si="4"/>
        <v>9.9999999999999978E-2</v>
      </c>
      <c r="B75" s="6">
        <v>0.9</v>
      </c>
      <c r="C75" s="5">
        <v>2.5</v>
      </c>
      <c r="D75" s="8">
        <v>9.9786677241344908</v>
      </c>
      <c r="E75" s="10">
        <v>3.14664149060081</v>
      </c>
      <c r="F75" s="8">
        <v>0.99999836184259905</v>
      </c>
      <c r="G75" s="10"/>
      <c r="H75" s="8">
        <v>10.820293680826699</v>
      </c>
      <c r="I75" s="8">
        <v>0.99999873982007104</v>
      </c>
      <c r="J75" s="4">
        <f t="shared" si="6"/>
        <v>1.0843425174541732</v>
      </c>
      <c r="K75" s="16">
        <f t="shared" si="5"/>
        <v>0.1002137787974833</v>
      </c>
      <c r="L75" s="16"/>
      <c r="N75" s="10"/>
      <c r="O75" s="10"/>
      <c r="P75" s="1"/>
      <c r="Q75" s="3"/>
      <c r="R75" s="3"/>
      <c r="S75" s="3"/>
      <c r="W75" s="15"/>
    </row>
    <row r="76" spans="1:23">
      <c r="A76" s="6">
        <f t="shared" si="4"/>
        <v>9.9999999999999978E-2</v>
      </c>
      <c r="B76" s="6">
        <v>0.9</v>
      </c>
      <c r="C76" s="5">
        <v>3</v>
      </c>
      <c r="D76" s="8">
        <v>9.96071222145601</v>
      </c>
      <c r="E76" s="10">
        <v>3.77528979388706</v>
      </c>
      <c r="F76" s="8">
        <v>0.99999843229560503</v>
      </c>
      <c r="G76" s="10"/>
      <c r="H76" s="8">
        <v>10.800348279978101</v>
      </c>
      <c r="I76" s="8">
        <v>0.99999898948076404</v>
      </c>
      <c r="J76" s="4">
        <f t="shared" si="6"/>
        <v>1.0842947813223096</v>
      </c>
      <c r="K76" s="16">
        <f t="shared" si="5"/>
        <v>0.10039442740308631</v>
      </c>
      <c r="L76" s="16"/>
      <c r="N76" s="10"/>
      <c r="O76" s="10"/>
      <c r="P76" s="1"/>
      <c r="Q76" s="3"/>
      <c r="R76" s="3"/>
      <c r="S76" s="3"/>
      <c r="W76" s="15"/>
    </row>
    <row r="77" spans="1:23">
      <c r="A77" s="6">
        <f t="shared" si="4"/>
        <v>0.5</v>
      </c>
      <c r="B77" s="6">
        <v>0.5</v>
      </c>
      <c r="C77" s="5">
        <v>1</v>
      </c>
      <c r="D77" s="8">
        <v>12.851966444912399</v>
      </c>
      <c r="E77" s="10">
        <v>3.5849639334984098</v>
      </c>
      <c r="F77" s="8">
        <v>0.99996984856212001</v>
      </c>
      <c r="G77" s="10"/>
      <c r="H77" s="8">
        <v>8.3093540102528198</v>
      </c>
      <c r="I77" s="8">
        <v>0.99999979499091196</v>
      </c>
      <c r="J77" s="4">
        <f t="shared" si="6"/>
        <v>0.64654339441900543</v>
      </c>
      <c r="K77" s="16">
        <f t="shared" si="5"/>
        <v>7.7809104488898009E-2</v>
      </c>
      <c r="L77" s="16"/>
      <c r="N77" s="10"/>
      <c r="O77" s="10"/>
      <c r="P77" s="1"/>
      <c r="Q77" s="3"/>
      <c r="R77" s="3"/>
      <c r="S77" s="3"/>
      <c r="W77" s="15"/>
    </row>
    <row r="78" spans="1:23">
      <c r="A78" s="6">
        <f t="shared" si="4"/>
        <v>0.5</v>
      </c>
      <c r="B78" s="6">
        <v>0.5</v>
      </c>
      <c r="C78" s="5">
        <v>1.5</v>
      </c>
      <c r="D78" s="8">
        <v>12.851964442184199</v>
      </c>
      <c r="E78" s="10">
        <v>5.37744539062105</v>
      </c>
      <c r="F78" s="8">
        <v>0.99996910811216799</v>
      </c>
      <c r="G78" s="10"/>
      <c r="H78" s="8">
        <v>8.3004268256110301</v>
      </c>
      <c r="I78" s="8">
        <v>0.99999963076993903</v>
      </c>
      <c r="J78" s="4">
        <f t="shared" si="6"/>
        <v>0.64584887881936648</v>
      </c>
      <c r="K78" s="16">
        <f t="shared" si="5"/>
        <v>7.7809116613930612E-2</v>
      </c>
      <c r="L78" s="16"/>
      <c r="N78" s="10"/>
      <c r="O78" s="10"/>
      <c r="P78" s="1"/>
      <c r="Q78" s="3"/>
      <c r="R78" s="3"/>
      <c r="S78" s="3"/>
      <c r="W78" s="15"/>
    </row>
    <row r="79" spans="1:23">
      <c r="A79" s="6">
        <f t="shared" si="4"/>
        <v>0.5</v>
      </c>
      <c r="B79" s="6">
        <v>0.5</v>
      </c>
      <c r="C79" s="5">
        <v>2</v>
      </c>
      <c r="D79" s="8">
        <v>12.8519617139392</v>
      </c>
      <c r="E79" s="10">
        <v>7.1699265645074304</v>
      </c>
      <c r="F79" s="8">
        <v>0.99996842951356102</v>
      </c>
      <c r="G79" s="10"/>
      <c r="H79" s="8">
        <v>8.2920514885820698</v>
      </c>
      <c r="I79" s="8">
        <v>0.99999941602916897</v>
      </c>
      <c r="J79" s="4">
        <f t="shared" si="6"/>
        <v>0.64519733820779557</v>
      </c>
      <c r="K79" s="16">
        <f t="shared" si="5"/>
        <v>7.7809133131434935E-2</v>
      </c>
      <c r="L79" s="16"/>
      <c r="N79" s="10"/>
      <c r="O79" s="10"/>
      <c r="P79" s="1"/>
      <c r="Q79" s="3"/>
      <c r="R79" s="3"/>
      <c r="S79" s="3"/>
      <c r="W79" s="15"/>
    </row>
    <row r="80" spans="1:23">
      <c r="A80" s="6">
        <f t="shared" si="4"/>
        <v>0.5</v>
      </c>
      <c r="B80" s="6">
        <v>0.5</v>
      </c>
      <c r="C80" s="5">
        <v>2.5</v>
      </c>
      <c r="D80" s="8">
        <v>12.8519582269761</v>
      </c>
      <c r="E80" s="10">
        <v>8.96240698244981</v>
      </c>
      <c r="F80" s="8">
        <v>0.99996780489746295</v>
      </c>
      <c r="G80" s="10"/>
      <c r="H80" s="8">
        <v>8.2841145685042097</v>
      </c>
      <c r="I80" s="8">
        <v>0.99999916466890704</v>
      </c>
      <c r="J80" s="4">
        <f t="shared" si="6"/>
        <v>0.64457994822267295</v>
      </c>
      <c r="K80" s="16">
        <f t="shared" si="5"/>
        <v>7.7809154242426071E-2</v>
      </c>
      <c r="L80" s="16"/>
      <c r="N80" s="10"/>
      <c r="O80" s="10"/>
      <c r="P80" s="1"/>
      <c r="Q80" s="3"/>
      <c r="R80" s="3"/>
      <c r="S80" s="3"/>
      <c r="W80" s="15"/>
    </row>
    <row r="81" spans="1:23">
      <c r="A81" s="6">
        <f t="shared" si="4"/>
        <v>0.5</v>
      </c>
      <c r="B81" s="6">
        <v>0.5</v>
      </c>
      <c r="C81" s="5">
        <v>3</v>
      </c>
      <c r="D81" s="8">
        <v>12.851953980677701</v>
      </c>
      <c r="E81" s="10">
        <v>10.754886584804</v>
      </c>
      <c r="F81" s="8">
        <v>0.99996722421891304</v>
      </c>
      <c r="G81" s="10"/>
      <c r="H81" s="8">
        <v>8.27656960692903</v>
      </c>
      <c r="I81" s="8">
        <v>0.99999888702900797</v>
      </c>
      <c r="J81" s="4">
        <f t="shared" si="6"/>
        <v>0.64399309391960613</v>
      </c>
      <c r="K81" s="16">
        <f t="shared" si="5"/>
        <v>7.780917995064815E-2</v>
      </c>
      <c r="L81" s="16"/>
      <c r="N81" s="10"/>
      <c r="O81" s="10"/>
      <c r="P81" s="1"/>
      <c r="Q81" s="3"/>
      <c r="R81" s="3"/>
      <c r="S81" s="3"/>
      <c r="W81" s="15"/>
    </row>
    <row r="82" spans="1:23">
      <c r="A82" s="6">
        <f t="shared" si="4"/>
        <v>0.4</v>
      </c>
      <c r="B82" s="6">
        <v>0.6</v>
      </c>
      <c r="C82" s="5">
        <v>1</v>
      </c>
      <c r="D82" s="8">
        <v>12.1168537742738</v>
      </c>
      <c r="E82" s="10">
        <v>2.7124138097683099</v>
      </c>
      <c r="F82" s="8">
        <v>0.99997580621622095</v>
      </c>
      <c r="G82" s="10"/>
      <c r="H82" s="8">
        <v>8.8168289097490593</v>
      </c>
      <c r="I82" s="8">
        <v>0.99999983124866498</v>
      </c>
      <c r="J82" s="4">
        <f t="shared" si="6"/>
        <v>0.72765002153188718</v>
      </c>
      <c r="K82" s="16">
        <f t="shared" si="5"/>
        <v>8.2529674668780348E-2</v>
      </c>
      <c r="L82" s="16"/>
      <c r="N82" s="10"/>
      <c r="O82" s="10"/>
      <c r="P82" s="1"/>
      <c r="Q82" s="3"/>
      <c r="R82" s="3"/>
      <c r="S82" s="3"/>
      <c r="W82" s="15"/>
    </row>
    <row r="83" spans="1:23">
      <c r="A83" s="6">
        <f t="shared" si="4"/>
        <v>0.4</v>
      </c>
      <c r="B83" s="6">
        <v>0.6</v>
      </c>
      <c r="C83" s="5">
        <v>1.5</v>
      </c>
      <c r="D83" s="8">
        <v>12.116819693940601</v>
      </c>
      <c r="E83" s="10">
        <v>4.0686161219262198</v>
      </c>
      <c r="F83" s="8">
        <v>0.99997499944840196</v>
      </c>
      <c r="G83" s="10"/>
      <c r="H83" s="8">
        <v>8.8141358797238798</v>
      </c>
      <c r="I83" s="8">
        <v>0.99999991032094604</v>
      </c>
      <c r="J83" s="4">
        <f t="shared" si="6"/>
        <v>0.72742981263735962</v>
      </c>
      <c r="K83" s="16">
        <f t="shared" si="5"/>
        <v>8.2529906795599323E-2</v>
      </c>
      <c r="L83" s="16"/>
      <c r="N83" s="10"/>
      <c r="O83" s="10"/>
      <c r="P83" s="1"/>
      <c r="Q83" s="3"/>
      <c r="R83" s="3"/>
      <c r="S83" s="3"/>
      <c r="W83" s="15"/>
    </row>
    <row r="84" spans="1:23">
      <c r="A84" s="6">
        <f t="shared" si="4"/>
        <v>0.4</v>
      </c>
      <c r="B84" s="6">
        <v>0.6</v>
      </c>
      <c r="C84" s="5">
        <v>2</v>
      </c>
      <c r="D84" s="8">
        <v>12.1167739435766</v>
      </c>
      <c r="E84" s="10">
        <v>5.4248133245649397</v>
      </c>
      <c r="F84" s="8">
        <v>0.99997421813936405</v>
      </c>
      <c r="G84" s="10"/>
      <c r="H84" s="8">
        <v>8.8123440363256105</v>
      </c>
      <c r="I84" s="8">
        <v>0.99999993929560604</v>
      </c>
      <c r="J84" s="4">
        <f t="shared" si="6"/>
        <v>0.72728467803076002</v>
      </c>
      <c r="K84" s="16">
        <f t="shared" si="5"/>
        <v>8.253021841099252E-2</v>
      </c>
      <c r="L84" s="16"/>
      <c r="N84" s="10"/>
      <c r="O84" s="10"/>
      <c r="P84" s="1"/>
      <c r="Q84" s="3"/>
      <c r="R84" s="3"/>
      <c r="S84" s="3"/>
      <c r="W84" s="15"/>
    </row>
    <row r="85" spans="1:23">
      <c r="A85" s="6">
        <f t="shared" si="4"/>
        <v>0.4</v>
      </c>
      <c r="B85" s="6">
        <v>0.6</v>
      </c>
      <c r="C85" s="5">
        <v>2.5</v>
      </c>
      <c r="D85" s="8">
        <v>12.116716126200499</v>
      </c>
      <c r="E85" s="10">
        <v>6.7810037121163296</v>
      </c>
      <c r="F85" s="8">
        <v>0.99997347382777302</v>
      </c>
      <c r="G85" s="10"/>
      <c r="H85" s="8">
        <v>8.8109182294554191</v>
      </c>
      <c r="I85" s="8">
        <v>0.99999995228727401</v>
      </c>
      <c r="J85" s="4">
        <f t="shared" si="6"/>
        <v>0.72717047570365945</v>
      </c>
      <c r="K85" s="16">
        <f t="shared" si="5"/>
        <v>8.2530612220720168E-2</v>
      </c>
      <c r="L85" s="16"/>
      <c r="N85" s="10"/>
      <c r="O85" s="10"/>
      <c r="P85" s="1"/>
      <c r="Q85" s="3"/>
      <c r="R85" s="3"/>
      <c r="S85" s="3"/>
      <c r="W85" s="15"/>
    </row>
    <row r="86" spans="1:23">
      <c r="A86" s="6">
        <f t="shared" si="4"/>
        <v>0.4</v>
      </c>
      <c r="B86" s="6">
        <v>0.6</v>
      </c>
      <c r="C86" s="5">
        <v>3</v>
      </c>
      <c r="D86" s="8">
        <v>12.116646336430801</v>
      </c>
      <c r="E86" s="10">
        <v>8.1371857043332199</v>
      </c>
      <c r="F86" s="8">
        <v>0.99997276386238998</v>
      </c>
      <c r="G86" s="10"/>
      <c r="H86" s="8">
        <v>8.8096796287888406</v>
      </c>
      <c r="I86" s="8">
        <v>0.99999995840153399</v>
      </c>
      <c r="J86" s="4">
        <f t="shared" si="6"/>
        <v>0.72707244101868429</v>
      </c>
      <c r="K86" s="16">
        <f t="shared" si="5"/>
        <v>8.2531087582652832E-2</v>
      </c>
      <c r="L86" s="16"/>
      <c r="N86" s="10"/>
      <c r="O86" s="10"/>
      <c r="P86" s="1"/>
      <c r="Q86" s="3"/>
      <c r="R86" s="3"/>
      <c r="S86" s="3"/>
      <c r="W86" s="15"/>
    </row>
    <row r="87" spans="1:23">
      <c r="A87" s="6">
        <f t="shared" si="4"/>
        <v>0.30000000000000004</v>
      </c>
      <c r="B87" s="6">
        <v>0.7</v>
      </c>
      <c r="C87" s="5">
        <v>1</v>
      </c>
      <c r="D87" s="8">
        <v>11.396753700585601</v>
      </c>
      <c r="E87" s="10">
        <v>2.0750776195252199</v>
      </c>
      <c r="F87" s="8">
        <v>0.99998384661550999</v>
      </c>
      <c r="G87" s="10"/>
      <c r="H87" s="8">
        <v>9.3826506888415402</v>
      </c>
      <c r="I87" s="8">
        <v>0.99999875528510995</v>
      </c>
      <c r="J87" s="4">
        <f t="shared" si="6"/>
        <v>0.82327397216274234</v>
      </c>
      <c r="K87" s="16">
        <f t="shared" si="5"/>
        <v>8.7744284580671156E-2</v>
      </c>
      <c r="L87" s="16"/>
      <c r="N87" s="10"/>
      <c r="O87" s="10"/>
      <c r="P87" s="1"/>
      <c r="Q87" s="3"/>
      <c r="R87" s="3"/>
      <c r="S87" s="3"/>
      <c r="W87" s="15"/>
    </row>
    <row r="88" spans="1:23">
      <c r="A88" s="6">
        <f t="shared" si="4"/>
        <v>0.30000000000000004</v>
      </c>
      <c r="B88" s="6">
        <v>0.7</v>
      </c>
      <c r="C88" s="5">
        <v>1.5</v>
      </c>
      <c r="D88" s="8">
        <v>11.396247144537</v>
      </c>
      <c r="E88" s="10">
        <v>3.1125749408069399</v>
      </c>
      <c r="F88" s="8">
        <v>0.99998306133340598</v>
      </c>
      <c r="G88" s="10"/>
      <c r="H88" s="8">
        <v>9.3738160989262003</v>
      </c>
      <c r="I88" s="8">
        <v>0.99999936514912902</v>
      </c>
      <c r="J88" s="4">
        <f t="shared" si="6"/>
        <v>0.82253534694706154</v>
      </c>
      <c r="K88" s="16">
        <f t="shared" si="5"/>
        <v>8.7748184759170331E-2</v>
      </c>
      <c r="L88" s="16"/>
      <c r="N88" s="10"/>
      <c r="O88" s="10"/>
      <c r="P88" s="1"/>
      <c r="Q88" s="3"/>
      <c r="R88" s="3"/>
      <c r="S88" s="3"/>
      <c r="W88" s="15"/>
    </row>
    <row r="89" spans="1:23">
      <c r="A89" s="6">
        <f t="shared" si="4"/>
        <v>0.30000000000000004</v>
      </c>
      <c r="B89" s="6">
        <v>0.7</v>
      </c>
      <c r="C89" s="5">
        <v>2</v>
      </c>
      <c r="D89" s="8">
        <v>11.395602181857599</v>
      </c>
      <c r="E89" s="10">
        <v>4.1500294525342403</v>
      </c>
      <c r="F89" s="8">
        <v>0.99998224826780702</v>
      </c>
      <c r="G89" s="10"/>
      <c r="H89" s="8">
        <v>9.3693343457981708</v>
      </c>
      <c r="I89" s="8">
        <v>0.99999960929796206</v>
      </c>
      <c r="J89" s="4">
        <f t="shared" si="6"/>
        <v>0.82218861243810759</v>
      </c>
      <c r="K89" s="16">
        <f t="shared" si="5"/>
        <v>8.775315108771109E-2</v>
      </c>
      <c r="L89" s="16"/>
      <c r="N89" s="10"/>
      <c r="O89" s="10"/>
      <c r="P89" s="1"/>
      <c r="Q89" s="3"/>
      <c r="R89" s="3"/>
      <c r="S89" s="3"/>
      <c r="W89" s="15"/>
    </row>
    <row r="90" spans="1:23">
      <c r="A90" s="6">
        <f t="shared" si="4"/>
        <v>0.30000000000000004</v>
      </c>
      <c r="B90" s="6">
        <v>0.7</v>
      </c>
      <c r="C90" s="5">
        <v>2.5</v>
      </c>
      <c r="D90" s="8">
        <v>11.3948132290363</v>
      </c>
      <c r="E90" s="10">
        <v>5.1874290487675196</v>
      </c>
      <c r="F90" s="8">
        <v>0.999981444349614</v>
      </c>
      <c r="G90" s="10"/>
      <c r="H90" s="8">
        <v>9.3666108950774891</v>
      </c>
      <c r="I90" s="8">
        <v>0.999999732813319</v>
      </c>
      <c r="J90" s="4">
        <f t="shared" si="6"/>
        <v>0.82200653111272248</v>
      </c>
      <c r="K90" s="16">
        <f t="shared" si="5"/>
        <v>8.7759226930705342E-2</v>
      </c>
      <c r="L90" s="16"/>
      <c r="N90" s="10"/>
      <c r="O90" s="10"/>
      <c r="P90" s="1"/>
      <c r="Q90" s="3"/>
      <c r="R90" s="3"/>
      <c r="S90" s="3"/>
      <c r="W90" s="15"/>
    </row>
    <row r="91" spans="1:23">
      <c r="A91" s="6">
        <f t="shared" si="4"/>
        <v>0.30000000000000004</v>
      </c>
      <c r="B91" s="6">
        <v>0.7</v>
      </c>
      <c r="C91" s="5">
        <v>3</v>
      </c>
      <c r="D91" s="8">
        <v>11.3938869454563</v>
      </c>
      <c r="E91" s="10">
        <v>6.2247630816533999</v>
      </c>
      <c r="F91" s="8">
        <v>0.99998065802061697</v>
      </c>
      <c r="G91" s="10"/>
      <c r="H91" s="8">
        <v>9.3647717454527406</v>
      </c>
      <c r="I91" s="8">
        <v>0.99999980446047498</v>
      </c>
      <c r="J91" s="4">
        <f t="shared" si="6"/>
        <v>0.82191194192840944</v>
      </c>
      <c r="K91" s="16">
        <f t="shared" si="5"/>
        <v>8.7766361452163086E-2</v>
      </c>
      <c r="L91" s="16"/>
      <c r="N91" s="10"/>
      <c r="O91" s="10"/>
      <c r="P91" s="1"/>
      <c r="Q91" s="3"/>
      <c r="R91" s="3"/>
      <c r="S91" s="3"/>
      <c r="W91" s="15"/>
    </row>
    <row r="92" spans="1:23">
      <c r="A92" s="6">
        <f t="shared" si="4"/>
        <v>0.19999999999999996</v>
      </c>
      <c r="B92" s="6">
        <v>0.8</v>
      </c>
      <c r="C92" s="5">
        <v>1</v>
      </c>
      <c r="D92" s="8">
        <v>10.704713766421399</v>
      </c>
      <c r="E92" s="10">
        <v>1.6066268173495599</v>
      </c>
      <c r="F92" s="8">
        <v>0.99999191306150803</v>
      </c>
      <c r="G92" s="10"/>
      <c r="H92" s="8">
        <v>10.0839163543975</v>
      </c>
      <c r="I92" s="8">
        <v>0.99999539825575501</v>
      </c>
      <c r="J92" s="4">
        <f t="shared" si="6"/>
        <v>0.9420070984082527</v>
      </c>
      <c r="K92" s="16">
        <f t="shared" si="5"/>
        <v>9.3416790193569216E-2</v>
      </c>
      <c r="L92" s="16"/>
      <c r="N92" s="10"/>
      <c r="O92" s="10"/>
      <c r="P92" s="1"/>
      <c r="Q92" s="3"/>
      <c r="R92" s="3"/>
      <c r="S92" s="3"/>
      <c r="W92" s="15"/>
    </row>
    <row r="93" spans="1:23">
      <c r="A93" s="6">
        <f t="shared" si="4"/>
        <v>0.19999999999999996</v>
      </c>
      <c r="B93" s="6">
        <v>0.8</v>
      </c>
      <c r="C93" s="5">
        <v>1.5</v>
      </c>
      <c r="D93" s="8">
        <v>10.6991105543517</v>
      </c>
      <c r="E93" s="10">
        <v>2.40968788427165</v>
      </c>
      <c r="F93" s="8">
        <v>0.99999138907898599</v>
      </c>
      <c r="G93" s="10"/>
      <c r="H93" s="8">
        <v>10.048720574227801</v>
      </c>
      <c r="I93" s="8">
        <v>0.99999738379844805</v>
      </c>
      <c r="J93" s="4">
        <f t="shared" si="6"/>
        <v>0.93921083656254367</v>
      </c>
      <c r="K93" s="16">
        <f t="shared" si="5"/>
        <v>9.3465713333830844E-2</v>
      </c>
      <c r="L93" s="16"/>
      <c r="N93" s="10"/>
      <c r="O93" s="10"/>
      <c r="P93" s="1"/>
      <c r="Q93" s="3"/>
      <c r="R93" s="3"/>
      <c r="S93" s="3"/>
      <c r="W93" s="15"/>
    </row>
    <row r="94" spans="1:23">
      <c r="A94" s="6">
        <f t="shared" si="4"/>
        <v>0.19999999999999996</v>
      </c>
      <c r="B94" s="6">
        <v>0.8</v>
      </c>
      <c r="C94" s="5">
        <v>2</v>
      </c>
      <c r="D94" s="8">
        <v>10.692915023007499</v>
      </c>
      <c r="E94" s="10">
        <v>3.2125449917523001</v>
      </c>
      <c r="F94" s="8">
        <v>0.99999085383951902</v>
      </c>
      <c r="G94" s="10"/>
      <c r="H94" s="8">
        <v>10.030486946188701</v>
      </c>
      <c r="I94" s="8">
        <v>0.99999828415474901</v>
      </c>
      <c r="J94" s="4">
        <f t="shared" si="6"/>
        <v>0.93804981378852448</v>
      </c>
      <c r="K94" s="16">
        <f t="shared" si="5"/>
        <v>9.3519867860947334E-2</v>
      </c>
      <c r="L94" s="16"/>
      <c r="N94" s="10"/>
      <c r="O94" s="10"/>
      <c r="P94" s="1"/>
      <c r="Q94" s="3"/>
      <c r="R94" s="3"/>
      <c r="S94" s="3"/>
      <c r="W94" s="15"/>
    </row>
    <row r="95" spans="1:23">
      <c r="A95" s="6">
        <f t="shared" si="4"/>
        <v>0.19999999999999996</v>
      </c>
      <c r="B95" s="6">
        <v>0.8</v>
      </c>
      <c r="C95" s="5">
        <v>2.5</v>
      </c>
      <c r="D95" s="8">
        <v>10.686046433047499</v>
      </c>
      <c r="E95" s="10">
        <v>4.01516521288079</v>
      </c>
      <c r="F95" s="8">
        <v>0.99999034238120799</v>
      </c>
      <c r="G95" s="10"/>
      <c r="H95" s="8">
        <v>10.0193194095612</v>
      </c>
      <c r="I95" s="8">
        <v>0.99999877589839103</v>
      </c>
      <c r="J95" s="4">
        <f t="shared" si="6"/>
        <v>0.93760769919318432</v>
      </c>
      <c r="K95" s="16">
        <f t="shared" si="5"/>
        <v>9.3579978925359686E-2</v>
      </c>
      <c r="L95" s="16"/>
      <c r="N95" s="10"/>
      <c r="O95" s="10"/>
      <c r="P95" s="1"/>
      <c r="Q95" s="3"/>
      <c r="R95" s="3"/>
      <c r="S95" s="3"/>
      <c r="W95" s="15"/>
    </row>
    <row r="96" spans="1:23">
      <c r="A96" s="6">
        <f t="shared" si="4"/>
        <v>0.19999999999999996</v>
      </c>
      <c r="B96" s="6">
        <v>0.8</v>
      </c>
      <c r="C96" s="5">
        <v>3</v>
      </c>
      <c r="D96" s="8">
        <v>10.6786219516469</v>
      </c>
      <c r="E96" s="10">
        <v>4.8175285463240796</v>
      </c>
      <c r="F96" s="8">
        <v>0.99998986463058603</v>
      </c>
      <c r="G96" s="10"/>
      <c r="H96" s="8">
        <v>10.011772341548401</v>
      </c>
      <c r="I96" s="8">
        <v>0.99999907678618705</v>
      </c>
      <c r="J96" s="4">
        <f t="shared" si="6"/>
        <v>0.93755284032733688</v>
      </c>
      <c r="K96" s="16">
        <f t="shared" si="5"/>
        <v>9.3645041890988198E-2</v>
      </c>
      <c r="L96" s="16"/>
      <c r="N96" s="10"/>
      <c r="O96" s="10"/>
      <c r="P96" s="1"/>
      <c r="Q96" s="3"/>
      <c r="R96" s="3"/>
      <c r="S96" s="3"/>
      <c r="W96" s="15"/>
    </row>
    <row r="97" spans="1:23">
      <c r="A97" s="6">
        <f t="shared" si="4"/>
        <v>9.9999999999999978E-2</v>
      </c>
      <c r="B97" s="6">
        <v>0.9</v>
      </c>
      <c r="C97" s="5">
        <v>1</v>
      </c>
      <c r="D97" s="8">
        <v>10.048911848538999</v>
      </c>
      <c r="E97" s="10">
        <v>1.25953982442413</v>
      </c>
      <c r="F97" s="8">
        <v>0.99999831311412801</v>
      </c>
      <c r="G97" s="10"/>
      <c r="H97" s="8">
        <v>10.969607593453301</v>
      </c>
      <c r="I97" s="8">
        <v>0.99999703988475497</v>
      </c>
      <c r="J97" s="4">
        <f t="shared" si="6"/>
        <v>1.0916214371059649</v>
      </c>
      <c r="K97" s="16">
        <f t="shared" si="5"/>
        <v>9.9513262238974554E-2</v>
      </c>
      <c r="L97" s="16"/>
      <c r="N97" s="10"/>
      <c r="O97" s="10"/>
      <c r="P97" s="1"/>
      <c r="Q97" s="3"/>
      <c r="R97" s="3"/>
      <c r="S97" s="3"/>
      <c r="W97" s="15"/>
    </row>
    <row r="98" spans="1:23">
      <c r="A98" s="6">
        <f t="shared" si="4"/>
        <v>9.9999999999999978E-2</v>
      </c>
      <c r="B98" s="6">
        <v>0.9</v>
      </c>
      <c r="C98" s="5">
        <v>1.5</v>
      </c>
      <c r="D98" s="8">
        <v>10.0213468631033</v>
      </c>
      <c r="E98" s="10">
        <v>1.88879084272356</v>
      </c>
      <c r="F98" s="8">
        <v>0.99999827538637898</v>
      </c>
      <c r="G98" s="10"/>
      <c r="H98" s="8">
        <v>10.892546681241001</v>
      </c>
      <c r="I98" s="8">
        <v>0.99999785315694101</v>
      </c>
      <c r="J98" s="4">
        <f t="shared" si="6"/>
        <v>1.0869344041313742</v>
      </c>
      <c r="K98" s="16">
        <f t="shared" si="5"/>
        <v>9.9786986086851312E-2</v>
      </c>
      <c r="L98" s="16"/>
      <c r="N98" s="10"/>
      <c r="O98" s="10"/>
      <c r="P98" s="1"/>
      <c r="Q98" s="3"/>
      <c r="R98" s="3"/>
      <c r="S98" s="3"/>
      <c r="W98" s="15"/>
    </row>
    <row r="99" spans="1:23">
      <c r="A99" s="6">
        <f t="shared" si="4"/>
        <v>9.9999999999999978E-2</v>
      </c>
      <c r="B99" s="6">
        <v>0.9</v>
      </c>
      <c r="C99" s="5">
        <v>2</v>
      </c>
      <c r="D99" s="8">
        <v>9.9986542690410705</v>
      </c>
      <c r="E99" s="10">
        <v>2.5178169383647799</v>
      </c>
      <c r="F99" s="8">
        <v>0.99999830431997005</v>
      </c>
      <c r="G99" s="10"/>
      <c r="H99" s="8">
        <v>10.848701547281699</v>
      </c>
      <c r="I99" s="8">
        <v>0.99999838351921599</v>
      </c>
      <c r="J99" s="4">
        <f t="shared" si="6"/>
        <v>1.0850161687130875</v>
      </c>
      <c r="K99" s="16">
        <f t="shared" si="5"/>
        <v>0.10001345912082485</v>
      </c>
      <c r="L99" s="16"/>
      <c r="N99" s="10"/>
      <c r="O99" s="10"/>
      <c r="P99" s="1"/>
      <c r="Q99" s="3"/>
      <c r="R99" s="3"/>
      <c r="S99" s="3"/>
      <c r="W99" s="15"/>
    </row>
    <row r="100" spans="1:23">
      <c r="A100" s="6">
        <f t="shared" si="4"/>
        <v>9.9999999999999978E-2</v>
      </c>
      <c r="B100" s="6">
        <v>0.9</v>
      </c>
      <c r="C100" s="5">
        <v>2.5</v>
      </c>
      <c r="D100" s="8">
        <v>9.9786677287451404</v>
      </c>
      <c r="E100" s="10">
        <v>3.14664149060083</v>
      </c>
      <c r="F100" s="8">
        <v>0.99999836184259905</v>
      </c>
      <c r="G100" s="10"/>
      <c r="H100" s="8">
        <v>10.820292533858</v>
      </c>
      <c r="I100" s="8">
        <v>0.99999873981765997</v>
      </c>
      <c r="J100" s="4">
        <f t="shared" si="6"/>
        <v>1.0843424020110846</v>
      </c>
      <c r="K100" s="16">
        <f t="shared" si="5"/>
        <v>0.10021377875117947</v>
      </c>
      <c r="L100" s="16"/>
      <c r="N100" s="10"/>
      <c r="O100" s="10"/>
      <c r="P100" s="1"/>
      <c r="Q100" s="3"/>
      <c r="R100" s="3"/>
      <c r="S100" s="3"/>
      <c r="W100" s="15"/>
    </row>
    <row r="101" spans="1:23">
      <c r="A101" s="6">
        <f t="shared" si="4"/>
        <v>9.9999999999999978E-2</v>
      </c>
      <c r="B101" s="6">
        <v>0.9</v>
      </c>
      <c r="C101" s="5">
        <v>3</v>
      </c>
      <c r="D101" s="8">
        <v>9.9607122126150394</v>
      </c>
      <c r="E101" s="10">
        <v>3.77528979388756</v>
      </c>
      <c r="F101" s="8">
        <v>0.99999843229560503</v>
      </c>
      <c r="G101" s="10"/>
      <c r="H101" s="8">
        <v>10.800346961288801</v>
      </c>
      <c r="I101" s="8">
        <v>0.99999898947804799</v>
      </c>
      <c r="J101" s="4">
        <f t="shared" si="6"/>
        <v>1.0842946498956552</v>
      </c>
      <c r="K101" s="16">
        <f t="shared" si="5"/>
        <v>0.10039442749219482</v>
      </c>
      <c r="L101" s="16"/>
      <c r="N101" s="10"/>
      <c r="O101" s="10"/>
      <c r="P101" s="1"/>
      <c r="Q101" s="3"/>
      <c r="R101" s="3"/>
      <c r="S101" s="3"/>
      <c r="W101" s="15"/>
    </row>
    <row r="102" spans="1:23">
      <c r="A102" s="6">
        <f t="shared" si="4"/>
        <v>0.5</v>
      </c>
      <c r="B102" s="6">
        <v>0.5</v>
      </c>
      <c r="C102" s="5">
        <v>1</v>
      </c>
      <c r="D102" s="8">
        <v>12.8135232264364</v>
      </c>
      <c r="E102" s="10">
        <v>3.5795981876381702</v>
      </c>
      <c r="F102" s="8">
        <v>0.99996148588004896</v>
      </c>
      <c r="G102" s="10"/>
      <c r="H102" s="8">
        <v>8.3350213960224906</v>
      </c>
      <c r="I102" s="8">
        <v>0.99998820745265604</v>
      </c>
      <c r="J102" s="4">
        <f t="shared" si="6"/>
        <v>0.65048630643802741</v>
      </c>
      <c r="K102" s="16">
        <f t="shared" si="5"/>
        <v>7.8042547886972721E-2</v>
      </c>
      <c r="L102" s="16"/>
      <c r="N102" s="10"/>
      <c r="O102" s="10"/>
      <c r="P102" s="1"/>
      <c r="Q102" s="3"/>
      <c r="R102" s="3"/>
      <c r="S102" s="3"/>
      <c r="W102" s="15"/>
    </row>
    <row r="103" spans="1:23">
      <c r="A103" s="6">
        <f t="shared" si="4"/>
        <v>0.5</v>
      </c>
      <c r="B103" s="6">
        <v>0.5</v>
      </c>
      <c r="C103" s="5">
        <v>1.5</v>
      </c>
      <c r="D103" s="8">
        <v>12.8135210104415</v>
      </c>
      <c r="E103" s="10">
        <v>5.3693966989086199</v>
      </c>
      <c r="F103" s="8">
        <v>0.99996054174077897</v>
      </c>
      <c r="G103" s="10"/>
      <c r="H103" s="8">
        <v>8.3355106350361101</v>
      </c>
      <c r="I103" s="8">
        <v>0.99998921519712503</v>
      </c>
      <c r="J103" s="4">
        <f t="shared" si="6"/>
        <v>0.65052460040012872</v>
      </c>
      <c r="K103" s="16">
        <f t="shared" si="5"/>
        <v>7.804256138380064E-2</v>
      </c>
      <c r="L103" s="16"/>
      <c r="N103" s="10"/>
      <c r="O103" s="10"/>
      <c r="P103" s="1"/>
      <c r="Q103" s="3"/>
      <c r="R103" s="3"/>
      <c r="S103" s="3"/>
      <c r="W103" s="15"/>
    </row>
    <row r="104" spans="1:23">
      <c r="A104" s="6">
        <f t="shared" si="4"/>
        <v>0.5</v>
      </c>
      <c r="B104" s="6">
        <v>0.5</v>
      </c>
      <c r="C104" s="5">
        <v>2</v>
      </c>
      <c r="D104" s="8">
        <v>12.813518079134999</v>
      </c>
      <c r="E104" s="10">
        <v>7.1591949547362503</v>
      </c>
      <c r="F104" s="8">
        <v>0.99995967617320902</v>
      </c>
      <c r="G104" s="10"/>
      <c r="H104" s="8">
        <v>8.3356874432873997</v>
      </c>
      <c r="I104" s="8">
        <v>0.99998980813286897</v>
      </c>
      <c r="J104" s="4">
        <f t="shared" si="6"/>
        <v>0.65053854779046882</v>
      </c>
      <c r="K104" s="16">
        <f t="shared" si="5"/>
        <v>7.8042579237341425E-2</v>
      </c>
      <c r="L104" s="16"/>
      <c r="N104" s="10"/>
      <c r="O104" s="10"/>
      <c r="P104" s="1"/>
      <c r="Q104" s="3"/>
      <c r="R104" s="3"/>
      <c r="S104" s="3"/>
      <c r="W104" s="15"/>
    </row>
    <row r="105" spans="1:23">
      <c r="A105" s="6">
        <f t="shared" si="4"/>
        <v>0.5</v>
      </c>
      <c r="B105" s="6">
        <v>0.5</v>
      </c>
      <c r="C105" s="5">
        <v>2.5</v>
      </c>
      <c r="D105" s="8">
        <v>12.8135143489323</v>
      </c>
      <c r="E105" s="10">
        <v>8.9489923817994299</v>
      </c>
      <c r="F105" s="8">
        <v>0.99995887930384897</v>
      </c>
      <c r="G105" s="10"/>
      <c r="H105" s="8">
        <v>8.3357706692749201</v>
      </c>
      <c r="I105" s="8">
        <v>0.99999020703824104</v>
      </c>
      <c r="J105" s="4">
        <f t="shared" si="6"/>
        <v>0.6505452323444354</v>
      </c>
      <c r="K105" s="16">
        <f t="shared" si="5"/>
        <v>7.8042601956685373E-2</v>
      </c>
      <c r="L105" s="16"/>
      <c r="N105" s="10"/>
      <c r="O105" s="10"/>
      <c r="P105" s="1"/>
      <c r="Q105" s="3"/>
      <c r="R105" s="3"/>
      <c r="S105" s="3"/>
      <c r="W105" s="15"/>
    </row>
    <row r="106" spans="1:23">
      <c r="A106" s="6">
        <f t="shared" si="4"/>
        <v>0.5</v>
      </c>
      <c r="B106" s="6">
        <v>0.5</v>
      </c>
      <c r="C106" s="5">
        <v>3</v>
      </c>
      <c r="D106" s="8">
        <v>12.813509813274701</v>
      </c>
      <c r="E106" s="10">
        <v>10.7387889415459</v>
      </c>
      <c r="F106" s="8">
        <v>0.99995813839101899</v>
      </c>
      <c r="G106" s="10"/>
      <c r="H106" s="8">
        <v>8.3358163414937394</v>
      </c>
      <c r="I106" s="8">
        <v>0.99999049777120197</v>
      </c>
      <c r="J106" s="4">
        <f t="shared" si="6"/>
        <v>0.65054902700100914</v>
      </c>
      <c r="K106" s="16">
        <f t="shared" si="5"/>
        <v>7.8042629581787773E-2</v>
      </c>
      <c r="L106" s="16"/>
      <c r="N106" s="10"/>
      <c r="O106" s="10"/>
      <c r="P106" s="1"/>
      <c r="Q106" s="3"/>
      <c r="R106" s="3"/>
      <c r="S106" s="3"/>
      <c r="W106" s="15"/>
    </row>
    <row r="107" spans="1:23">
      <c r="A107" s="6">
        <f t="shared" si="4"/>
        <v>0.4</v>
      </c>
      <c r="B107" s="6">
        <v>0.6</v>
      </c>
      <c r="C107" s="5">
        <v>1</v>
      </c>
      <c r="D107" s="8">
        <v>12.083588194671901</v>
      </c>
      <c r="E107" s="10">
        <v>2.70943269173498</v>
      </c>
      <c r="F107" s="8">
        <v>0.99997026300967295</v>
      </c>
      <c r="G107" s="10"/>
      <c r="H107" s="8">
        <v>8.8903861115660394</v>
      </c>
      <c r="I107" s="8">
        <v>0.99999251162309</v>
      </c>
      <c r="J107" s="4">
        <f t="shared" si="6"/>
        <v>0.73574057377146784</v>
      </c>
      <c r="K107" s="16">
        <f t="shared" si="5"/>
        <v>8.2756875183890896E-2</v>
      </c>
      <c r="L107" s="16"/>
      <c r="N107" s="10"/>
      <c r="O107" s="10"/>
      <c r="P107" s="1"/>
      <c r="Q107" s="3"/>
      <c r="R107" s="3"/>
      <c r="S107" s="3"/>
      <c r="W107" s="15"/>
    </row>
    <row r="108" spans="1:23">
      <c r="A108" s="6">
        <f t="shared" si="4"/>
        <v>0.4</v>
      </c>
      <c r="B108" s="6">
        <v>0.6</v>
      </c>
      <c r="C108" s="5">
        <v>1.5</v>
      </c>
      <c r="D108" s="8">
        <v>12.083549626541499</v>
      </c>
      <c r="E108" s="10">
        <v>4.06414382982239</v>
      </c>
      <c r="F108" s="8">
        <v>0.99996926933614605</v>
      </c>
      <c r="G108" s="10"/>
      <c r="H108" s="8">
        <v>8.8995973980208092</v>
      </c>
      <c r="I108" s="8">
        <v>0.99999277450833401</v>
      </c>
      <c r="J108" s="4">
        <f t="shared" si="6"/>
        <v>0.73650522181601807</v>
      </c>
      <c r="K108" s="16">
        <f t="shared" si="5"/>
        <v>8.2757139326303714E-2</v>
      </c>
      <c r="L108" s="16"/>
      <c r="N108" s="10"/>
      <c r="O108" s="10"/>
      <c r="P108" s="1"/>
      <c r="Q108" s="3"/>
      <c r="R108" s="3"/>
      <c r="S108" s="3"/>
      <c r="W108" s="15"/>
    </row>
    <row r="109" spans="1:23">
      <c r="A109" s="6">
        <f t="shared" si="4"/>
        <v>0.4</v>
      </c>
      <c r="B109" s="6">
        <v>0.6</v>
      </c>
      <c r="C109" s="5">
        <v>2</v>
      </c>
      <c r="D109" s="8">
        <v>12.083500592286599</v>
      </c>
      <c r="E109" s="10">
        <v>5.4188496689233396</v>
      </c>
      <c r="F109" s="8">
        <v>0.999968308378963</v>
      </c>
      <c r="G109" s="10"/>
      <c r="H109" s="8">
        <v>8.90359081521086</v>
      </c>
      <c r="I109" s="8">
        <v>0.999993131705322</v>
      </c>
      <c r="J109" s="4">
        <f t="shared" si="6"/>
        <v>0.73683869564208837</v>
      </c>
      <c r="K109" s="16">
        <f t="shared" si="5"/>
        <v>8.2757475150730869E-2</v>
      </c>
      <c r="L109" s="16"/>
      <c r="N109" s="10"/>
      <c r="O109" s="10"/>
      <c r="P109" s="1"/>
      <c r="Q109" s="3"/>
      <c r="R109" s="3"/>
      <c r="S109" s="3"/>
      <c r="W109" s="15"/>
    </row>
    <row r="110" spans="1:23">
      <c r="A110" s="6">
        <f t="shared" si="4"/>
        <v>0.4</v>
      </c>
      <c r="B110" s="6">
        <v>0.6</v>
      </c>
      <c r="C110" s="5">
        <v>2.5</v>
      </c>
      <c r="D110" s="8">
        <v>12.083439399107</v>
      </c>
      <c r="E110" s="10">
        <v>6.7735483682496396</v>
      </c>
      <c r="F110" s="8">
        <v>0.99996739320758798</v>
      </c>
      <c r="G110" s="10"/>
      <c r="H110" s="8">
        <v>8.90566690299862</v>
      </c>
      <c r="I110" s="8">
        <v>0.99999344572732196</v>
      </c>
      <c r="J110" s="4">
        <f t="shared" si="6"/>
        <v>0.73701423980797831</v>
      </c>
      <c r="K110" s="16">
        <f t="shared" si="5"/>
        <v>8.2757894252682956E-2</v>
      </c>
      <c r="L110" s="16"/>
      <c r="N110" s="10"/>
      <c r="O110" s="10"/>
      <c r="P110" s="1"/>
      <c r="Q110" s="3"/>
      <c r="R110" s="3"/>
      <c r="S110" s="3"/>
      <c r="W110" s="15"/>
    </row>
    <row r="111" spans="1:23">
      <c r="A111" s="6">
        <f t="shared" si="4"/>
        <v>0.4</v>
      </c>
      <c r="B111" s="6">
        <v>0.6</v>
      </c>
      <c r="C111" s="5">
        <v>3</v>
      </c>
      <c r="D111" s="8">
        <v>12.0833658637181</v>
      </c>
      <c r="E111" s="10">
        <v>8.1282382490441201</v>
      </c>
      <c r="F111" s="8">
        <v>0.99996652028840505</v>
      </c>
      <c r="G111" s="10"/>
      <c r="H111" s="8">
        <v>8.9068804564785093</v>
      </c>
      <c r="I111" s="8">
        <v>0.99999370564093804</v>
      </c>
      <c r="J111" s="4">
        <f t="shared" si="6"/>
        <v>0.73711915677589412</v>
      </c>
      <c r="K111" s="16">
        <f t="shared" si="5"/>
        <v>8.2758397889997837E-2</v>
      </c>
      <c r="L111" s="16"/>
      <c r="N111" s="10"/>
      <c r="O111" s="10"/>
      <c r="P111" s="1"/>
      <c r="Q111" s="3"/>
      <c r="R111" s="3"/>
      <c r="S111" s="3"/>
      <c r="W111" s="15"/>
    </row>
    <row r="112" spans="1:23">
      <c r="A112" s="6">
        <f t="shared" si="4"/>
        <v>0.30000000000000004</v>
      </c>
      <c r="B112" s="6">
        <v>0.7</v>
      </c>
      <c r="C112" s="5">
        <v>1</v>
      </c>
      <c r="D112" s="8">
        <v>11.370598883853299</v>
      </c>
      <c r="E112" s="10">
        <v>2.0736478175959898</v>
      </c>
      <c r="F112" s="8">
        <v>0.99998081427504903</v>
      </c>
      <c r="G112" s="10"/>
      <c r="H112" s="8">
        <v>9.4234788253436896</v>
      </c>
      <c r="I112" s="8">
        <v>0.99999777925252797</v>
      </c>
      <c r="J112" s="4">
        <f t="shared" si="6"/>
        <v>0.82875835491175431</v>
      </c>
      <c r="K112" s="16">
        <f t="shared" si="5"/>
        <v>8.79461152587169E-2</v>
      </c>
      <c r="L112" s="16"/>
      <c r="N112" s="10"/>
      <c r="O112" s="10"/>
      <c r="P112" s="1"/>
      <c r="Q112" s="3"/>
      <c r="R112" s="3"/>
      <c r="S112" s="3"/>
      <c r="W112" s="15"/>
    </row>
    <row r="113" spans="1:23">
      <c r="A113" s="6">
        <f t="shared" si="4"/>
        <v>0.30000000000000004</v>
      </c>
      <c r="B113" s="6">
        <v>0.7</v>
      </c>
      <c r="C113" s="5">
        <v>1.5</v>
      </c>
      <c r="D113" s="8">
        <v>11.3700235825464</v>
      </c>
      <c r="E113" s="10">
        <v>3.11042453271385</v>
      </c>
      <c r="F113" s="8">
        <v>0.99997985352618102</v>
      </c>
      <c r="G113" s="10"/>
      <c r="H113" s="8">
        <v>9.4408890819687699</v>
      </c>
      <c r="I113" s="8">
        <v>0.99999806036449801</v>
      </c>
      <c r="J113" s="4">
        <f t="shared" si="6"/>
        <v>0.83033153039902607</v>
      </c>
      <c r="K113" s="16">
        <f t="shared" si="5"/>
        <v>8.7950565162859817E-2</v>
      </c>
      <c r="L113" s="16"/>
      <c r="N113" s="10"/>
      <c r="O113" s="10"/>
      <c r="P113" s="1"/>
      <c r="Q113" s="3"/>
      <c r="R113" s="3"/>
      <c r="S113" s="3"/>
      <c r="W113" s="15"/>
    </row>
    <row r="114" spans="1:23">
      <c r="A114" s="6">
        <f t="shared" si="4"/>
        <v>0.30000000000000004</v>
      </c>
      <c r="B114" s="6">
        <v>0.7</v>
      </c>
      <c r="C114" s="5">
        <v>2</v>
      </c>
      <c r="D114" s="8">
        <v>11.3693323015081</v>
      </c>
      <c r="E114" s="10">
        <v>4.1471570574650096</v>
      </c>
      <c r="F114" s="8">
        <v>0.99997887123197005</v>
      </c>
      <c r="G114" s="10"/>
      <c r="H114" s="8">
        <v>9.4559616393576995</v>
      </c>
      <c r="I114" s="8">
        <v>0.99999786325323303</v>
      </c>
      <c r="J114" s="4">
        <f t="shared" si="6"/>
        <v>0.83170773697092137</v>
      </c>
      <c r="K114" s="16">
        <f t="shared" si="5"/>
        <v>8.7955912755523349E-2</v>
      </c>
      <c r="L114" s="16"/>
      <c r="N114" s="10"/>
      <c r="O114" s="10"/>
      <c r="P114" s="1"/>
      <c r="Q114" s="3"/>
      <c r="R114" s="3"/>
      <c r="S114" s="3"/>
      <c r="W114" s="15"/>
    </row>
    <row r="115" spans="1:23">
      <c r="A115" s="6">
        <f t="shared" si="4"/>
        <v>0.30000000000000004</v>
      </c>
      <c r="B115" s="6">
        <v>0.7</v>
      </c>
      <c r="C115" s="5">
        <v>2.5</v>
      </c>
      <c r="D115" s="8">
        <v>11.3685006824658</v>
      </c>
      <c r="E115" s="10">
        <v>5.18383254009062</v>
      </c>
      <c r="F115" s="8">
        <v>0.999977903475605</v>
      </c>
      <c r="G115" s="10"/>
      <c r="H115" s="8">
        <v>9.4676518560102991</v>
      </c>
      <c r="I115" s="8">
        <v>0.99999762217076504</v>
      </c>
      <c r="J115" s="4">
        <f t="shared" si="6"/>
        <v>0.83279687625059706</v>
      </c>
      <c r="K115" s="16">
        <f t="shared" si="5"/>
        <v>8.7962346832801741E-2</v>
      </c>
      <c r="L115" s="16"/>
      <c r="N115" s="10"/>
      <c r="O115" s="10"/>
      <c r="P115" s="1"/>
      <c r="Q115" s="3"/>
      <c r="R115" s="3"/>
      <c r="S115" s="3"/>
      <c r="W115" s="15"/>
    </row>
    <row r="116" spans="1:23">
      <c r="A116" s="6">
        <f t="shared" si="4"/>
        <v>0.30000000000000004</v>
      </c>
      <c r="B116" s="6">
        <v>0.7</v>
      </c>
      <c r="C116" s="5">
        <v>3</v>
      </c>
      <c r="D116" s="8">
        <v>11.367530099011899</v>
      </c>
      <c r="E116" s="10">
        <v>6.2204397598336802</v>
      </c>
      <c r="F116" s="8">
        <v>0.99997695778055096</v>
      </c>
      <c r="G116" s="10"/>
      <c r="H116" s="8">
        <v>9.4765957471482203</v>
      </c>
      <c r="I116" s="8">
        <v>0.99999742553726001</v>
      </c>
      <c r="J116" s="4">
        <f t="shared" si="6"/>
        <v>0.83365477501325946</v>
      </c>
      <c r="K116" s="16">
        <f t="shared" si="5"/>
        <v>8.7969857241629215E-2</v>
      </c>
      <c r="L116" s="16"/>
      <c r="N116" s="10"/>
      <c r="O116" s="10"/>
      <c r="P116" s="1"/>
      <c r="Q116" s="3"/>
      <c r="R116" s="3"/>
      <c r="S116" s="3"/>
      <c r="W116" s="15"/>
    </row>
    <row r="117" spans="1:23">
      <c r="A117" s="6">
        <f t="shared" si="4"/>
        <v>0.19999999999999996</v>
      </c>
      <c r="B117" s="6">
        <v>0.8</v>
      </c>
      <c r="C117" s="5">
        <v>1</v>
      </c>
      <c r="D117" s="8">
        <v>10.687483500413199</v>
      </c>
      <c r="E117" s="10">
        <v>1.6061092797062</v>
      </c>
      <c r="F117" s="8">
        <v>0.99999075650815605</v>
      </c>
      <c r="G117" s="10"/>
      <c r="H117" s="8">
        <v>10.1063089431086</v>
      </c>
      <c r="I117" s="8">
        <v>0.99999517324063603</v>
      </c>
      <c r="J117" s="4">
        <f t="shared" si="6"/>
        <v>0.94562101010194488</v>
      </c>
      <c r="K117" s="16">
        <f t="shared" si="5"/>
        <v>9.3567395913297838E-2</v>
      </c>
      <c r="L117" s="16"/>
      <c r="N117" s="10"/>
      <c r="O117" s="10"/>
      <c r="P117" s="1"/>
      <c r="Q117" s="3"/>
      <c r="R117" s="3"/>
      <c r="S117" s="3"/>
      <c r="W117" s="15"/>
    </row>
    <row r="118" spans="1:23">
      <c r="A118" s="6">
        <f t="shared" si="4"/>
        <v>0.19999999999999996</v>
      </c>
      <c r="B118" s="6">
        <v>0.8</v>
      </c>
      <c r="C118" s="5">
        <v>1.5</v>
      </c>
      <c r="D118" s="8">
        <v>10.6813711442153</v>
      </c>
      <c r="E118" s="10">
        <v>2.4088882886038201</v>
      </c>
      <c r="F118" s="8">
        <v>0.99999007997804001</v>
      </c>
      <c r="G118" s="10"/>
      <c r="H118" s="8">
        <v>10.078480512380001</v>
      </c>
      <c r="I118" s="8">
        <v>0.99999723063100099</v>
      </c>
      <c r="J118" s="4">
        <f t="shared" si="6"/>
        <v>0.94355681272606973</v>
      </c>
      <c r="K118" s="16">
        <f t="shared" si="5"/>
        <v>9.3620939343688009E-2</v>
      </c>
      <c r="L118" s="16"/>
      <c r="N118" s="10"/>
      <c r="O118" s="10"/>
      <c r="P118" s="1"/>
      <c r="Q118" s="3"/>
      <c r="R118" s="3"/>
      <c r="S118" s="3"/>
      <c r="W118" s="15"/>
    </row>
    <row r="119" spans="1:23">
      <c r="A119" s="6">
        <f t="shared" si="4"/>
        <v>0.19999999999999996</v>
      </c>
      <c r="B119" s="6">
        <v>0.8</v>
      </c>
      <c r="C119" s="5">
        <v>2</v>
      </c>
      <c r="D119" s="8">
        <v>10.6747954439751</v>
      </c>
      <c r="E119" s="10">
        <v>3.2114554956077099</v>
      </c>
      <c r="F119" s="8">
        <v>0.99998940612744602</v>
      </c>
      <c r="G119" s="10"/>
      <c r="H119" s="8">
        <v>10.0675328239486</v>
      </c>
      <c r="I119" s="8">
        <v>0.99999818452367795</v>
      </c>
      <c r="J119" s="4">
        <f t="shared" si="6"/>
        <v>0.94311248180692386</v>
      </c>
      <c r="K119" s="16">
        <f t="shared" si="5"/>
        <v>9.3678610072514712E-2</v>
      </c>
      <c r="L119" s="16"/>
      <c r="N119" s="10"/>
      <c r="O119" s="10"/>
      <c r="P119" s="1"/>
      <c r="Q119" s="3"/>
      <c r="R119" s="3"/>
      <c r="S119" s="3"/>
      <c r="W119" s="15"/>
    </row>
    <row r="120" spans="1:23">
      <c r="A120" s="6">
        <f t="shared" si="4"/>
        <v>0.19999999999999996</v>
      </c>
      <c r="B120" s="6">
        <v>0.8</v>
      </c>
      <c r="C120" s="5">
        <v>2.5</v>
      </c>
      <c r="D120" s="8">
        <v>10.667579496282199</v>
      </c>
      <c r="E120" s="10">
        <v>4.0137765027963699</v>
      </c>
      <c r="F120" s="8">
        <v>0.99998876378113299</v>
      </c>
      <c r="G120" s="10"/>
      <c r="H120" s="8">
        <v>10.0634893356474</v>
      </c>
      <c r="I120" s="8">
        <v>0.99999870742267405</v>
      </c>
      <c r="J120" s="4">
        <f t="shared" si="6"/>
        <v>0.94337139359070787</v>
      </c>
      <c r="K120" s="16">
        <f t="shared" si="5"/>
        <v>9.3741977769981846E-2</v>
      </c>
      <c r="L120" s="16"/>
      <c r="N120" s="10"/>
      <c r="O120" s="10"/>
      <c r="P120" s="1"/>
      <c r="Q120" s="3"/>
      <c r="R120" s="3"/>
      <c r="S120" s="3"/>
      <c r="W120" s="15"/>
    </row>
    <row r="121" spans="1:23">
      <c r="A121" s="6">
        <f t="shared" si="4"/>
        <v>0.19999999999999996</v>
      </c>
      <c r="B121" s="6">
        <v>0.8</v>
      </c>
      <c r="C121" s="5">
        <v>3</v>
      </c>
      <c r="D121" s="8">
        <v>10.6598115122541</v>
      </c>
      <c r="E121" s="10">
        <v>4.8158301293460104</v>
      </c>
      <c r="F121" s="8">
        <v>0.99998816048166395</v>
      </c>
      <c r="G121" s="10"/>
      <c r="H121" s="8">
        <v>10.0628228844914</v>
      </c>
      <c r="I121" s="8">
        <v>0.99999902039395105</v>
      </c>
      <c r="J121" s="4">
        <f t="shared" si="6"/>
        <v>0.94399632422426738</v>
      </c>
      <c r="K121" s="16">
        <f t="shared" si="5"/>
        <v>9.3810289126635998E-2</v>
      </c>
      <c r="L121" s="16"/>
      <c r="N121" s="10"/>
      <c r="O121" s="10"/>
      <c r="P121" s="1"/>
      <c r="Q121" s="3"/>
      <c r="R121" s="3"/>
      <c r="S121" s="3"/>
      <c r="W121" s="15"/>
    </row>
    <row r="122" spans="1:23">
      <c r="A122" s="6">
        <f t="shared" si="4"/>
        <v>9.9999999999999978E-2</v>
      </c>
      <c r="B122" s="6">
        <v>0.9</v>
      </c>
      <c r="C122" s="5">
        <v>1</v>
      </c>
      <c r="D122" s="8">
        <v>10.0418961566967</v>
      </c>
      <c r="E122" s="10">
        <v>1.2594518613600101</v>
      </c>
      <c r="F122" s="8">
        <v>0.99999816727392699</v>
      </c>
      <c r="G122" s="10"/>
      <c r="H122" s="8">
        <v>10.976007238402699</v>
      </c>
      <c r="I122" s="8">
        <v>0.99999706190553195</v>
      </c>
      <c r="J122" s="4">
        <f t="shared" si="6"/>
        <v>1.0930213843212333</v>
      </c>
      <c r="K122" s="16">
        <f t="shared" si="5"/>
        <v>9.9582786397678882E-2</v>
      </c>
      <c r="L122" s="16"/>
      <c r="N122" s="10"/>
      <c r="O122" s="10"/>
      <c r="P122" s="1"/>
      <c r="Q122" s="3"/>
      <c r="R122" s="3"/>
      <c r="S122" s="3"/>
      <c r="W122" s="15"/>
    </row>
    <row r="123" spans="1:23">
      <c r="A123" s="6">
        <f t="shared" si="4"/>
        <v>9.9999999999999978E-2</v>
      </c>
      <c r="B123" s="6">
        <v>0.9</v>
      </c>
      <c r="C123" s="5">
        <v>1.5</v>
      </c>
      <c r="D123" s="8">
        <v>10.012933000459</v>
      </c>
      <c r="E123" s="10">
        <v>1.8886322008190499</v>
      </c>
      <c r="F123" s="8">
        <v>0.99999808387136402</v>
      </c>
      <c r="G123" s="10"/>
      <c r="H123" s="8">
        <v>10.9011989231425</v>
      </c>
      <c r="I123" s="8">
        <v>0.99999787451866795</v>
      </c>
      <c r="J123" s="4">
        <f t="shared" si="6"/>
        <v>1.0887118612141697</v>
      </c>
      <c r="K123" s="16">
        <f t="shared" si="5"/>
        <v>9.9870837041869678E-2</v>
      </c>
      <c r="L123" s="16"/>
      <c r="N123" s="10"/>
      <c r="O123" s="10"/>
      <c r="P123" s="1"/>
      <c r="Q123" s="3"/>
      <c r="R123" s="3"/>
      <c r="S123" s="3"/>
      <c r="W123" s="15"/>
    </row>
    <row r="124" spans="1:23">
      <c r="A124" s="6">
        <f t="shared" si="4"/>
        <v>9.9999999999999978E-2</v>
      </c>
      <c r="B124" s="6">
        <v>0.9</v>
      </c>
      <c r="C124" s="5">
        <v>2</v>
      </c>
      <c r="D124" s="8">
        <v>9.9890369732273196</v>
      </c>
      <c r="E124" s="10">
        <v>2.5175746547437599</v>
      </c>
      <c r="F124" s="8">
        <v>0.99999807559985099</v>
      </c>
      <c r="G124" s="10"/>
      <c r="H124" s="8">
        <v>10.8593642291554</v>
      </c>
      <c r="I124" s="8">
        <v>0.99999840606916002</v>
      </c>
      <c r="J124" s="4">
        <f t="shared" si="6"/>
        <v>1.0871282445205415</v>
      </c>
      <c r="K124" s="16">
        <f t="shared" si="5"/>
        <v>0.10010975058758981</v>
      </c>
      <c r="L124" s="16"/>
      <c r="N124" s="10"/>
      <c r="O124" s="10"/>
      <c r="P124" s="1"/>
      <c r="Q124" s="3"/>
      <c r="R124" s="3"/>
      <c r="S124" s="3"/>
      <c r="W124" s="15"/>
    </row>
    <row r="125" spans="1:23">
      <c r="A125" s="6">
        <f t="shared" si="4"/>
        <v>9.9999999999999978E-2</v>
      </c>
      <c r="B125" s="6">
        <v>0.9</v>
      </c>
      <c r="C125" s="5">
        <v>2.5</v>
      </c>
      <c r="D125" s="8">
        <v>9.9679285122310102</v>
      </c>
      <c r="E125" s="10">
        <v>3.14630267939914</v>
      </c>
      <c r="F125" s="8">
        <v>0.99999810132362199</v>
      </c>
      <c r="G125" s="10"/>
      <c r="H125" s="8">
        <v>10.832818938018599</v>
      </c>
      <c r="I125" s="8">
        <v>0.99999876453358305</v>
      </c>
      <c r="J125" s="4">
        <f t="shared" si="6"/>
        <v>1.0867673182774473</v>
      </c>
      <c r="K125" s="16">
        <f t="shared" si="5"/>
        <v>0.10032174676744157</v>
      </c>
      <c r="L125" s="16"/>
      <c r="N125" s="10"/>
      <c r="O125" s="10"/>
      <c r="P125" s="1"/>
      <c r="Q125" s="3"/>
      <c r="R125" s="3"/>
      <c r="S125" s="3"/>
      <c r="W125" s="15"/>
    </row>
    <row r="126" spans="1:23">
      <c r="A126" s="6">
        <f t="shared" si="4"/>
        <v>9.9999999999999978E-2</v>
      </c>
      <c r="B126" s="6">
        <v>0.9</v>
      </c>
      <c r="C126" s="5">
        <v>3</v>
      </c>
      <c r="D126" s="8">
        <v>9.94889118973955</v>
      </c>
      <c r="E126" s="10">
        <v>3.77484151597498</v>
      </c>
      <c r="F126" s="8">
        <v>0.99999814381311702</v>
      </c>
      <c r="G126" s="10"/>
      <c r="H126" s="8">
        <v>10.814636678560699</v>
      </c>
      <c r="I126" s="8">
        <v>0.99999901672831704</v>
      </c>
      <c r="J126" s="4">
        <f t="shared" si="6"/>
        <v>1.0870192941414423</v>
      </c>
      <c r="K126" s="16">
        <f t="shared" si="5"/>
        <v>0.10051371363185839</v>
      </c>
      <c r="L126" s="16"/>
      <c r="N126" s="10"/>
      <c r="O126" s="10"/>
      <c r="P126" s="1"/>
      <c r="Q126" s="3"/>
      <c r="R126" s="3"/>
      <c r="S126" s="3"/>
      <c r="W126" s="15"/>
    </row>
    <row r="127" spans="1:23">
      <c r="A127" s="6">
        <f t="shared" si="4"/>
        <v>0.5</v>
      </c>
      <c r="B127" s="6">
        <v>0.5</v>
      </c>
      <c r="C127" s="5">
        <v>1</v>
      </c>
      <c r="D127" s="8">
        <v>12.819823258136299</v>
      </c>
      <c r="E127" s="10">
        <v>3.5804780716267399</v>
      </c>
      <c r="F127" s="8">
        <v>0.99996288809898803</v>
      </c>
      <c r="G127" s="10"/>
      <c r="H127" s="8">
        <v>8.3277402180713604</v>
      </c>
      <c r="I127" s="8">
        <v>0.99998780971939705</v>
      </c>
      <c r="J127" s="4">
        <f t="shared" si="6"/>
        <v>0.6495986762365098</v>
      </c>
      <c r="K127" s="16">
        <f t="shared" si="5"/>
        <v>7.8004195523158598E-2</v>
      </c>
      <c r="L127" s="16"/>
      <c r="N127" s="10"/>
      <c r="O127" s="10"/>
      <c r="P127" s="1"/>
      <c r="Q127" s="3"/>
      <c r="R127" s="3"/>
      <c r="S127" s="3"/>
      <c r="W127" s="15"/>
    </row>
    <row r="128" spans="1:23">
      <c r="A128" s="6">
        <f t="shared" si="4"/>
        <v>0.5</v>
      </c>
      <c r="B128" s="6">
        <v>0.5</v>
      </c>
      <c r="C128" s="5">
        <v>1.5</v>
      </c>
      <c r="D128" s="8">
        <v>12.819821068537699</v>
      </c>
      <c r="E128" s="10">
        <v>5.3707165330434998</v>
      </c>
      <c r="F128" s="8">
        <v>0.99996197805881404</v>
      </c>
      <c r="G128" s="10"/>
      <c r="H128" s="8">
        <v>8.3284374049041201</v>
      </c>
      <c r="I128" s="8">
        <v>0.99998890027696796</v>
      </c>
      <c r="J128" s="4">
        <f t="shared" si="6"/>
        <v>0.64965317069391115</v>
      </c>
      <c r="K128" s="16">
        <f t="shared" si="5"/>
        <v>7.8004208846111894E-2</v>
      </c>
      <c r="L128" s="16"/>
      <c r="N128" s="10"/>
      <c r="O128" s="10"/>
      <c r="P128" s="1"/>
      <c r="Q128" s="3"/>
      <c r="R128" s="3"/>
      <c r="S128" s="3"/>
      <c r="W128" s="15"/>
    </row>
    <row r="129" spans="1:23">
      <c r="A129" s="6">
        <f t="shared" si="4"/>
        <v>0.5</v>
      </c>
      <c r="B129" s="6">
        <v>0.5</v>
      </c>
      <c r="C129" s="5">
        <v>2</v>
      </c>
      <c r="D129" s="8">
        <v>12.819818151723901</v>
      </c>
      <c r="E129" s="10">
        <v>7.1609547362400798</v>
      </c>
      <c r="F129" s="8">
        <v>0.99996114381379297</v>
      </c>
      <c r="G129" s="10"/>
      <c r="H129" s="8">
        <v>8.3286910079916492</v>
      </c>
      <c r="I129" s="8">
        <v>0.99998954734592205</v>
      </c>
      <c r="J129" s="4">
        <f t="shared" si="6"/>
        <v>0.64967310061817662</v>
      </c>
      <c r="K129" s="16">
        <f t="shared" si="5"/>
        <v>7.8004226593926251E-2</v>
      </c>
      <c r="L129" s="16"/>
      <c r="N129" s="10"/>
      <c r="O129" s="10"/>
      <c r="P129" s="1"/>
      <c r="Q129" s="3"/>
      <c r="R129" s="3"/>
      <c r="S129" s="3"/>
      <c r="W129" s="15"/>
    </row>
    <row r="130" spans="1:23">
      <c r="A130" s="6">
        <f t="shared" si="4"/>
        <v>0.5</v>
      </c>
      <c r="B130" s="6">
        <v>0.5</v>
      </c>
      <c r="C130" s="5">
        <v>2.5</v>
      </c>
      <c r="D130" s="8">
        <v>12.819814469638899</v>
      </c>
      <c r="E130" s="10">
        <v>8.9511921227880702</v>
      </c>
      <c r="F130" s="8">
        <v>0.99996037580876396</v>
      </c>
      <c r="G130" s="10"/>
      <c r="H130" s="8">
        <v>8.3288107760319399</v>
      </c>
      <c r="I130" s="8">
        <v>0.99998998400069805</v>
      </c>
      <c r="J130" s="4">
        <f t="shared" si="6"/>
        <v>0.64968262963220091</v>
      </c>
      <c r="K130" s="16">
        <f t="shared" si="5"/>
        <v>7.8004248998165673E-2</v>
      </c>
      <c r="L130" s="16"/>
      <c r="N130" s="10"/>
      <c r="O130" s="10"/>
      <c r="P130" s="1"/>
      <c r="Q130" s="3"/>
      <c r="R130" s="3"/>
      <c r="S130" s="3"/>
      <c r="W130" s="15"/>
    </row>
    <row r="131" spans="1:23">
      <c r="A131" s="6">
        <f t="shared" ref="A131:A194" si="7">1-B131</f>
        <v>0.5</v>
      </c>
      <c r="B131" s="6">
        <v>0.5</v>
      </c>
      <c r="C131" s="5">
        <v>3</v>
      </c>
      <c r="D131" s="8">
        <v>12.8198099818476</v>
      </c>
      <c r="E131" s="10">
        <v>10.7414286493938</v>
      </c>
      <c r="F131" s="8">
        <v>0.99995966174922102</v>
      </c>
      <c r="G131" s="10"/>
      <c r="H131" s="8">
        <v>8.3288766550147102</v>
      </c>
      <c r="I131" s="8">
        <v>0.99999030271700295</v>
      </c>
      <c r="J131" s="4">
        <f t="shared" si="6"/>
        <v>0.64968799590696791</v>
      </c>
      <c r="K131" s="16">
        <f t="shared" ref="K131:K194" si="8">1/D131</f>
        <v>7.8004276304872291E-2</v>
      </c>
      <c r="L131" s="16"/>
      <c r="N131" s="10"/>
      <c r="O131" s="10"/>
      <c r="P131" s="1"/>
      <c r="Q131" s="3"/>
      <c r="R131" s="3"/>
      <c r="S131" s="3"/>
      <c r="W131" s="15"/>
    </row>
    <row r="132" spans="1:23">
      <c r="A132" s="6">
        <f t="shared" si="7"/>
        <v>0.4</v>
      </c>
      <c r="B132" s="6">
        <v>0.6</v>
      </c>
      <c r="C132" s="5">
        <v>1</v>
      </c>
      <c r="D132" s="8">
        <v>12.089014784611599</v>
      </c>
      <c r="E132" s="10">
        <v>2.7099193345711399</v>
      </c>
      <c r="F132" s="8">
        <v>0.99997118740646296</v>
      </c>
      <c r="G132" s="10"/>
      <c r="H132" s="8">
        <v>8.8781808217399494</v>
      </c>
      <c r="I132" s="8">
        <v>0.999992648396548</v>
      </c>
      <c r="J132" s="4">
        <f t="shared" ref="J132:J195" si="9">H132/D132</f>
        <v>0.73440069186127566</v>
      </c>
      <c r="K132" s="16">
        <f t="shared" si="8"/>
        <v>8.2719726778142766E-2</v>
      </c>
      <c r="L132" s="16"/>
      <c r="N132" s="10"/>
      <c r="O132" s="10"/>
      <c r="P132" s="1"/>
      <c r="Q132" s="3"/>
      <c r="R132" s="3"/>
      <c r="S132" s="3"/>
      <c r="W132" s="15"/>
    </row>
    <row r="133" spans="1:23">
      <c r="A133" s="6">
        <f t="shared" si="7"/>
        <v>0.4</v>
      </c>
      <c r="B133" s="6">
        <v>0.6</v>
      </c>
      <c r="C133" s="5">
        <v>1.5</v>
      </c>
      <c r="D133" s="8">
        <v>12.0889765383869</v>
      </c>
      <c r="E133" s="10">
        <v>4.0648738411215204</v>
      </c>
      <c r="F133" s="8">
        <v>0.99997022443136296</v>
      </c>
      <c r="G133" s="10"/>
      <c r="H133" s="8">
        <v>8.88990686508685</v>
      </c>
      <c r="I133" s="8">
        <v>0.99999264571675806</v>
      </c>
      <c r="J133" s="4">
        <f t="shared" si="9"/>
        <v>0.73537299347535012</v>
      </c>
      <c r="K133" s="16">
        <f t="shared" si="8"/>
        <v>8.2719988480797868E-2</v>
      </c>
      <c r="L133" s="16"/>
      <c r="N133" s="10"/>
      <c r="O133" s="10"/>
      <c r="P133" s="1"/>
      <c r="Q133" s="3"/>
      <c r="R133" s="3"/>
      <c r="S133" s="3"/>
      <c r="W133" s="15"/>
    </row>
    <row r="134" spans="1:23">
      <c r="A134" s="6">
        <f t="shared" si="7"/>
        <v>0.4</v>
      </c>
      <c r="B134" s="6">
        <v>0.6</v>
      </c>
      <c r="C134" s="5">
        <v>2</v>
      </c>
      <c r="D134" s="8">
        <v>12.088927872880999</v>
      </c>
      <c r="E134" s="10">
        <v>5.4198230873941</v>
      </c>
      <c r="F134" s="8">
        <v>0.99996929321338801</v>
      </c>
      <c r="G134" s="10"/>
      <c r="H134" s="8">
        <v>8.8951800547852997</v>
      </c>
      <c r="I134" s="8">
        <v>0.99999290993915102</v>
      </c>
      <c r="J134" s="4">
        <f t="shared" si="9"/>
        <v>0.73581215375929154</v>
      </c>
      <c r="K134" s="16">
        <f t="shared" si="8"/>
        <v>8.2720321480558454E-2</v>
      </c>
      <c r="L134" s="16"/>
      <c r="N134" s="10"/>
      <c r="O134" s="10"/>
      <c r="P134" s="1"/>
      <c r="Q134" s="3"/>
      <c r="R134" s="3"/>
      <c r="S134" s="3"/>
      <c r="W134" s="15"/>
    </row>
    <row r="135" spans="1:23">
      <c r="A135" s="6">
        <f t="shared" si="7"/>
        <v>0.4</v>
      </c>
      <c r="B135" s="6">
        <v>0.6</v>
      </c>
      <c r="C135" s="5">
        <v>2.5</v>
      </c>
      <c r="D135" s="8">
        <v>12.088867180921801</v>
      </c>
      <c r="E135" s="10">
        <v>6.7747652504131697</v>
      </c>
      <c r="F135" s="8">
        <v>0.99996840640432505</v>
      </c>
      <c r="G135" s="10"/>
      <c r="H135" s="8">
        <v>8.8979788250137002</v>
      </c>
      <c r="I135" s="8">
        <v>0.99999319275032295</v>
      </c>
      <c r="J135" s="4">
        <f t="shared" si="9"/>
        <v>0.73604736422749006</v>
      </c>
      <c r="K135" s="16">
        <f t="shared" si="8"/>
        <v>8.2720736776574294E-2</v>
      </c>
      <c r="L135" s="16"/>
      <c r="N135" s="10"/>
      <c r="O135" s="10"/>
      <c r="P135" s="1"/>
      <c r="Q135" s="3"/>
      <c r="R135" s="3"/>
      <c r="S135" s="3"/>
      <c r="W135" s="15"/>
    </row>
    <row r="136" spans="1:23">
      <c r="A136" s="6">
        <f t="shared" si="7"/>
        <v>0.4</v>
      </c>
      <c r="B136" s="6">
        <v>0.6</v>
      </c>
      <c r="C136" s="5">
        <v>3</v>
      </c>
      <c r="D136" s="8">
        <v>12.0887942064464</v>
      </c>
      <c r="E136" s="10">
        <v>8.1296986674476095</v>
      </c>
      <c r="F136" s="8">
        <v>0.99996756056899805</v>
      </c>
      <c r="G136" s="10"/>
      <c r="H136" s="8">
        <v>8.8996368278244606</v>
      </c>
      <c r="I136" s="8">
        <v>0.99999344549401503</v>
      </c>
      <c r="J136" s="4">
        <f t="shared" si="9"/>
        <v>0.73618895944797313</v>
      </c>
      <c r="K136" s="16">
        <f t="shared" si="8"/>
        <v>8.2721236123512287E-2</v>
      </c>
      <c r="L136" s="16"/>
      <c r="N136" s="10"/>
      <c r="O136" s="10"/>
      <c r="P136" s="1"/>
      <c r="Q136" s="3"/>
      <c r="R136" s="3"/>
      <c r="S136" s="3"/>
      <c r="W136" s="15"/>
    </row>
    <row r="137" spans="1:23">
      <c r="A137" s="6">
        <f t="shared" si="7"/>
        <v>0.30000000000000004</v>
      </c>
      <c r="B137" s="6">
        <v>0.7</v>
      </c>
      <c r="C137" s="5">
        <v>1</v>
      </c>
      <c r="D137" s="8">
        <v>11.374858489564801</v>
      </c>
      <c r="E137" s="10">
        <v>2.0738808332163701</v>
      </c>
      <c r="F137" s="8">
        <v>0.99998132171999499</v>
      </c>
      <c r="G137" s="10"/>
      <c r="H137" s="8">
        <v>9.4099984365259406</v>
      </c>
      <c r="I137" s="8">
        <v>0.999997949450388</v>
      </c>
      <c r="J137" s="4">
        <f t="shared" si="9"/>
        <v>0.8272629013502536</v>
      </c>
      <c r="K137" s="16">
        <f t="shared" si="8"/>
        <v>8.7913181594073589E-2</v>
      </c>
      <c r="L137" s="16"/>
      <c r="N137" s="10"/>
      <c r="O137" s="10"/>
      <c r="P137" s="1"/>
      <c r="Q137" s="3"/>
      <c r="R137" s="3"/>
      <c r="S137" s="3"/>
      <c r="W137" s="15"/>
    </row>
    <row r="138" spans="1:23">
      <c r="A138" s="6">
        <f t="shared" si="7"/>
        <v>0.30000000000000004</v>
      </c>
      <c r="B138" s="6">
        <v>0.7</v>
      </c>
      <c r="C138" s="5">
        <v>1.5</v>
      </c>
      <c r="D138" s="8">
        <v>11.3742906677397</v>
      </c>
      <c r="E138" s="10">
        <v>3.1107746824295202</v>
      </c>
      <c r="F138" s="8">
        <v>0.99998038901446595</v>
      </c>
      <c r="G138" s="10"/>
      <c r="H138" s="8">
        <v>9.4251563146071593</v>
      </c>
      <c r="I138" s="8">
        <v>0.99999835469167497</v>
      </c>
      <c r="J138" s="4">
        <f t="shared" si="9"/>
        <v>0.82863684338041688</v>
      </c>
      <c r="K138" s="16">
        <f t="shared" si="8"/>
        <v>8.7917570353309785E-2</v>
      </c>
      <c r="L138" s="16"/>
      <c r="N138" s="10"/>
      <c r="O138" s="10"/>
      <c r="P138" s="1"/>
      <c r="Q138" s="3"/>
      <c r="R138" s="3"/>
      <c r="S138" s="3"/>
      <c r="W138" s="15"/>
    </row>
    <row r="139" spans="1:23">
      <c r="A139" s="6">
        <f t="shared" si="7"/>
        <v>0.30000000000000004</v>
      </c>
      <c r="B139" s="6">
        <v>0.7</v>
      </c>
      <c r="C139" s="5">
        <v>2</v>
      </c>
      <c r="D139" s="8">
        <v>11.373605069657399</v>
      </c>
      <c r="E139" s="10">
        <v>4.14762456572962</v>
      </c>
      <c r="F139" s="8">
        <v>0.99997943412382095</v>
      </c>
      <c r="G139" s="10"/>
      <c r="H139" s="8">
        <v>9.4399694103910292</v>
      </c>
      <c r="I139" s="8">
        <v>0.99999818860573597</v>
      </c>
      <c r="J139" s="4">
        <f t="shared" si="9"/>
        <v>0.82998920329799919</v>
      </c>
      <c r="K139" s="16">
        <f t="shared" si="8"/>
        <v>8.7922870002564851E-2</v>
      </c>
      <c r="L139" s="16"/>
      <c r="N139" s="10"/>
      <c r="O139" s="10"/>
      <c r="P139" s="1"/>
      <c r="Q139" s="3"/>
      <c r="R139" s="3"/>
      <c r="S139" s="3"/>
      <c r="W139" s="15"/>
    </row>
    <row r="140" spans="1:23">
      <c r="A140" s="6">
        <f t="shared" si="7"/>
        <v>0.30000000000000004</v>
      </c>
      <c r="B140" s="6">
        <v>0.7</v>
      </c>
      <c r="C140" s="5">
        <v>2.5</v>
      </c>
      <c r="D140" s="8">
        <v>11.372779324882501</v>
      </c>
      <c r="E140" s="10">
        <v>5.18441775903747</v>
      </c>
      <c r="F140" s="8">
        <v>0.99997849310112696</v>
      </c>
      <c r="G140" s="10"/>
      <c r="H140" s="8">
        <v>9.4522134176573704</v>
      </c>
      <c r="I140" s="8">
        <v>0.99999792253963204</v>
      </c>
      <c r="J140" s="4">
        <f t="shared" si="9"/>
        <v>0.8311260728480746</v>
      </c>
      <c r="K140" s="16">
        <f t="shared" si="8"/>
        <v>8.7929253829105811E-2</v>
      </c>
      <c r="L140" s="16"/>
      <c r="N140" s="10"/>
      <c r="O140" s="10"/>
      <c r="P140" s="1"/>
      <c r="Q140" s="3"/>
      <c r="R140" s="3"/>
      <c r="S140" s="3"/>
      <c r="W140" s="15"/>
    </row>
    <row r="141" spans="1:23">
      <c r="A141" s="6">
        <f t="shared" si="7"/>
        <v>0.30000000000000004</v>
      </c>
      <c r="B141" s="6">
        <v>0.7</v>
      </c>
      <c r="C141" s="5">
        <v>3</v>
      </c>
      <c r="D141" s="8">
        <v>11.3718152610601</v>
      </c>
      <c r="E141" s="10">
        <v>6.2211431339541701</v>
      </c>
      <c r="F141" s="8">
        <v>0.99997757353290795</v>
      </c>
      <c r="G141" s="10"/>
      <c r="H141" s="8">
        <v>9.4619938923601907</v>
      </c>
      <c r="I141" s="8">
        <v>0.999997678515546</v>
      </c>
      <c r="J141" s="4">
        <f t="shared" si="9"/>
        <v>0.83205659563960666</v>
      </c>
      <c r="K141" s="16">
        <f t="shared" si="8"/>
        <v>8.793670817219891E-2</v>
      </c>
      <c r="L141" s="16"/>
      <c r="N141" s="10"/>
      <c r="O141" s="10"/>
      <c r="P141" s="1"/>
      <c r="Q141" s="3"/>
      <c r="R141" s="3"/>
      <c r="S141" s="3"/>
      <c r="W141" s="15"/>
    </row>
    <row r="142" spans="1:23">
      <c r="A142" s="6">
        <f t="shared" si="7"/>
        <v>0.19999999999999996</v>
      </c>
      <c r="B142" s="6">
        <v>0.8</v>
      </c>
      <c r="C142" s="5">
        <v>1</v>
      </c>
      <c r="D142" s="8">
        <v>10.690305120758399</v>
      </c>
      <c r="E142" s="10">
        <v>1.60619407743989</v>
      </c>
      <c r="F142" s="8">
        <v>0.99999095105077096</v>
      </c>
      <c r="G142" s="10"/>
      <c r="H142" s="8">
        <v>10.102267678421899</v>
      </c>
      <c r="I142" s="8">
        <v>0.99999519793041003</v>
      </c>
      <c r="J142" s="4">
        <f t="shared" si="9"/>
        <v>0.94499339020785755</v>
      </c>
      <c r="K142" s="16">
        <f t="shared" si="8"/>
        <v>9.3542699549164721E-2</v>
      </c>
      <c r="L142" s="16"/>
      <c r="N142" s="10"/>
      <c r="O142" s="10"/>
      <c r="P142" s="1"/>
      <c r="Q142" s="3"/>
      <c r="R142" s="3"/>
      <c r="S142" s="3"/>
      <c r="W142" s="15"/>
    </row>
    <row r="143" spans="1:23">
      <c r="A143" s="6">
        <f t="shared" si="7"/>
        <v>0.19999999999999996</v>
      </c>
      <c r="B143" s="6">
        <v>0.8</v>
      </c>
      <c r="C143" s="5">
        <v>1.5</v>
      </c>
      <c r="D143" s="8">
        <v>10.6842695223616</v>
      </c>
      <c r="E143" s="10">
        <v>2.4090190038856898</v>
      </c>
      <c r="F143" s="8">
        <v>0.99999030008567003</v>
      </c>
      <c r="G143" s="10"/>
      <c r="H143" s="8">
        <v>10.073041972166999</v>
      </c>
      <c r="I143" s="8">
        <v>0.99999724430894299</v>
      </c>
      <c r="J143" s="4">
        <f t="shared" si="9"/>
        <v>0.94279182597225442</v>
      </c>
      <c r="K143" s="16">
        <f t="shared" si="8"/>
        <v>9.3595542297679218E-2</v>
      </c>
      <c r="L143" s="16"/>
      <c r="N143" s="10"/>
      <c r="O143" s="10"/>
      <c r="P143" s="1"/>
      <c r="Q143" s="3"/>
      <c r="R143" s="3"/>
      <c r="S143" s="3"/>
      <c r="W143" s="15"/>
    </row>
    <row r="144" spans="1:23">
      <c r="A144" s="6">
        <f t="shared" si="7"/>
        <v>0.19999999999999996</v>
      </c>
      <c r="B144" s="6">
        <v>0.8</v>
      </c>
      <c r="C144" s="5">
        <v>2</v>
      </c>
      <c r="D144" s="8">
        <v>10.677751393192301</v>
      </c>
      <c r="E144" s="10">
        <v>3.2116333322953001</v>
      </c>
      <c r="F144" s="8">
        <v>0.99998964938923596</v>
      </c>
      <c r="G144" s="10"/>
      <c r="H144" s="8">
        <v>10.0607942795061</v>
      </c>
      <c r="I144" s="8">
        <v>0.99999819358044195</v>
      </c>
      <c r="J144" s="4">
        <f t="shared" si="9"/>
        <v>0.94222031484273483</v>
      </c>
      <c r="K144" s="16">
        <f t="shared" si="8"/>
        <v>9.3652676783387109E-2</v>
      </c>
      <c r="L144" s="16"/>
      <c r="N144" s="10"/>
      <c r="O144" s="10"/>
      <c r="P144" s="1"/>
      <c r="Q144" s="3"/>
      <c r="R144" s="3"/>
      <c r="S144" s="3"/>
      <c r="W144" s="15"/>
    </row>
    <row r="145" spans="1:23">
      <c r="A145" s="6">
        <f t="shared" si="7"/>
        <v>0.19999999999999996</v>
      </c>
      <c r="B145" s="6">
        <v>0.8</v>
      </c>
      <c r="C145" s="5">
        <v>2.5</v>
      </c>
      <c r="D145" s="8">
        <v>10.670588754683701</v>
      </c>
      <c r="E145" s="10">
        <v>4.0140029289745902</v>
      </c>
      <c r="F145" s="8">
        <v>0.99998902886464902</v>
      </c>
      <c r="G145" s="10"/>
      <c r="H145" s="8">
        <v>10.055578784224201</v>
      </c>
      <c r="I145" s="8">
        <v>0.99999871739851698</v>
      </c>
      <c r="J145" s="4">
        <f t="shared" si="9"/>
        <v>0.94236400777890061</v>
      </c>
      <c r="K145" s="16">
        <f t="shared" si="8"/>
        <v>9.3715541193644489E-2</v>
      </c>
      <c r="L145" s="16"/>
      <c r="N145" s="10"/>
      <c r="O145" s="10"/>
      <c r="P145" s="1"/>
      <c r="Q145" s="3"/>
      <c r="R145" s="3"/>
      <c r="S145" s="3"/>
      <c r="W145" s="15"/>
    </row>
    <row r="146" spans="1:23">
      <c r="A146" s="6">
        <f t="shared" si="7"/>
        <v>0.19999999999999996</v>
      </c>
      <c r="B146" s="6">
        <v>0.8</v>
      </c>
      <c r="C146" s="5">
        <v>3</v>
      </c>
      <c r="D146" s="8">
        <v>10.662874102820799</v>
      </c>
      <c r="E146" s="10">
        <v>4.8161068170557497</v>
      </c>
      <c r="F146" s="8">
        <v>0.99998844647285301</v>
      </c>
      <c r="G146" s="10"/>
      <c r="H146" s="8">
        <v>10.0538814969236</v>
      </c>
      <c r="I146" s="8">
        <v>0.99999903509440002</v>
      </c>
      <c r="J146" s="4">
        <f t="shared" si="9"/>
        <v>0.94288663637732584</v>
      </c>
      <c r="K146" s="16">
        <f t="shared" si="8"/>
        <v>9.378334493656415E-2</v>
      </c>
      <c r="L146" s="16"/>
      <c r="N146" s="10"/>
      <c r="O146" s="10"/>
      <c r="P146" s="1"/>
      <c r="Q146" s="3"/>
      <c r="R146" s="3"/>
      <c r="S146" s="3"/>
      <c r="W146" s="15"/>
    </row>
    <row r="147" spans="1:23">
      <c r="A147" s="6">
        <f t="shared" si="7"/>
        <v>9.9999999999999978E-2</v>
      </c>
      <c r="B147" s="6">
        <v>0.9</v>
      </c>
      <c r="C147" s="5">
        <v>1</v>
      </c>
      <c r="D147" s="8">
        <v>10.0430558455965</v>
      </c>
      <c r="E147" s="10">
        <v>1.2594664052720099</v>
      </c>
      <c r="F147" s="8">
        <v>0.99999819173195303</v>
      </c>
      <c r="G147" s="10"/>
      <c r="H147" s="8">
        <v>10.974948332553</v>
      </c>
      <c r="I147" s="8">
        <v>0.99999705830141905</v>
      </c>
      <c r="J147" s="4">
        <f t="shared" si="9"/>
        <v>1.0927897346468605</v>
      </c>
      <c r="K147" s="16">
        <f t="shared" si="8"/>
        <v>9.9571287402375849E-2</v>
      </c>
      <c r="L147" s="16"/>
      <c r="N147" s="10"/>
      <c r="O147" s="10"/>
      <c r="P147" s="1"/>
      <c r="Q147" s="3"/>
      <c r="R147" s="3"/>
      <c r="S147" s="3"/>
      <c r="W147" s="15"/>
    </row>
    <row r="148" spans="1:23">
      <c r="A148" s="6">
        <f t="shared" si="7"/>
        <v>9.9999999999999978E-2</v>
      </c>
      <c r="B148" s="6">
        <v>0.9</v>
      </c>
      <c r="C148" s="5">
        <v>1.5</v>
      </c>
      <c r="D148" s="8">
        <v>10.0143206304448</v>
      </c>
      <c r="E148" s="10">
        <v>1.8886583725216299</v>
      </c>
      <c r="F148" s="8">
        <v>0.99999811605245104</v>
      </c>
      <c r="G148" s="10"/>
      <c r="H148" s="8">
        <v>10.899773273241699</v>
      </c>
      <c r="I148" s="8">
        <v>0.99999787108518601</v>
      </c>
      <c r="J148" s="4">
        <f t="shared" si="9"/>
        <v>1.0884186432083083</v>
      </c>
      <c r="K148" s="16">
        <f t="shared" si="8"/>
        <v>9.985699848274017E-2</v>
      </c>
      <c r="L148" s="16"/>
      <c r="N148" s="10"/>
      <c r="O148" s="10"/>
      <c r="P148" s="1"/>
      <c r="Q148" s="3"/>
      <c r="R148" s="3"/>
      <c r="S148" s="3"/>
      <c r="W148" s="15"/>
    </row>
    <row r="149" spans="1:23">
      <c r="A149" s="6">
        <f t="shared" si="7"/>
        <v>9.9999999999999978E-2</v>
      </c>
      <c r="B149" s="6">
        <v>0.9</v>
      </c>
      <c r="C149" s="5">
        <v>2</v>
      </c>
      <c r="D149" s="8">
        <v>9.9906200609445701</v>
      </c>
      <c r="E149" s="10">
        <v>2.5176145509355399</v>
      </c>
      <c r="F149" s="8">
        <v>0.99999811411835304</v>
      </c>
      <c r="G149" s="10"/>
      <c r="H149" s="8">
        <v>10.8576153134603</v>
      </c>
      <c r="I149" s="8">
        <v>0.99999840251947802</v>
      </c>
      <c r="J149" s="4">
        <f t="shared" si="9"/>
        <v>1.0867809252305567</v>
      </c>
      <c r="K149" s="16">
        <f t="shared" si="8"/>
        <v>0.10009388745641623</v>
      </c>
      <c r="L149" s="16"/>
      <c r="N149" s="10"/>
      <c r="O149" s="10"/>
      <c r="P149" s="1"/>
      <c r="Q149" s="3"/>
      <c r="R149" s="3"/>
      <c r="S149" s="3"/>
      <c r="W149" s="15"/>
    </row>
    <row r="150" spans="1:23">
      <c r="A150" s="6">
        <f t="shared" si="7"/>
        <v>9.9999999999999978E-2</v>
      </c>
      <c r="B150" s="6">
        <v>0.9</v>
      </c>
      <c r="C150" s="5">
        <v>2.5</v>
      </c>
      <c r="D150" s="8">
        <v>9.9696932826878708</v>
      </c>
      <c r="E150" s="10">
        <v>3.1463583789271299</v>
      </c>
      <c r="F150" s="8">
        <v>0.999998145305244</v>
      </c>
      <c r="G150" s="10"/>
      <c r="H150" s="8">
        <v>10.8307743245705</v>
      </c>
      <c r="I150" s="8">
        <v>0.99999876072289595</v>
      </c>
      <c r="J150" s="4">
        <f t="shared" si="9"/>
        <v>1.0863698628901528</v>
      </c>
      <c r="K150" s="16">
        <f t="shared" si="8"/>
        <v>0.10030398846236079</v>
      </c>
      <c r="L150" s="16"/>
      <c r="N150" s="10"/>
      <c r="O150" s="10"/>
      <c r="P150" s="1"/>
      <c r="Q150" s="3"/>
      <c r="R150" s="3"/>
      <c r="S150" s="3"/>
      <c r="W150" s="15"/>
    </row>
    <row r="151" spans="1:23">
      <c r="A151" s="6">
        <f t="shared" si="7"/>
        <v>9.9999999999999978E-2</v>
      </c>
      <c r="B151" s="6">
        <v>0.9</v>
      </c>
      <c r="C151" s="5">
        <v>3</v>
      </c>
      <c r="D151" s="8">
        <v>9.9508307229625697</v>
      </c>
      <c r="E151" s="10">
        <v>3.7749151004658201</v>
      </c>
      <c r="F151" s="8">
        <v>0.99999819264529199</v>
      </c>
      <c r="G151" s="10"/>
      <c r="H151" s="8">
        <v>10.812316183572401</v>
      </c>
      <c r="I151" s="8">
        <v>0.99999901261050805</v>
      </c>
      <c r="J151" s="4">
        <f t="shared" si="9"/>
        <v>1.0865742252676316</v>
      </c>
      <c r="K151" s="16">
        <f t="shared" si="8"/>
        <v>0.10049412233416821</v>
      </c>
      <c r="L151" s="16"/>
      <c r="N151" s="10"/>
      <c r="O151" s="10"/>
      <c r="P151" s="1"/>
      <c r="Q151" s="3"/>
      <c r="R151" s="3"/>
      <c r="S151" s="3"/>
      <c r="W151" s="15"/>
    </row>
    <row r="152" spans="1:23">
      <c r="A152" s="6">
        <f t="shared" si="7"/>
        <v>0.5</v>
      </c>
      <c r="B152" s="6">
        <v>0.5</v>
      </c>
      <c r="C152" s="5">
        <v>1</v>
      </c>
      <c r="D152" s="8">
        <v>12.8243471967674</v>
      </c>
      <c r="E152" s="10">
        <v>3.58110976540463</v>
      </c>
      <c r="F152" s="8">
        <v>0.99996388883980603</v>
      </c>
      <c r="G152" s="10"/>
      <c r="H152" s="8">
        <v>8.3223276320634394</v>
      </c>
      <c r="I152" s="8">
        <v>0.99998739933094605</v>
      </c>
      <c r="J152" s="4">
        <f t="shared" si="9"/>
        <v>0.64894746721776431</v>
      </c>
      <c r="K152" s="16">
        <f t="shared" si="8"/>
        <v>7.7976678629853954E-2</v>
      </c>
      <c r="L152" s="16"/>
      <c r="N152" s="10"/>
      <c r="O152" s="10"/>
      <c r="P152" s="1"/>
      <c r="Q152" s="3"/>
      <c r="R152" s="3"/>
      <c r="S152" s="3"/>
      <c r="W152" s="15"/>
    </row>
    <row r="153" spans="1:23">
      <c r="A153" s="6">
        <f t="shared" si="7"/>
        <v>0.5</v>
      </c>
      <c r="B153" s="6">
        <v>0.5</v>
      </c>
      <c r="C153" s="5">
        <v>1.5</v>
      </c>
      <c r="D153" s="8">
        <v>12.824345016640301</v>
      </c>
      <c r="E153" s="10">
        <v>5.3716640802688698</v>
      </c>
      <c r="F153" s="8">
        <v>0.99996300314198705</v>
      </c>
      <c r="G153" s="10"/>
      <c r="H153" s="8">
        <v>8.3232638232802998</v>
      </c>
      <c r="I153" s="8">
        <v>0.99998856304345796</v>
      </c>
      <c r="J153" s="4">
        <f t="shared" si="9"/>
        <v>0.64902057863231233</v>
      </c>
      <c r="K153" s="16">
        <f t="shared" si="8"/>
        <v>7.7976691885819072E-2</v>
      </c>
      <c r="L153" s="16"/>
      <c r="N153" s="10"/>
      <c r="O153" s="10"/>
      <c r="P153" s="1"/>
      <c r="Q153" s="3"/>
      <c r="R153" s="3"/>
      <c r="S153" s="3"/>
      <c r="W153" s="15"/>
    </row>
    <row r="154" spans="1:23">
      <c r="A154" s="6">
        <f t="shared" si="7"/>
        <v>0.5</v>
      </c>
      <c r="B154" s="6">
        <v>0.5</v>
      </c>
      <c r="C154" s="5">
        <v>2</v>
      </c>
      <c r="D154" s="8">
        <v>12.824342120911499</v>
      </c>
      <c r="E154" s="10">
        <v>7.1622181350044096</v>
      </c>
      <c r="F154" s="8">
        <v>0.99996219125591002</v>
      </c>
      <c r="G154" s="10"/>
      <c r="H154" s="8">
        <v>8.3236065973099294</v>
      </c>
      <c r="I154" s="8">
        <v>0.999989260602965</v>
      </c>
      <c r="J154" s="4">
        <f t="shared" si="9"/>
        <v>0.64904745357170202</v>
      </c>
      <c r="K154" s="16">
        <f t="shared" si="8"/>
        <v>7.7976709492909593E-2</v>
      </c>
      <c r="L154" s="16"/>
      <c r="N154" s="10"/>
      <c r="O154" s="10"/>
      <c r="P154" s="1"/>
      <c r="Q154" s="3"/>
      <c r="R154" s="3"/>
      <c r="S154" s="3"/>
      <c r="W154" s="15"/>
    </row>
    <row r="155" spans="1:23">
      <c r="A155" s="6">
        <f t="shared" si="7"/>
        <v>0.5</v>
      </c>
      <c r="B155" s="6">
        <v>0.5</v>
      </c>
      <c r="C155" s="5">
        <v>2.5</v>
      </c>
      <c r="D155" s="8">
        <v>12.824338451545101</v>
      </c>
      <c r="E155" s="10">
        <v>8.9527713790959993</v>
      </c>
      <c r="F155" s="8">
        <v>0.99996144385456998</v>
      </c>
      <c r="G155" s="10"/>
      <c r="H155" s="8">
        <v>8.3237690207201496</v>
      </c>
      <c r="I155" s="8">
        <v>0.99998973310162398</v>
      </c>
      <c r="J155" s="4">
        <f t="shared" si="9"/>
        <v>0.64906030452723162</v>
      </c>
      <c r="K155" s="16">
        <f t="shared" si="8"/>
        <v>7.7976731804011157E-2</v>
      </c>
      <c r="L155" s="16"/>
      <c r="N155" s="10"/>
      <c r="O155" s="10"/>
      <c r="P155" s="1"/>
      <c r="Q155" s="3"/>
      <c r="R155" s="3"/>
      <c r="S155" s="3"/>
      <c r="W155" s="15"/>
    </row>
    <row r="156" spans="1:23">
      <c r="A156" s="6">
        <f t="shared" si="7"/>
        <v>0.5</v>
      </c>
      <c r="B156" s="6">
        <v>0.5</v>
      </c>
      <c r="C156" s="5">
        <v>3</v>
      </c>
      <c r="D156" s="8">
        <v>12.8243340108809</v>
      </c>
      <c r="E156" s="10">
        <v>10.7433237709773</v>
      </c>
      <c r="F156" s="8">
        <v>0.99996074896295195</v>
      </c>
      <c r="G156" s="10"/>
      <c r="H156" s="8">
        <v>8.3238585609828792</v>
      </c>
      <c r="I156" s="8">
        <v>0.999990078587362</v>
      </c>
      <c r="J156" s="4">
        <f t="shared" si="9"/>
        <v>0.64906751133590568</v>
      </c>
      <c r="K156" s="16">
        <f t="shared" si="8"/>
        <v>7.7976758804905011E-2</v>
      </c>
      <c r="L156" s="16"/>
      <c r="N156" s="10"/>
      <c r="O156" s="10"/>
      <c r="P156" s="1"/>
      <c r="Q156" s="3"/>
      <c r="R156" s="3"/>
      <c r="S156" s="3"/>
      <c r="W156" s="15"/>
    </row>
    <row r="157" spans="1:23">
      <c r="A157" s="6">
        <f t="shared" si="7"/>
        <v>0.4</v>
      </c>
      <c r="B157" s="6">
        <v>0.6</v>
      </c>
      <c r="C157" s="5">
        <v>1</v>
      </c>
      <c r="D157" s="8">
        <v>12.0929167691933</v>
      </c>
      <c r="E157" s="10">
        <v>2.7102691737868501</v>
      </c>
      <c r="F157" s="8">
        <v>0.99997184827027796</v>
      </c>
      <c r="G157" s="10"/>
      <c r="H157" s="8">
        <v>8.86753095667342</v>
      </c>
      <c r="I157" s="8">
        <v>0.99999287832037398</v>
      </c>
      <c r="J157" s="4">
        <f t="shared" si="9"/>
        <v>0.73328305535546656</v>
      </c>
      <c r="K157" s="16">
        <f t="shared" si="8"/>
        <v>8.2693035856121949E-2</v>
      </c>
      <c r="L157" s="16"/>
      <c r="N157" s="10"/>
      <c r="O157" s="10"/>
      <c r="P157" s="1"/>
      <c r="Q157" s="3"/>
      <c r="R157" s="3"/>
      <c r="S157" s="3"/>
      <c r="W157" s="15"/>
    </row>
    <row r="158" spans="1:23">
      <c r="A158" s="6">
        <f t="shared" si="7"/>
        <v>0.4</v>
      </c>
      <c r="B158" s="6">
        <v>0.6</v>
      </c>
      <c r="C158" s="5">
        <v>1.5</v>
      </c>
      <c r="D158" s="8">
        <v>12.092878780585201</v>
      </c>
      <c r="E158" s="10">
        <v>4.0653986362753001</v>
      </c>
      <c r="F158" s="8">
        <v>0.99997090727592197</v>
      </c>
      <c r="G158" s="10"/>
      <c r="H158" s="8">
        <v>8.8816433348113293</v>
      </c>
      <c r="I158" s="8">
        <v>0.99999259283721997</v>
      </c>
      <c r="J158" s="4">
        <f t="shared" si="9"/>
        <v>0.7344523579505795</v>
      </c>
      <c r="K158" s="16">
        <f t="shared" si="8"/>
        <v>8.269329562828942E-2</v>
      </c>
      <c r="L158" s="16"/>
      <c r="N158" s="10"/>
      <c r="O158" s="10"/>
      <c r="P158" s="1"/>
      <c r="Q158" s="3"/>
      <c r="R158" s="3"/>
      <c r="S158" s="3"/>
      <c r="W158" s="15"/>
    </row>
    <row r="159" spans="1:23">
      <c r="A159" s="6">
        <f t="shared" si="7"/>
        <v>0.4</v>
      </c>
      <c r="B159" s="6">
        <v>0.6</v>
      </c>
      <c r="C159" s="5">
        <v>2</v>
      </c>
      <c r="D159" s="8">
        <v>12.0928304042131</v>
      </c>
      <c r="E159" s="10">
        <v>5.4205228662112299</v>
      </c>
      <c r="F159" s="8">
        <v>0.99996999733224001</v>
      </c>
      <c r="G159" s="10"/>
      <c r="H159" s="8">
        <v>8.8882163840791293</v>
      </c>
      <c r="I159" s="8">
        <v>0.99999274142274697</v>
      </c>
      <c r="J159" s="4">
        <f t="shared" si="9"/>
        <v>0.73499884534744697</v>
      </c>
      <c r="K159" s="16">
        <f t="shared" si="8"/>
        <v>8.2693626436008194E-2</v>
      </c>
      <c r="L159" s="16"/>
      <c r="N159" s="10"/>
      <c r="O159" s="10"/>
      <c r="P159" s="1"/>
      <c r="Q159" s="3"/>
      <c r="R159" s="3"/>
      <c r="S159" s="3"/>
      <c r="W159" s="15"/>
    </row>
    <row r="160" spans="1:23">
      <c r="A160" s="6">
        <f t="shared" si="7"/>
        <v>0.4</v>
      </c>
      <c r="B160" s="6">
        <v>0.6</v>
      </c>
      <c r="C160" s="5">
        <v>2.5</v>
      </c>
      <c r="D160" s="8">
        <v>12.0927700437115</v>
      </c>
      <c r="E160" s="10">
        <v>6.7756400522849596</v>
      </c>
      <c r="F160" s="8">
        <v>0.99996913080747796</v>
      </c>
      <c r="G160" s="10"/>
      <c r="H160" s="8">
        <v>8.8917757983076093</v>
      </c>
      <c r="I160" s="8">
        <v>0.999992977147517</v>
      </c>
      <c r="J160" s="4">
        <f t="shared" si="9"/>
        <v>0.73529685639987208</v>
      </c>
      <c r="K160" s="16">
        <f t="shared" si="8"/>
        <v>8.2694039197414609E-2</v>
      </c>
      <c r="L160" s="16"/>
      <c r="N160" s="10"/>
      <c r="O160" s="10"/>
      <c r="P160" s="1"/>
      <c r="Q160" s="3"/>
      <c r="R160" s="3"/>
      <c r="S160" s="3"/>
      <c r="W160" s="15"/>
    </row>
    <row r="161" spans="1:23">
      <c r="A161" s="6">
        <f t="shared" si="7"/>
        <v>0.4</v>
      </c>
      <c r="B161" s="6">
        <v>0.6</v>
      </c>
      <c r="C161" s="5">
        <v>3</v>
      </c>
      <c r="D161" s="8">
        <v>12.0926974794603</v>
      </c>
      <c r="E161" s="10">
        <v>8.1307485445678704</v>
      </c>
      <c r="F161" s="8">
        <v>0.999968304340349</v>
      </c>
      <c r="G161" s="10"/>
      <c r="H161" s="8">
        <v>8.8939120912135703</v>
      </c>
      <c r="I161" s="8">
        <v>0.99999321209931102</v>
      </c>
      <c r="J161" s="4">
        <f t="shared" si="9"/>
        <v>0.73547792842085613</v>
      </c>
      <c r="K161" s="16">
        <f t="shared" si="8"/>
        <v>8.26945354168101E-2</v>
      </c>
      <c r="L161" s="16"/>
      <c r="N161" s="10"/>
      <c r="O161" s="10"/>
      <c r="P161" s="1"/>
      <c r="Q161" s="3"/>
      <c r="R161" s="3"/>
      <c r="S161" s="3"/>
      <c r="W161" s="15"/>
    </row>
    <row r="162" spans="1:23">
      <c r="A162" s="6">
        <f t="shared" si="7"/>
        <v>0.30000000000000004</v>
      </c>
      <c r="B162" s="6">
        <v>0.7</v>
      </c>
      <c r="C162" s="5">
        <v>1</v>
      </c>
      <c r="D162" s="8">
        <v>11.3779235330407</v>
      </c>
      <c r="E162" s="10">
        <v>2.07404846528408</v>
      </c>
      <c r="F162" s="8">
        <v>0.99998168427557199</v>
      </c>
      <c r="G162" s="10"/>
      <c r="H162" s="8">
        <v>9.4002488591920592</v>
      </c>
      <c r="I162" s="8">
        <v>0.99999804699245098</v>
      </c>
      <c r="J162" s="4">
        <f t="shared" si="9"/>
        <v>0.82618316355303223</v>
      </c>
      <c r="K162" s="16">
        <f t="shared" si="8"/>
        <v>8.7889499089712581E-2</v>
      </c>
      <c r="L162" s="16"/>
      <c r="N162" s="10"/>
      <c r="O162" s="10"/>
      <c r="P162" s="1"/>
      <c r="Q162" s="3"/>
      <c r="R162" s="3"/>
      <c r="S162" s="3"/>
      <c r="W162" s="15"/>
    </row>
    <row r="163" spans="1:23">
      <c r="A163" s="6">
        <f t="shared" si="7"/>
        <v>0.30000000000000004</v>
      </c>
      <c r="B163" s="6">
        <v>0.7</v>
      </c>
      <c r="C163" s="5">
        <v>1.5</v>
      </c>
      <c r="D163" s="8">
        <v>11.377361653303099</v>
      </c>
      <c r="E163" s="10">
        <v>3.1110266251728098</v>
      </c>
      <c r="F163" s="8">
        <v>0.99998077189619505</v>
      </c>
      <c r="G163" s="10"/>
      <c r="H163" s="8">
        <v>9.4129169882723698</v>
      </c>
      <c r="I163" s="8">
        <v>0.99999856643822405</v>
      </c>
      <c r="J163" s="4">
        <f t="shared" si="9"/>
        <v>0.82733741574784103</v>
      </c>
      <c r="K163" s="16">
        <f t="shared" si="8"/>
        <v>8.7893839580082081E-2</v>
      </c>
      <c r="L163" s="16"/>
      <c r="N163" s="10"/>
      <c r="O163" s="10"/>
      <c r="P163" s="1"/>
      <c r="Q163" s="3"/>
      <c r="R163" s="3"/>
      <c r="S163" s="3"/>
      <c r="W163" s="15"/>
    </row>
    <row r="164" spans="1:23">
      <c r="A164" s="6">
        <f t="shared" si="7"/>
        <v>0.30000000000000004</v>
      </c>
      <c r="B164" s="6">
        <v>0.7</v>
      </c>
      <c r="C164" s="5">
        <v>2</v>
      </c>
      <c r="D164" s="8">
        <v>11.3766803661727</v>
      </c>
      <c r="E164" s="10">
        <v>4.1479609754392399</v>
      </c>
      <c r="F164" s="8">
        <v>0.99997983675566804</v>
      </c>
      <c r="G164" s="10"/>
      <c r="H164" s="8">
        <v>9.4269564571962299</v>
      </c>
      <c r="I164" s="8">
        <v>0.99999845723321101</v>
      </c>
      <c r="J164" s="4">
        <f t="shared" si="9"/>
        <v>0.82862101718408487</v>
      </c>
      <c r="K164" s="16">
        <f t="shared" si="8"/>
        <v>8.7899103061152117E-2</v>
      </c>
      <c r="L164" s="16"/>
      <c r="N164" s="10"/>
      <c r="O164" s="10"/>
      <c r="P164" s="1"/>
      <c r="Q164" s="3"/>
      <c r="R164" s="3"/>
      <c r="S164" s="3"/>
      <c r="W164" s="15"/>
    </row>
    <row r="165" spans="1:23">
      <c r="A165" s="6">
        <f t="shared" si="7"/>
        <v>0.30000000000000004</v>
      </c>
      <c r="B165" s="6">
        <v>0.7</v>
      </c>
      <c r="C165" s="5">
        <v>2.5</v>
      </c>
      <c r="D165" s="8">
        <v>11.3758589510023</v>
      </c>
      <c r="E165" s="10">
        <v>5.1848388859401098</v>
      </c>
      <c r="F165" s="8">
        <v>0.99997891494729096</v>
      </c>
      <c r="G165" s="10"/>
      <c r="H165" s="8">
        <v>9.4392762233024801</v>
      </c>
      <c r="I165" s="8">
        <v>0.99999819669566803</v>
      </c>
      <c r="J165" s="4">
        <f t="shared" si="9"/>
        <v>0.82976382389751835</v>
      </c>
      <c r="K165" s="16">
        <f t="shared" si="8"/>
        <v>8.790544998027533E-2</v>
      </c>
      <c r="L165" s="16"/>
      <c r="N165" s="10"/>
      <c r="O165" s="10"/>
      <c r="P165" s="1"/>
      <c r="Q165" s="3"/>
      <c r="R165" s="3"/>
      <c r="S165" s="3"/>
      <c r="W165" s="15"/>
    </row>
    <row r="166" spans="1:23">
      <c r="A166" s="6">
        <f t="shared" si="7"/>
        <v>0.30000000000000004</v>
      </c>
      <c r="B166" s="6">
        <v>0.7</v>
      </c>
      <c r="C166" s="5">
        <v>3</v>
      </c>
      <c r="D166" s="8">
        <v>11.374899659637901</v>
      </c>
      <c r="E166" s="10">
        <v>6.2216492966481303</v>
      </c>
      <c r="F166" s="8">
        <v>0.99997801412962295</v>
      </c>
      <c r="G166" s="10"/>
      <c r="H166" s="8">
        <v>9.4495155708296608</v>
      </c>
      <c r="I166" s="8">
        <v>0.99999792992942704</v>
      </c>
      <c r="J166" s="4">
        <f t="shared" si="9"/>
        <v>0.83073397160238938</v>
      </c>
      <c r="K166" s="16">
        <f t="shared" si="8"/>
        <v>8.7912863402949196E-2</v>
      </c>
      <c r="L166" s="16"/>
      <c r="N166" s="10"/>
      <c r="O166" s="10"/>
      <c r="P166" s="1"/>
      <c r="Q166" s="3"/>
      <c r="R166" s="3"/>
      <c r="S166" s="3"/>
      <c r="W166" s="15"/>
    </row>
    <row r="167" spans="1:23">
      <c r="A167" s="6">
        <f t="shared" si="7"/>
        <v>0.19999999999999996</v>
      </c>
      <c r="B167" s="6">
        <v>0.8</v>
      </c>
      <c r="C167" s="5">
        <v>1</v>
      </c>
      <c r="D167" s="8">
        <v>10.692332453278301</v>
      </c>
      <c r="E167" s="10">
        <v>1.60625499298952</v>
      </c>
      <c r="F167" s="8">
        <v>0.99999108967473205</v>
      </c>
      <c r="G167" s="10"/>
      <c r="H167" s="8">
        <v>10.099433868017501</v>
      </c>
      <c r="I167" s="8">
        <v>0.99999521777877898</v>
      </c>
      <c r="J167" s="4">
        <f t="shared" si="9"/>
        <v>0.94454918158862378</v>
      </c>
      <c r="K167" s="16">
        <f t="shared" si="8"/>
        <v>9.3524963273415335E-2</v>
      </c>
      <c r="L167" s="16"/>
      <c r="N167" s="10"/>
      <c r="O167" s="10"/>
      <c r="P167" s="1"/>
      <c r="Q167" s="3"/>
      <c r="R167" s="3"/>
      <c r="S167" s="3"/>
      <c r="W167" s="15"/>
    </row>
    <row r="168" spans="1:23">
      <c r="A168" s="6">
        <f t="shared" si="7"/>
        <v>0.19999999999999996</v>
      </c>
      <c r="B168" s="6">
        <v>0.8</v>
      </c>
      <c r="C168" s="5">
        <v>1.5</v>
      </c>
      <c r="D168" s="8">
        <v>10.6863534410023</v>
      </c>
      <c r="E168" s="10">
        <v>2.40911297038808</v>
      </c>
      <c r="F168" s="8">
        <v>0.99999045699295497</v>
      </c>
      <c r="G168" s="10"/>
      <c r="H168" s="8">
        <v>10.069217243673</v>
      </c>
      <c r="I168" s="8">
        <v>0.99999725534134898</v>
      </c>
      <c r="J168" s="4">
        <f t="shared" si="9"/>
        <v>0.94225006680375933</v>
      </c>
      <c r="K168" s="16">
        <f t="shared" si="8"/>
        <v>9.3577290468712729E-2</v>
      </c>
      <c r="L168" s="16"/>
      <c r="N168" s="10"/>
      <c r="O168" s="10"/>
      <c r="P168" s="1"/>
      <c r="Q168" s="3"/>
      <c r="R168" s="3"/>
      <c r="S168" s="3"/>
      <c r="W168" s="15"/>
    </row>
    <row r="169" spans="1:23">
      <c r="A169" s="6">
        <f t="shared" si="7"/>
        <v>0.19999999999999996</v>
      </c>
      <c r="B169" s="6">
        <v>0.8</v>
      </c>
      <c r="C169" s="5">
        <v>2</v>
      </c>
      <c r="D169" s="8">
        <v>10.6798776666749</v>
      </c>
      <c r="E169" s="10">
        <v>3.2117612295650102</v>
      </c>
      <c r="F169" s="8">
        <v>0.99998982287718097</v>
      </c>
      <c r="G169" s="10"/>
      <c r="H169" s="8">
        <v>10.0560171251112</v>
      </c>
      <c r="I169" s="8">
        <v>0.999998199766577</v>
      </c>
      <c r="J169" s="4">
        <f t="shared" si="9"/>
        <v>0.94158542250812749</v>
      </c>
      <c r="K169" s="16">
        <f t="shared" si="8"/>
        <v>9.3634031326066916E-2</v>
      </c>
      <c r="L169" s="16"/>
      <c r="N169" s="10"/>
      <c r="O169" s="10"/>
      <c r="P169" s="1"/>
      <c r="Q169" s="3"/>
      <c r="R169" s="3"/>
      <c r="S169" s="3"/>
      <c r="W169" s="15"/>
    </row>
    <row r="170" spans="1:23">
      <c r="A170" s="6">
        <f t="shared" si="7"/>
        <v>0.19999999999999996</v>
      </c>
      <c r="B170" s="6">
        <v>0.8</v>
      </c>
      <c r="C170" s="5">
        <v>2.5</v>
      </c>
      <c r="D170" s="8">
        <v>10.6727540515462</v>
      </c>
      <c r="E170" s="10">
        <v>4.0141658219633696</v>
      </c>
      <c r="F170" s="8">
        <v>0.99998921799008</v>
      </c>
      <c r="G170" s="10"/>
      <c r="H170" s="8">
        <v>10.049911596190899</v>
      </c>
      <c r="I170" s="8">
        <v>0.99999872262849798</v>
      </c>
      <c r="J170" s="4">
        <f t="shared" si="9"/>
        <v>0.94164182437380661</v>
      </c>
      <c r="K170" s="16">
        <f t="shared" si="8"/>
        <v>9.3696528109829952E-2</v>
      </c>
      <c r="L170" s="16"/>
      <c r="N170" s="10"/>
      <c r="O170" s="10"/>
      <c r="P170" s="1"/>
      <c r="Q170" s="3"/>
      <c r="R170" s="3"/>
      <c r="S170" s="3"/>
      <c r="W170" s="15"/>
    </row>
    <row r="171" spans="1:23">
      <c r="A171" s="6">
        <f t="shared" si="7"/>
        <v>0.19999999999999996</v>
      </c>
      <c r="B171" s="6">
        <v>0.8</v>
      </c>
      <c r="C171" s="5">
        <v>3</v>
      </c>
      <c r="D171" s="8">
        <v>10.665078283405199</v>
      </c>
      <c r="E171" s="10">
        <v>4.8163059147089902</v>
      </c>
      <c r="F171" s="8">
        <v>0.99998865058639796</v>
      </c>
      <c r="G171" s="10"/>
      <c r="H171" s="8">
        <v>10.0474016279704</v>
      </c>
      <c r="I171" s="8">
        <v>0.99999904235502202</v>
      </c>
      <c r="J171" s="4">
        <f t="shared" si="9"/>
        <v>0.94208418925570381</v>
      </c>
      <c r="K171" s="16">
        <f t="shared" si="8"/>
        <v>9.3763962478924726E-2</v>
      </c>
      <c r="L171" s="16"/>
      <c r="N171" s="10"/>
      <c r="O171" s="10"/>
      <c r="P171" s="1"/>
      <c r="Q171" s="3"/>
      <c r="R171" s="3"/>
      <c r="S171" s="3"/>
      <c r="W171" s="15"/>
    </row>
    <row r="172" spans="1:23">
      <c r="A172" s="6">
        <f t="shared" si="7"/>
        <v>9.9999999999999978E-2</v>
      </c>
      <c r="B172" s="6">
        <v>0.9</v>
      </c>
      <c r="C172" s="5">
        <v>1</v>
      </c>
      <c r="D172" s="8">
        <v>10.0438865123994</v>
      </c>
      <c r="E172" s="10">
        <v>1.25947682219688</v>
      </c>
      <c r="F172" s="8">
        <v>0.99999820916708704</v>
      </c>
      <c r="G172" s="10"/>
      <c r="H172" s="8">
        <v>10.9741899194754</v>
      </c>
      <c r="I172" s="8">
        <v>0.99999705571027597</v>
      </c>
      <c r="J172" s="4">
        <f t="shared" si="9"/>
        <v>1.0926238469468488</v>
      </c>
      <c r="K172" s="16">
        <f t="shared" si="8"/>
        <v>9.9563052486253995E-2</v>
      </c>
      <c r="L172" s="16"/>
      <c r="N172" s="10"/>
      <c r="O172" s="10"/>
      <c r="P172" s="1"/>
      <c r="Q172" s="3"/>
      <c r="R172" s="3"/>
      <c r="S172" s="3"/>
      <c r="W172" s="15"/>
    </row>
    <row r="173" spans="1:23">
      <c r="A173" s="6">
        <f t="shared" si="7"/>
        <v>9.9999999999999978E-2</v>
      </c>
      <c r="B173" s="6">
        <v>0.9</v>
      </c>
      <c r="C173" s="5">
        <v>1.5</v>
      </c>
      <c r="D173" s="8">
        <v>10.015315320115301</v>
      </c>
      <c r="E173" s="10">
        <v>1.88867713152437</v>
      </c>
      <c r="F173" s="8">
        <v>0.99999813898003298</v>
      </c>
      <c r="G173" s="10"/>
      <c r="H173" s="8">
        <v>10.8987507273246</v>
      </c>
      <c r="I173" s="8">
        <v>0.99999786860110995</v>
      </c>
      <c r="J173" s="4">
        <f t="shared" si="9"/>
        <v>1.088208446661181</v>
      </c>
      <c r="K173" s="16">
        <f t="shared" si="8"/>
        <v>9.9847080999191901E-2</v>
      </c>
      <c r="L173" s="16"/>
      <c r="N173" s="10"/>
      <c r="O173" s="10"/>
      <c r="P173" s="1"/>
      <c r="Q173" s="3"/>
      <c r="R173" s="3"/>
      <c r="S173" s="3"/>
      <c r="W173" s="15"/>
    </row>
    <row r="174" spans="1:23">
      <c r="A174" s="6">
        <f t="shared" si="7"/>
        <v>9.9999999999999978E-2</v>
      </c>
      <c r="B174" s="6">
        <v>0.9</v>
      </c>
      <c r="C174" s="5">
        <v>2</v>
      </c>
      <c r="D174" s="8">
        <v>9.9917555934084792</v>
      </c>
      <c r="E174" s="10">
        <v>2.5176431649322599</v>
      </c>
      <c r="F174" s="8">
        <v>0.99999814154378797</v>
      </c>
      <c r="G174" s="10"/>
      <c r="H174" s="8">
        <v>10.856358947151</v>
      </c>
      <c r="I174" s="8">
        <v>0.99999839993266504</v>
      </c>
      <c r="J174" s="4">
        <f t="shared" si="9"/>
        <v>1.0865316756059262</v>
      </c>
      <c r="K174" s="16">
        <f t="shared" si="8"/>
        <v>0.10008251209223892</v>
      </c>
      <c r="L174" s="16"/>
      <c r="N174" s="10"/>
      <c r="O174" s="10"/>
      <c r="P174" s="1"/>
      <c r="Q174" s="3"/>
      <c r="R174" s="3"/>
      <c r="S174" s="3"/>
      <c r="W174" s="15"/>
    </row>
    <row r="175" spans="1:23">
      <c r="A175" s="6">
        <f t="shared" si="7"/>
        <v>9.9999999999999978E-2</v>
      </c>
      <c r="B175" s="6">
        <v>0.9</v>
      </c>
      <c r="C175" s="5">
        <v>2.5</v>
      </c>
      <c r="D175" s="8">
        <v>9.9709598771352201</v>
      </c>
      <c r="E175" s="10">
        <v>3.14639834905697</v>
      </c>
      <c r="F175" s="8">
        <v>0.99999817659915702</v>
      </c>
      <c r="G175" s="10"/>
      <c r="H175" s="8">
        <v>10.8293030897037</v>
      </c>
      <c r="I175" s="8">
        <v>0.999998757925883</v>
      </c>
      <c r="J175" s="4">
        <f t="shared" si="9"/>
        <v>1.0860843111541125</v>
      </c>
      <c r="K175" s="16">
        <f t="shared" si="8"/>
        <v>0.10029124701355356</v>
      </c>
      <c r="L175" s="16"/>
      <c r="N175" s="10"/>
      <c r="O175" s="10"/>
      <c r="P175" s="1"/>
      <c r="Q175" s="3"/>
      <c r="R175" s="3"/>
      <c r="S175" s="3"/>
      <c r="W175" s="15"/>
    </row>
    <row r="176" spans="1:23">
      <c r="A176" s="6">
        <f t="shared" si="7"/>
        <v>9.9999999999999978E-2</v>
      </c>
      <c r="B176" s="6">
        <v>0.9</v>
      </c>
      <c r="C176" s="5">
        <v>3</v>
      </c>
      <c r="D176" s="8">
        <v>9.9522234459026908</v>
      </c>
      <c r="E176" s="10">
        <v>3.7749679311693298</v>
      </c>
      <c r="F176" s="8">
        <v>0.99999822736543098</v>
      </c>
      <c r="G176" s="10"/>
      <c r="H176" s="8">
        <v>10.810643518345501</v>
      </c>
      <c r="I176" s="8">
        <v>0.99999900956719701</v>
      </c>
      <c r="J176" s="4">
        <f t="shared" si="9"/>
        <v>1.0862540996098937</v>
      </c>
      <c r="K176" s="16">
        <f t="shared" si="8"/>
        <v>0.10048005909791925</v>
      </c>
      <c r="L176" s="16"/>
      <c r="N176" s="10"/>
      <c r="O176" s="10"/>
      <c r="P176" s="1"/>
      <c r="Q176" s="3"/>
      <c r="R176" s="3"/>
      <c r="S176" s="3"/>
      <c r="W176" s="15"/>
    </row>
    <row r="177" spans="1:23">
      <c r="A177" s="6">
        <f t="shared" si="7"/>
        <v>0.5</v>
      </c>
      <c r="B177" s="6">
        <v>0.5</v>
      </c>
      <c r="C177" s="5">
        <v>1</v>
      </c>
      <c r="D177" s="8">
        <v>12.8277537052755</v>
      </c>
      <c r="E177" s="10">
        <v>3.5815853557282802</v>
      </c>
      <c r="F177" s="8">
        <v>0.99996463870371299</v>
      </c>
      <c r="G177" s="10"/>
      <c r="H177" s="8">
        <v>8.3180748677608296</v>
      </c>
      <c r="I177" s="8">
        <v>0.99998699797595902</v>
      </c>
      <c r="J177" s="4">
        <f t="shared" si="9"/>
        <v>0.64844360586218341</v>
      </c>
      <c r="K177" s="16">
        <f t="shared" si="8"/>
        <v>7.7955971324016243E-2</v>
      </c>
      <c r="L177" s="16"/>
      <c r="N177" s="10"/>
      <c r="O177" s="10"/>
      <c r="P177" s="1"/>
      <c r="Q177" s="3"/>
      <c r="R177" s="3"/>
      <c r="S177" s="3"/>
      <c r="W177" s="15"/>
    </row>
    <row r="178" spans="1:23">
      <c r="A178" s="6">
        <f t="shared" si="7"/>
        <v>0.5</v>
      </c>
      <c r="B178" s="6">
        <v>0.5</v>
      </c>
      <c r="C178" s="5">
        <v>1.5</v>
      </c>
      <c r="D178" s="8">
        <v>12.8277515335605</v>
      </c>
      <c r="E178" s="10">
        <v>5.3723774705173799</v>
      </c>
      <c r="F178" s="8">
        <v>0.99996377124913904</v>
      </c>
      <c r="G178" s="10"/>
      <c r="H178" s="8">
        <v>8.3192788604704493</v>
      </c>
      <c r="I178" s="8">
        <v>0.99998822437839396</v>
      </c>
      <c r="J178" s="4">
        <f t="shared" si="9"/>
        <v>0.64853757407954182</v>
      </c>
      <c r="K178" s="16">
        <f t="shared" si="8"/>
        <v>7.7955984521820385E-2</v>
      </c>
      <c r="L178" s="16"/>
      <c r="N178" s="10"/>
      <c r="O178" s="10"/>
      <c r="P178" s="1"/>
      <c r="Q178" s="3"/>
      <c r="R178" s="3"/>
      <c r="S178" s="3"/>
      <c r="W178" s="15"/>
    </row>
    <row r="179" spans="1:23">
      <c r="A179" s="6">
        <f t="shared" si="7"/>
        <v>0.5</v>
      </c>
      <c r="B179" s="6">
        <v>0.5</v>
      </c>
      <c r="C179" s="5">
        <v>2</v>
      </c>
      <c r="D179" s="8">
        <v>12.827748660580401</v>
      </c>
      <c r="E179" s="10">
        <v>7.1631693229455102</v>
      </c>
      <c r="F179" s="8">
        <v>0.99996297611912</v>
      </c>
      <c r="G179" s="10"/>
      <c r="H179" s="8">
        <v>8.3197225734445404</v>
      </c>
      <c r="I179" s="8">
        <v>0.99998896836876205</v>
      </c>
      <c r="J179" s="4">
        <f t="shared" si="9"/>
        <v>0.64857230941942301</v>
      </c>
      <c r="K179" s="16">
        <f t="shared" si="8"/>
        <v>7.7956001981313708E-2</v>
      </c>
      <c r="L179" s="16"/>
      <c r="N179" s="10"/>
      <c r="O179" s="10"/>
      <c r="P179" s="1"/>
      <c r="Q179" s="3"/>
      <c r="R179" s="3"/>
      <c r="S179" s="3"/>
      <c r="W179" s="15"/>
    </row>
    <row r="180" spans="1:23">
      <c r="A180" s="6">
        <f t="shared" si="7"/>
        <v>0.5</v>
      </c>
      <c r="B180" s="6">
        <v>0.5</v>
      </c>
      <c r="C180" s="5">
        <v>2.5</v>
      </c>
      <c r="D180" s="8">
        <v>12.8277450121799</v>
      </c>
      <c r="E180" s="10">
        <v>8.9539603719193295</v>
      </c>
      <c r="F180" s="8">
        <v>0.99996224415817003</v>
      </c>
      <c r="G180" s="10"/>
      <c r="H180" s="8">
        <v>8.3199335796091205</v>
      </c>
      <c r="I180" s="8">
        <v>0.99998947457777398</v>
      </c>
      <c r="J180" s="4">
        <f t="shared" si="9"/>
        <v>0.64858894308464754</v>
      </c>
      <c r="K180" s="16">
        <f t="shared" si="8"/>
        <v>7.7956024153154238E-2</v>
      </c>
      <c r="L180" s="16"/>
      <c r="N180" s="10"/>
      <c r="O180" s="10"/>
      <c r="P180" s="1"/>
      <c r="Q180" s="3"/>
      <c r="R180" s="3"/>
      <c r="S180" s="3"/>
      <c r="W180" s="15"/>
    </row>
    <row r="181" spans="1:23">
      <c r="A181" s="6">
        <f t="shared" si="7"/>
        <v>0.5</v>
      </c>
      <c r="B181" s="6">
        <v>0.5</v>
      </c>
      <c r="C181" s="5">
        <v>3</v>
      </c>
      <c r="D181" s="8">
        <v>12.827740583893</v>
      </c>
      <c r="E181" s="10">
        <v>10.744750573308799</v>
      </c>
      <c r="F181" s="8">
        <v>0.99996156363085797</v>
      </c>
      <c r="G181" s="10"/>
      <c r="H181" s="8">
        <v>8.3200501146258894</v>
      </c>
      <c r="I181" s="8">
        <v>0.99998984548737502</v>
      </c>
      <c r="J181" s="4">
        <f t="shared" si="9"/>
        <v>0.64859825159489592</v>
      </c>
      <c r="K181" s="16">
        <f t="shared" si="8"/>
        <v>7.7956051064490509E-2</v>
      </c>
      <c r="L181" s="16"/>
      <c r="N181" s="10"/>
      <c r="O181" s="10"/>
      <c r="P181" s="1"/>
      <c r="Q181" s="3"/>
      <c r="R181" s="3"/>
      <c r="S181" s="3"/>
      <c r="W181" s="15"/>
    </row>
    <row r="182" spans="1:23">
      <c r="A182" s="6">
        <f t="shared" si="7"/>
        <v>0.4</v>
      </c>
      <c r="B182" s="6">
        <v>0.6</v>
      </c>
      <c r="C182" s="5">
        <v>1</v>
      </c>
      <c r="D182" s="8">
        <v>12.095858014128501</v>
      </c>
      <c r="E182" s="10">
        <v>2.7105328328270999</v>
      </c>
      <c r="F182" s="8">
        <v>0.99997234412185898</v>
      </c>
      <c r="G182" s="10"/>
      <c r="H182" s="8">
        <v>8.8579547933047902</v>
      </c>
      <c r="I182" s="8">
        <v>0.999993179213162</v>
      </c>
      <c r="J182" s="4">
        <f t="shared" si="9"/>
        <v>0.73231305980595218</v>
      </c>
      <c r="K182" s="16">
        <f t="shared" si="8"/>
        <v>8.2672928107452609E-2</v>
      </c>
      <c r="L182" s="16"/>
      <c r="N182" s="10"/>
      <c r="O182" s="10"/>
      <c r="P182" s="1"/>
      <c r="Q182" s="3"/>
      <c r="R182" s="3"/>
      <c r="S182" s="3"/>
      <c r="W182" s="15"/>
    </row>
    <row r="183" spans="1:23">
      <c r="A183" s="6">
        <f t="shared" si="7"/>
        <v>0.4</v>
      </c>
      <c r="B183" s="6">
        <v>0.6</v>
      </c>
      <c r="C183" s="5">
        <v>1.5</v>
      </c>
      <c r="D183" s="8">
        <v>12.0958202519318</v>
      </c>
      <c r="E183" s="10">
        <v>4.0657941531181203</v>
      </c>
      <c r="F183" s="8">
        <v>0.99997141964561398</v>
      </c>
      <c r="G183" s="10"/>
      <c r="H183" s="8">
        <v>8.8742713501680992</v>
      </c>
      <c r="I183" s="8">
        <v>0.99999261095541103</v>
      </c>
      <c r="J183" s="4">
        <f t="shared" si="9"/>
        <v>0.73366428777335768</v>
      </c>
      <c r="K183" s="16">
        <f t="shared" si="8"/>
        <v>8.2673186205812862E-2</v>
      </c>
      <c r="L183" s="16"/>
      <c r="N183" s="10"/>
      <c r="O183" s="10"/>
      <c r="P183" s="1"/>
      <c r="Q183" s="3"/>
      <c r="R183" s="3"/>
      <c r="S183" s="3"/>
      <c r="W183" s="15"/>
    </row>
    <row r="184" spans="1:23">
      <c r="A184" s="6">
        <f t="shared" si="7"/>
        <v>0.4</v>
      </c>
      <c r="B184" s="6">
        <v>0.6</v>
      </c>
      <c r="C184" s="5">
        <v>2</v>
      </c>
      <c r="D184" s="8">
        <v>12.0957720830996</v>
      </c>
      <c r="E184" s="10">
        <v>5.4210502623546599</v>
      </c>
      <c r="F184" s="8">
        <v>0.99997052567405498</v>
      </c>
      <c r="G184" s="10"/>
      <c r="H184" s="8">
        <v>8.8821316569932502</v>
      </c>
      <c r="I184" s="8">
        <v>0.99999262800392696</v>
      </c>
      <c r="J184" s="4">
        <f t="shared" si="9"/>
        <v>0.73431704863251368</v>
      </c>
      <c r="K184" s="16">
        <f t="shared" si="8"/>
        <v>8.26735154341421E-2</v>
      </c>
      <c r="L184" s="16"/>
      <c r="N184" s="10"/>
      <c r="O184" s="10"/>
      <c r="P184" s="1"/>
      <c r="Q184" s="3"/>
      <c r="R184" s="3"/>
      <c r="S184" s="3"/>
      <c r="W184" s="15"/>
    </row>
    <row r="185" spans="1:23">
      <c r="A185" s="6">
        <f t="shared" si="7"/>
        <v>0.4</v>
      </c>
      <c r="B185" s="6">
        <v>0.6</v>
      </c>
      <c r="C185" s="5">
        <v>2.5</v>
      </c>
      <c r="D185" s="8">
        <v>12.095711978216601</v>
      </c>
      <c r="E185" s="10">
        <v>6.7762993572161001</v>
      </c>
      <c r="F185" s="8">
        <v>0.99996967437421203</v>
      </c>
      <c r="G185" s="10"/>
      <c r="H185" s="8">
        <v>8.8864718351420997</v>
      </c>
      <c r="I185" s="8">
        <v>0.99999280346591801</v>
      </c>
      <c r="J185" s="4">
        <f t="shared" si="9"/>
        <v>0.73467951710043333</v>
      </c>
      <c r="K185" s="16">
        <f t="shared" si="8"/>
        <v>8.2673926247658611E-2</v>
      </c>
      <c r="L185" s="16"/>
      <c r="N185" s="10"/>
      <c r="O185" s="10"/>
      <c r="P185" s="1"/>
      <c r="Q185" s="3"/>
      <c r="R185" s="3"/>
      <c r="S185" s="3"/>
      <c r="W185" s="15"/>
    </row>
    <row r="186" spans="1:23">
      <c r="A186" s="6">
        <f t="shared" si="7"/>
        <v>0.4</v>
      </c>
      <c r="B186" s="6">
        <v>0.6</v>
      </c>
      <c r="C186" s="5">
        <v>3</v>
      </c>
      <c r="D186" s="8">
        <v>12.0956397263413</v>
      </c>
      <c r="E186" s="10">
        <v>8.1315397964754297</v>
      </c>
      <c r="F186" s="8">
        <v>0.99996886244298699</v>
      </c>
      <c r="G186" s="10"/>
      <c r="H186" s="8">
        <v>8.8891100910539205</v>
      </c>
      <c r="I186" s="8">
        <v>0.99999301116500705</v>
      </c>
      <c r="J186" s="4">
        <f t="shared" si="9"/>
        <v>0.73490202189931675</v>
      </c>
      <c r="K186" s="16">
        <f t="shared" si="8"/>
        <v>8.2674420090592504E-2</v>
      </c>
      <c r="L186" s="16"/>
      <c r="N186" s="10"/>
      <c r="O186" s="10"/>
      <c r="P186" s="1"/>
      <c r="Q186" s="3"/>
      <c r="R186" s="3"/>
      <c r="S186" s="3"/>
      <c r="W186" s="15"/>
    </row>
    <row r="187" spans="1:23">
      <c r="A187" s="6">
        <f t="shared" si="7"/>
        <v>0.30000000000000004</v>
      </c>
      <c r="B187" s="6">
        <v>0.7</v>
      </c>
      <c r="C187" s="5">
        <v>1</v>
      </c>
      <c r="D187" s="8">
        <v>11.380235088782999</v>
      </c>
      <c r="E187" s="10">
        <v>2.0741748665248698</v>
      </c>
      <c r="F187" s="8">
        <v>0.999981956126342</v>
      </c>
      <c r="G187" s="10"/>
      <c r="H187" s="8">
        <v>9.3930506564090201</v>
      </c>
      <c r="I187" s="8">
        <v>0.99999810277761003</v>
      </c>
      <c r="J187" s="4">
        <f t="shared" si="9"/>
        <v>0.82538283112159427</v>
      </c>
      <c r="K187" s="16">
        <f t="shared" si="8"/>
        <v>8.7871646956191291E-2</v>
      </c>
      <c r="L187" s="16"/>
      <c r="N187" s="10"/>
      <c r="O187" s="10"/>
      <c r="P187" s="1"/>
      <c r="Q187" s="3"/>
      <c r="R187" s="3"/>
      <c r="S187" s="3"/>
      <c r="W187" s="15"/>
    </row>
    <row r="188" spans="1:23">
      <c r="A188" s="6">
        <f t="shared" si="7"/>
        <v>0.30000000000000004</v>
      </c>
      <c r="B188" s="6">
        <v>0.7</v>
      </c>
      <c r="C188" s="5">
        <v>1.5</v>
      </c>
      <c r="D188" s="8">
        <v>11.3796780347595</v>
      </c>
      <c r="E188" s="10">
        <v>3.11121662972268</v>
      </c>
      <c r="F188" s="8">
        <v>0.99998105916516999</v>
      </c>
      <c r="G188" s="10"/>
      <c r="H188" s="8">
        <v>9.4032494125132793</v>
      </c>
      <c r="I188" s="8">
        <v>0.99999871622418202</v>
      </c>
      <c r="J188" s="4">
        <f t="shared" si="9"/>
        <v>0.82631946033893289</v>
      </c>
      <c r="K188" s="16">
        <f t="shared" si="8"/>
        <v>8.7875948418353833E-2</v>
      </c>
      <c r="L188" s="16"/>
      <c r="N188" s="10"/>
      <c r="O188" s="10"/>
      <c r="P188" s="1"/>
      <c r="Q188" s="3"/>
      <c r="R188" s="3"/>
      <c r="S188" s="3"/>
      <c r="W188" s="15"/>
    </row>
    <row r="189" spans="1:23">
      <c r="A189" s="6">
        <f t="shared" si="7"/>
        <v>0.30000000000000004</v>
      </c>
      <c r="B189" s="6">
        <v>0.7</v>
      </c>
      <c r="C189" s="5">
        <v>2</v>
      </c>
      <c r="D189" s="8">
        <v>11.379000175533401</v>
      </c>
      <c r="E189" s="10">
        <v>4.14821469872959</v>
      </c>
      <c r="F189" s="8">
        <v>0.99998013894424698</v>
      </c>
      <c r="G189" s="10"/>
      <c r="H189" s="8">
        <v>9.4162294640120301</v>
      </c>
      <c r="I189" s="8">
        <v>0.99999867310309498</v>
      </c>
      <c r="J189" s="4">
        <f t="shared" si="9"/>
        <v>0.82750938735886226</v>
      </c>
      <c r="K189" s="16">
        <f t="shared" si="8"/>
        <v>8.7881183282706485E-2</v>
      </c>
      <c r="L189" s="16"/>
      <c r="N189" s="10"/>
      <c r="O189" s="10"/>
      <c r="P189" s="1"/>
      <c r="Q189" s="3"/>
      <c r="R189" s="3"/>
      <c r="S189" s="3"/>
      <c r="W189" s="15"/>
    </row>
    <row r="190" spans="1:23">
      <c r="A190" s="6">
        <f t="shared" si="7"/>
        <v>0.30000000000000004</v>
      </c>
      <c r="B190" s="6">
        <v>0.7</v>
      </c>
      <c r="C190" s="5">
        <v>2.5</v>
      </c>
      <c r="D190" s="8">
        <v>11.378182120557501</v>
      </c>
      <c r="E190" s="10">
        <v>5.1851565149140004</v>
      </c>
      <c r="F190" s="8">
        <v>0.99997923161907798</v>
      </c>
      <c r="G190" s="10"/>
      <c r="H190" s="8">
        <v>9.4282956443916799</v>
      </c>
      <c r="I190" s="8">
        <v>0.99999843738540495</v>
      </c>
      <c r="J190" s="4">
        <f t="shared" si="9"/>
        <v>0.82862934909058372</v>
      </c>
      <c r="K190" s="16">
        <f t="shared" si="8"/>
        <v>8.7887501659272324E-2</v>
      </c>
      <c r="L190" s="16"/>
      <c r="N190" s="10"/>
      <c r="O190" s="10"/>
      <c r="P190" s="1"/>
      <c r="Q190" s="3"/>
      <c r="R190" s="3"/>
      <c r="S190" s="3"/>
      <c r="W190" s="15"/>
    </row>
    <row r="191" spans="1:23">
      <c r="A191" s="6">
        <f t="shared" si="7"/>
        <v>0.30000000000000004</v>
      </c>
      <c r="B191" s="6">
        <v>0.7</v>
      </c>
      <c r="C191" s="5">
        <v>3</v>
      </c>
      <c r="D191" s="8">
        <v>11.3772264479302</v>
      </c>
      <c r="E191" s="10">
        <v>6.22203107087278</v>
      </c>
      <c r="F191" s="8">
        <v>0.99997834491757598</v>
      </c>
      <c r="G191" s="10"/>
      <c r="H191" s="8">
        <v>9.4387032972700897</v>
      </c>
      <c r="I191" s="8">
        <v>0.99999816689352905</v>
      </c>
      <c r="J191" s="4">
        <f t="shared" si="9"/>
        <v>0.8296137323510181</v>
      </c>
      <c r="K191" s="16">
        <f t="shared" si="8"/>
        <v>8.7894884098217524E-2</v>
      </c>
      <c r="L191" s="16"/>
      <c r="N191" s="10"/>
      <c r="O191" s="10"/>
      <c r="P191" s="1"/>
      <c r="Q191" s="3"/>
      <c r="R191" s="3"/>
      <c r="S191" s="3"/>
      <c r="W191" s="15"/>
    </row>
    <row r="192" spans="1:23">
      <c r="A192" s="6">
        <f t="shared" si="7"/>
        <v>0.19999999999999996</v>
      </c>
      <c r="B192" s="6">
        <v>0.8</v>
      </c>
      <c r="C192" s="5">
        <v>1</v>
      </c>
      <c r="D192" s="8">
        <v>10.6938595454007</v>
      </c>
      <c r="E192" s="10">
        <v>1.60630087191284</v>
      </c>
      <c r="F192" s="8">
        <v>0.99999119343276299</v>
      </c>
      <c r="G192" s="10"/>
      <c r="H192" s="8">
        <v>10.097342871903001</v>
      </c>
      <c r="I192" s="8">
        <v>0.99999523410057201</v>
      </c>
      <c r="J192" s="4">
        <f t="shared" si="9"/>
        <v>0.94421876676374961</v>
      </c>
      <c r="K192" s="16">
        <f t="shared" si="8"/>
        <v>9.3511607830129753E-2</v>
      </c>
      <c r="L192" s="16"/>
      <c r="N192" s="10"/>
      <c r="O192" s="10"/>
      <c r="P192" s="1"/>
      <c r="Q192" s="3"/>
      <c r="R192" s="3"/>
      <c r="S192" s="3"/>
      <c r="W192" s="15"/>
    </row>
    <row r="193" spans="1:23">
      <c r="A193" s="6">
        <f t="shared" si="7"/>
        <v>0.19999999999999996</v>
      </c>
      <c r="B193" s="6">
        <v>0.8</v>
      </c>
      <c r="C193" s="5">
        <v>1.5</v>
      </c>
      <c r="D193" s="8">
        <v>10.6879240025992</v>
      </c>
      <c r="E193" s="10">
        <v>2.4091837794967699</v>
      </c>
      <c r="F193" s="8">
        <v>0.99999057446244699</v>
      </c>
      <c r="G193" s="10"/>
      <c r="H193" s="8">
        <v>10.066394152279701</v>
      </c>
      <c r="I193" s="8">
        <v>0.99999726465290295</v>
      </c>
      <c r="J193" s="4">
        <f t="shared" si="9"/>
        <v>0.94184746727537083</v>
      </c>
      <c r="K193" s="16">
        <f t="shared" si="8"/>
        <v>9.3563539538343427E-2</v>
      </c>
      <c r="L193" s="16"/>
      <c r="N193" s="10"/>
      <c r="O193" s="10"/>
      <c r="P193" s="1"/>
      <c r="Q193" s="3"/>
      <c r="R193" s="3"/>
      <c r="S193" s="3"/>
      <c r="W193" s="15"/>
    </row>
    <row r="194" spans="1:23">
      <c r="A194" s="6">
        <f t="shared" si="7"/>
        <v>0.19999999999999996</v>
      </c>
      <c r="B194" s="6">
        <v>0.8</v>
      </c>
      <c r="C194" s="5">
        <v>2</v>
      </c>
      <c r="D194" s="8">
        <v>10.6814807244841</v>
      </c>
      <c r="E194" s="10">
        <v>3.21185764127826</v>
      </c>
      <c r="F194" s="8">
        <v>0.99998995279319103</v>
      </c>
      <c r="G194" s="10"/>
      <c r="H194" s="8">
        <v>10.0524745586329</v>
      </c>
      <c r="I194" s="8">
        <v>0.999998204616518</v>
      </c>
      <c r="J194" s="4">
        <f t="shared" si="9"/>
        <v>0.94111245602780602</v>
      </c>
      <c r="K194" s="16">
        <f t="shared" si="8"/>
        <v>9.3619978895603778E-2</v>
      </c>
      <c r="L194" s="16"/>
      <c r="N194" s="10"/>
      <c r="O194" s="10"/>
      <c r="P194" s="1"/>
      <c r="Q194" s="3"/>
      <c r="R194" s="3"/>
      <c r="S194" s="3"/>
      <c r="W194" s="15"/>
    </row>
    <row r="195" spans="1:23">
      <c r="A195" s="6">
        <f t="shared" ref="A195:A258" si="10">1-B195</f>
        <v>0.19999999999999996</v>
      </c>
      <c r="B195" s="6">
        <v>0.8</v>
      </c>
      <c r="C195" s="5">
        <v>2.5</v>
      </c>
      <c r="D195" s="8">
        <v>10.6743869376822</v>
      </c>
      <c r="E195" s="10">
        <v>4.0142886445038197</v>
      </c>
      <c r="F195" s="8">
        <v>0.99998935965126001</v>
      </c>
      <c r="G195" s="10"/>
      <c r="H195" s="8">
        <v>10.045679346560901</v>
      </c>
      <c r="I195" s="8">
        <v>0.99999872577412596</v>
      </c>
      <c r="J195" s="4">
        <f t="shared" si="9"/>
        <v>0.94110129276821819</v>
      </c>
      <c r="K195" s="16">
        <f t="shared" ref="K195:K258" si="11">1/D195</f>
        <v>9.3682195131024229E-2</v>
      </c>
      <c r="L195" s="16"/>
      <c r="N195" s="10"/>
      <c r="O195" s="10"/>
      <c r="P195" s="1"/>
      <c r="Q195" s="3"/>
      <c r="R195" s="3"/>
      <c r="S195" s="3"/>
      <c r="W195" s="15"/>
    </row>
    <row r="196" spans="1:23">
      <c r="A196" s="6">
        <f t="shared" si="10"/>
        <v>0.19999999999999996</v>
      </c>
      <c r="B196" s="6">
        <v>0.8</v>
      </c>
      <c r="C196" s="5">
        <v>3</v>
      </c>
      <c r="D196" s="8">
        <v>10.666740822457999</v>
      </c>
      <c r="E196" s="10">
        <v>4.8164560640210103</v>
      </c>
      <c r="F196" s="8">
        <v>0.99998880350880104</v>
      </c>
      <c r="G196" s="10"/>
      <c r="H196" s="8">
        <v>10.0425224880318</v>
      </c>
      <c r="I196" s="8">
        <v>0.99999904607622303</v>
      </c>
      <c r="J196" s="4">
        <f t="shared" ref="J196:J259" si="12">H196/D196</f>
        <v>0.94147993798518514</v>
      </c>
      <c r="K196" s="16">
        <f t="shared" si="11"/>
        <v>9.3749348244646313E-2</v>
      </c>
      <c r="L196" s="16"/>
      <c r="N196" s="10"/>
      <c r="O196" s="10"/>
      <c r="P196" s="1"/>
      <c r="Q196" s="3"/>
      <c r="R196" s="3"/>
      <c r="S196" s="3"/>
      <c r="W196" s="15"/>
    </row>
    <row r="197" spans="1:23">
      <c r="A197" s="6">
        <f t="shared" si="10"/>
        <v>9.9999999999999978E-2</v>
      </c>
      <c r="B197" s="6">
        <v>0.9</v>
      </c>
      <c r="C197" s="5">
        <v>1</v>
      </c>
      <c r="D197" s="8">
        <v>10.0445107851562</v>
      </c>
      <c r="E197" s="10">
        <v>1.2594846503344399</v>
      </c>
      <c r="F197" s="8">
        <v>0.99999822222374901</v>
      </c>
      <c r="G197" s="10"/>
      <c r="H197" s="8">
        <v>10.9736199930497</v>
      </c>
      <c r="I197" s="8">
        <v>0.99999705375775105</v>
      </c>
      <c r="J197" s="4">
        <f t="shared" si="12"/>
        <v>1.0924991995893458</v>
      </c>
      <c r="K197" s="16">
        <f t="shared" si="11"/>
        <v>9.9556864578989962E-2</v>
      </c>
      <c r="L197" s="16"/>
      <c r="N197" s="10"/>
      <c r="O197" s="10"/>
      <c r="P197" s="1"/>
      <c r="Q197" s="3"/>
      <c r="R197" s="3"/>
      <c r="S197" s="3"/>
      <c r="W197" s="15"/>
    </row>
    <row r="198" spans="1:23">
      <c r="A198" s="6">
        <f t="shared" si="10"/>
        <v>9.9999999999999978E-2</v>
      </c>
      <c r="B198" s="6">
        <v>0.9</v>
      </c>
      <c r="C198" s="5">
        <v>1.5</v>
      </c>
      <c r="D198" s="8">
        <v>10.016063318418601</v>
      </c>
      <c r="E198" s="10">
        <v>1.8886912365256101</v>
      </c>
      <c r="F198" s="8">
        <v>0.99999815614204401</v>
      </c>
      <c r="G198" s="10"/>
      <c r="H198" s="8">
        <v>10.8979815067018</v>
      </c>
      <c r="I198" s="8">
        <v>0.99999786672075597</v>
      </c>
      <c r="J198" s="4">
        <f t="shared" si="12"/>
        <v>1.0880503806981165</v>
      </c>
      <c r="K198" s="16">
        <f t="shared" si="11"/>
        <v>9.9839624432195212E-2</v>
      </c>
      <c r="L198" s="16"/>
      <c r="N198" s="10"/>
      <c r="O198" s="10"/>
      <c r="P198" s="1"/>
      <c r="Q198" s="3"/>
      <c r="R198" s="3"/>
      <c r="S198" s="3"/>
      <c r="W198" s="15"/>
    </row>
    <row r="199" spans="1:23">
      <c r="A199" s="6">
        <f t="shared" si="10"/>
        <v>9.9999999999999978E-2</v>
      </c>
      <c r="B199" s="6">
        <v>0.9</v>
      </c>
      <c r="C199" s="5">
        <v>2</v>
      </c>
      <c r="D199" s="8">
        <v>9.9926098874275695</v>
      </c>
      <c r="E199" s="10">
        <v>2.5176646898188002</v>
      </c>
      <c r="F199" s="8">
        <v>0.99999816206214698</v>
      </c>
      <c r="G199" s="10"/>
      <c r="H199" s="8">
        <v>10.855412756426499</v>
      </c>
      <c r="I199" s="8">
        <v>0.99999839796434897</v>
      </c>
      <c r="J199" s="4">
        <f t="shared" si="12"/>
        <v>1.086344096158951</v>
      </c>
      <c r="K199" s="16">
        <f t="shared" si="11"/>
        <v>0.10007395577987817</v>
      </c>
      <c r="L199" s="16"/>
      <c r="N199" s="10"/>
      <c r="O199" s="10"/>
      <c r="P199" s="1"/>
      <c r="Q199" s="3"/>
      <c r="R199" s="3"/>
      <c r="S199" s="3"/>
      <c r="W199" s="15"/>
    </row>
    <row r="200" spans="1:23">
      <c r="A200" s="6">
        <f t="shared" si="10"/>
        <v>9.9999999999999978E-2</v>
      </c>
      <c r="B200" s="6">
        <v>0.9</v>
      </c>
      <c r="C200" s="5">
        <v>2.5</v>
      </c>
      <c r="D200" s="8">
        <v>9.9719131332703501</v>
      </c>
      <c r="E200" s="10">
        <v>3.1464284286936901</v>
      </c>
      <c r="F200" s="8">
        <v>0.99999819999872597</v>
      </c>
      <c r="G200" s="10"/>
      <c r="H200" s="8">
        <v>10.8281937350013</v>
      </c>
      <c r="I200" s="8">
        <v>0.99999875578667097</v>
      </c>
      <c r="J200" s="4">
        <f t="shared" si="12"/>
        <v>1.0858692399629966</v>
      </c>
      <c r="K200" s="16">
        <f t="shared" si="11"/>
        <v>0.10028165976131441</v>
      </c>
      <c r="L200" s="16"/>
      <c r="N200" s="10"/>
      <c r="O200" s="10"/>
      <c r="P200" s="1"/>
      <c r="Q200" s="3"/>
      <c r="R200" s="3"/>
      <c r="S200" s="3"/>
      <c r="W200" s="15"/>
    </row>
    <row r="201" spans="1:23">
      <c r="A201" s="6">
        <f t="shared" si="10"/>
        <v>9.9999999999999978E-2</v>
      </c>
      <c r="B201" s="6">
        <v>0.9</v>
      </c>
      <c r="C201" s="5">
        <v>3</v>
      </c>
      <c r="D201" s="8">
        <v>9.9532720636974101</v>
      </c>
      <c r="E201" s="10">
        <v>3.7750077037280199</v>
      </c>
      <c r="F201" s="8">
        <v>0.99999825331147596</v>
      </c>
      <c r="G201" s="10"/>
      <c r="H201" s="8">
        <v>10.809380668814899</v>
      </c>
      <c r="I201" s="8">
        <v>0.99999900722811397</v>
      </c>
      <c r="J201" s="4">
        <f t="shared" si="12"/>
        <v>1.0860127804845179</v>
      </c>
      <c r="K201" s="16">
        <f t="shared" si="11"/>
        <v>0.10046947311400259</v>
      </c>
      <c r="L201" s="16"/>
      <c r="N201" s="10"/>
      <c r="O201" s="10"/>
      <c r="P201" s="1"/>
      <c r="Q201" s="3"/>
      <c r="R201" s="3"/>
      <c r="S201" s="3"/>
      <c r="W201" s="15"/>
    </row>
    <row r="202" spans="1:23">
      <c r="A202" s="6">
        <f t="shared" si="10"/>
        <v>0.5</v>
      </c>
      <c r="B202" s="6">
        <v>0.5</v>
      </c>
      <c r="C202" s="5">
        <v>1</v>
      </c>
      <c r="D202" s="8">
        <v>12.7764673016516</v>
      </c>
      <c r="E202" s="10">
        <v>3.57441844749341</v>
      </c>
      <c r="F202" s="8">
        <v>0.999953075488629</v>
      </c>
      <c r="G202" s="10"/>
      <c r="H202" s="8">
        <v>8.3758923961880303</v>
      </c>
      <c r="I202" s="8">
        <v>0.99998848719951805</v>
      </c>
      <c r="J202" s="4">
        <f t="shared" si="12"/>
        <v>0.65557185710523347</v>
      </c>
      <c r="K202" s="16">
        <f t="shared" si="11"/>
        <v>7.8268896745090966E-2</v>
      </c>
      <c r="L202" s="16"/>
      <c r="N202" s="10"/>
      <c r="O202" s="10"/>
      <c r="P202" s="1"/>
      <c r="Q202" s="3"/>
      <c r="R202" s="3"/>
      <c r="S202" s="3"/>
      <c r="W202" s="15"/>
    </row>
    <row r="203" spans="1:23">
      <c r="A203" s="6">
        <f t="shared" si="10"/>
        <v>0.5</v>
      </c>
      <c r="B203" s="6">
        <v>0.5</v>
      </c>
      <c r="C203" s="5">
        <v>1.5</v>
      </c>
      <c r="D203" s="8">
        <v>12.776464962460199</v>
      </c>
      <c r="E203" s="10">
        <v>5.36162720599755</v>
      </c>
      <c r="F203" s="8">
        <v>0.99995192706542901</v>
      </c>
      <c r="G203" s="10"/>
      <c r="H203" s="8">
        <v>8.3760132813606099</v>
      </c>
      <c r="I203" s="8">
        <v>0.99998927059284504</v>
      </c>
      <c r="J203" s="4">
        <f t="shared" si="12"/>
        <v>0.65558143868206165</v>
      </c>
      <c r="K203" s="16">
        <f t="shared" si="11"/>
        <v>7.8268911075027356E-2</v>
      </c>
      <c r="L203" s="16"/>
      <c r="N203" s="10"/>
      <c r="O203" s="10"/>
      <c r="P203" s="1"/>
      <c r="Q203" s="3"/>
      <c r="R203" s="3"/>
      <c r="S203" s="3"/>
      <c r="W203" s="15"/>
    </row>
    <row r="204" spans="1:23">
      <c r="A204" s="6">
        <f t="shared" si="10"/>
        <v>0.5</v>
      </c>
      <c r="B204" s="6">
        <v>0.5</v>
      </c>
      <c r="C204" s="5">
        <v>2</v>
      </c>
      <c r="D204" s="8">
        <v>12.7764618577409</v>
      </c>
      <c r="E204" s="10">
        <v>7.1488354008854298</v>
      </c>
      <c r="F204" s="8">
        <v>0.99995087380153402</v>
      </c>
      <c r="G204" s="10"/>
      <c r="H204" s="8">
        <v>8.3760562702839305</v>
      </c>
      <c r="I204" s="8">
        <v>0.99998972552340903</v>
      </c>
      <c r="J204" s="4">
        <f t="shared" si="12"/>
        <v>0.65558496268739008</v>
      </c>
      <c r="K204" s="16">
        <f t="shared" si="11"/>
        <v>7.8268930094612069E-2</v>
      </c>
      <c r="L204" s="16"/>
      <c r="N204" s="10"/>
      <c r="O204" s="10"/>
      <c r="P204" s="1"/>
      <c r="Q204" s="3"/>
      <c r="R204" s="3"/>
      <c r="S204" s="3"/>
      <c r="W204" s="15"/>
    </row>
    <row r="205" spans="1:23">
      <c r="A205" s="6">
        <f t="shared" si="10"/>
        <v>0.5</v>
      </c>
      <c r="B205" s="6">
        <v>0.5</v>
      </c>
      <c r="C205" s="5">
        <v>2.5</v>
      </c>
      <c r="D205" s="8">
        <v>12.776457924889</v>
      </c>
      <c r="E205" s="10">
        <v>8.9360428600196808</v>
      </c>
      <c r="F205" s="8">
        <v>0.999949903946869</v>
      </c>
      <c r="G205" s="10"/>
      <c r="H205" s="8">
        <v>8.3760763337585402</v>
      </c>
      <c r="I205" s="8">
        <v>0.99999002980419305</v>
      </c>
      <c r="J205" s="4">
        <f t="shared" si="12"/>
        <v>0.65558673483686292</v>
      </c>
      <c r="K205" s="16">
        <f t="shared" si="11"/>
        <v>7.8268954187370191E-2</v>
      </c>
      <c r="L205" s="16"/>
      <c r="N205" s="10"/>
      <c r="O205" s="10"/>
      <c r="P205" s="1"/>
      <c r="Q205" s="3"/>
      <c r="R205" s="3"/>
      <c r="S205" s="3"/>
      <c r="W205" s="15"/>
    </row>
    <row r="206" spans="1:23">
      <c r="A206" s="6">
        <f t="shared" si="10"/>
        <v>0.5</v>
      </c>
      <c r="B206" s="6">
        <v>0.5</v>
      </c>
      <c r="C206" s="5">
        <v>3</v>
      </c>
      <c r="D206" s="8">
        <v>12.7764531385252</v>
      </c>
      <c r="E206" s="10">
        <v>10.7232493966875</v>
      </c>
      <c r="F206" s="8">
        <v>0.99994900209071502</v>
      </c>
      <c r="G206" s="10"/>
      <c r="H206" s="8">
        <v>8.3760872941115192</v>
      </c>
      <c r="I206" s="8">
        <v>0.99999025060892499</v>
      </c>
      <c r="J206" s="4">
        <f t="shared" si="12"/>
        <v>0.65558783829096245</v>
      </c>
      <c r="K206" s="16">
        <f t="shared" si="11"/>
        <v>7.8268983508785528E-2</v>
      </c>
      <c r="L206" s="16"/>
      <c r="N206" s="10"/>
      <c r="O206" s="10"/>
      <c r="P206" s="1"/>
      <c r="Q206" s="3"/>
      <c r="R206" s="3"/>
      <c r="S206" s="3"/>
      <c r="W206" s="15"/>
    </row>
    <row r="207" spans="1:23">
      <c r="A207" s="6">
        <f t="shared" si="10"/>
        <v>0.4</v>
      </c>
      <c r="B207" s="6">
        <v>0.6</v>
      </c>
      <c r="C207" s="5">
        <v>1</v>
      </c>
      <c r="D207" s="8">
        <v>12.0518185962625</v>
      </c>
      <c r="E207" s="10">
        <v>2.7065810356572402</v>
      </c>
      <c r="F207" s="8">
        <v>0.99996475142382502</v>
      </c>
      <c r="G207" s="10"/>
      <c r="H207" s="8">
        <v>8.9388114300507304</v>
      </c>
      <c r="I207" s="8">
        <v>0.99999250994359001</v>
      </c>
      <c r="J207" s="4">
        <f t="shared" si="12"/>
        <v>0.74169813946775032</v>
      </c>
      <c r="K207" s="16">
        <f t="shared" si="11"/>
        <v>8.2975029205145781E-2</v>
      </c>
      <c r="L207" s="16"/>
      <c r="N207" s="10"/>
      <c r="O207" s="10"/>
      <c r="P207" s="1"/>
      <c r="Q207" s="3"/>
      <c r="R207" s="3"/>
      <c r="S207" s="3"/>
      <c r="W207" s="15"/>
    </row>
    <row r="208" spans="1:23">
      <c r="A208" s="6">
        <f t="shared" si="10"/>
        <v>0.4</v>
      </c>
      <c r="B208" s="6">
        <v>0.6</v>
      </c>
      <c r="C208" s="5">
        <v>1.5</v>
      </c>
      <c r="D208" s="8">
        <v>12.0517782950367</v>
      </c>
      <c r="E208" s="10">
        <v>4.0598661017883302</v>
      </c>
      <c r="F208" s="8">
        <v>0.99996357530183999</v>
      </c>
      <c r="G208" s="10"/>
      <c r="H208" s="8">
        <v>8.9418790339322598</v>
      </c>
      <c r="I208" s="8">
        <v>0.99999321964683596</v>
      </c>
      <c r="J208" s="4">
        <f t="shared" si="12"/>
        <v>0.74195515508402654</v>
      </c>
      <c r="K208" s="16">
        <f t="shared" si="11"/>
        <v>8.2975306674188606E-2</v>
      </c>
      <c r="L208" s="16"/>
      <c r="N208" s="10"/>
      <c r="O208" s="10"/>
      <c r="P208" s="1"/>
      <c r="Q208" s="3"/>
      <c r="R208" s="3"/>
      <c r="S208" s="3"/>
      <c r="W208" s="15"/>
    </row>
    <row r="209" spans="1:23">
      <c r="A209" s="6">
        <f t="shared" si="10"/>
        <v>0.4</v>
      </c>
      <c r="B209" s="6">
        <v>0.6</v>
      </c>
      <c r="C209" s="5">
        <v>2</v>
      </c>
      <c r="D209" s="8">
        <v>12.051727077961999</v>
      </c>
      <c r="E209" s="10">
        <v>5.41314563224328</v>
      </c>
      <c r="F209" s="8">
        <v>0.99996243729248202</v>
      </c>
      <c r="G209" s="10"/>
      <c r="H209" s="8">
        <v>8.9430837511973493</v>
      </c>
      <c r="I209" s="8">
        <v>0.99999367181696697</v>
      </c>
      <c r="J209" s="4">
        <f t="shared" si="12"/>
        <v>0.74205827043252826</v>
      </c>
      <c r="K209" s="16">
        <f t="shared" si="11"/>
        <v>8.2975659300202509E-2</v>
      </c>
      <c r="L209" s="16"/>
      <c r="N209" s="10"/>
      <c r="O209" s="10"/>
      <c r="P209" s="1"/>
      <c r="Q209" s="3"/>
      <c r="R209" s="3"/>
      <c r="S209" s="3"/>
      <c r="W209" s="15"/>
    </row>
    <row r="210" spans="1:23">
      <c r="A210" s="6">
        <f t="shared" si="10"/>
        <v>0.4</v>
      </c>
      <c r="B210" s="6">
        <v>0.6</v>
      </c>
      <c r="C210" s="5">
        <v>2.5</v>
      </c>
      <c r="D210" s="8">
        <v>12.0516631671462</v>
      </c>
      <c r="E210" s="10">
        <v>6.7664176842029704</v>
      </c>
      <c r="F210" s="8">
        <v>0.999961353188907</v>
      </c>
      <c r="G210" s="10"/>
      <c r="H210" s="8">
        <v>8.9436767023691104</v>
      </c>
      <c r="I210" s="8">
        <v>0.99999398442373899</v>
      </c>
      <c r="J210" s="4">
        <f t="shared" si="12"/>
        <v>0.74211140639495221</v>
      </c>
      <c r="K210" s="16">
        <f t="shared" si="11"/>
        <v>8.2976099325948655E-2</v>
      </c>
      <c r="L210" s="16"/>
      <c r="N210" s="10"/>
      <c r="O210" s="10"/>
      <c r="P210" s="1"/>
      <c r="Q210" s="3"/>
      <c r="R210" s="3"/>
      <c r="S210" s="3"/>
      <c r="W210" s="15"/>
    </row>
    <row r="211" spans="1:23">
      <c r="A211" s="6">
        <f t="shared" si="10"/>
        <v>0.4</v>
      </c>
      <c r="B211" s="6">
        <v>0.6</v>
      </c>
      <c r="C211" s="5">
        <v>3</v>
      </c>
      <c r="D211" s="8">
        <v>12.051586313463099</v>
      </c>
      <c r="E211" s="10">
        <v>8.1196805064572501</v>
      </c>
      <c r="F211" s="8">
        <v>0.999960318924763</v>
      </c>
      <c r="G211" s="10"/>
      <c r="H211" s="8">
        <v>8.9440114127335999</v>
      </c>
      <c r="I211" s="8">
        <v>0.99999421421325096</v>
      </c>
      <c r="J211" s="4">
        <f t="shared" si="12"/>
        <v>0.7421439120211123</v>
      </c>
      <c r="K211" s="16">
        <f t="shared" si="11"/>
        <v>8.2976628469471889E-2</v>
      </c>
      <c r="L211" s="16"/>
      <c r="N211" s="10"/>
      <c r="O211" s="10"/>
      <c r="P211" s="1"/>
      <c r="Q211" s="3"/>
      <c r="R211" s="3"/>
      <c r="S211" s="3"/>
      <c r="W211" s="15"/>
    </row>
    <row r="212" spans="1:23">
      <c r="A212" s="6">
        <f t="shared" si="10"/>
        <v>0.30000000000000004</v>
      </c>
      <c r="B212" s="6">
        <v>0.7</v>
      </c>
      <c r="C212" s="5">
        <v>1</v>
      </c>
      <c r="D212" s="8">
        <v>11.3457332581158</v>
      </c>
      <c r="E212" s="10">
        <v>2.0722863548952599</v>
      </c>
      <c r="F212" s="8">
        <v>0.99997778790352498</v>
      </c>
      <c r="G212" s="10"/>
      <c r="H212" s="8">
        <v>9.4906934829798608</v>
      </c>
      <c r="I212" s="8">
        <v>0.99999661322330002</v>
      </c>
      <c r="J212" s="4">
        <f t="shared" si="12"/>
        <v>0.83649890818568318</v>
      </c>
      <c r="K212" s="16">
        <f t="shared" si="11"/>
        <v>8.8138860420033466E-2</v>
      </c>
      <c r="L212" s="16"/>
      <c r="N212" s="10"/>
      <c r="O212" s="10"/>
      <c r="P212" s="1"/>
      <c r="Q212" s="3"/>
      <c r="R212" s="3"/>
      <c r="S212" s="3"/>
      <c r="W212" s="15"/>
    </row>
    <row r="213" spans="1:23">
      <c r="A213" s="6">
        <f t="shared" si="10"/>
        <v>0.30000000000000004</v>
      </c>
      <c r="B213" s="6">
        <v>0.7</v>
      </c>
      <c r="C213" s="5">
        <v>1.5</v>
      </c>
      <c r="D213" s="8">
        <v>11.345124425211701</v>
      </c>
      <c r="E213" s="10">
        <v>3.1083795122987201</v>
      </c>
      <c r="F213" s="8">
        <v>0.99997666663218798</v>
      </c>
      <c r="G213" s="10"/>
      <c r="H213" s="8">
        <v>9.5082423486630905</v>
      </c>
      <c r="I213" s="8">
        <v>0.99999683172193199</v>
      </c>
      <c r="J213" s="4">
        <f t="shared" si="12"/>
        <v>0.8380906186919731</v>
      </c>
      <c r="K213" s="16">
        <f t="shared" si="11"/>
        <v>8.8143590367131638E-2</v>
      </c>
      <c r="L213" s="16"/>
      <c r="N213" s="10"/>
      <c r="O213" s="10"/>
      <c r="P213" s="1"/>
      <c r="Q213" s="3"/>
      <c r="R213" s="3"/>
      <c r="S213" s="3"/>
      <c r="W213" s="15"/>
    </row>
    <row r="214" spans="1:23">
      <c r="A214" s="6">
        <f t="shared" si="10"/>
        <v>0.30000000000000004</v>
      </c>
      <c r="B214" s="6">
        <v>0.7</v>
      </c>
      <c r="C214" s="5">
        <v>2</v>
      </c>
      <c r="D214" s="8">
        <v>11.344403899102501</v>
      </c>
      <c r="E214" s="10">
        <v>4.1444270421805802</v>
      </c>
      <c r="F214" s="8">
        <v>0.99997552444854698</v>
      </c>
      <c r="G214" s="10"/>
      <c r="H214" s="8">
        <v>9.5191613781951006</v>
      </c>
      <c r="I214" s="8">
        <v>0.99999685464862498</v>
      </c>
      <c r="J214" s="4">
        <f t="shared" si="12"/>
        <v>0.83910635259982214</v>
      </c>
      <c r="K214" s="16">
        <f t="shared" si="11"/>
        <v>8.8149188700793163E-2</v>
      </c>
      <c r="L214" s="16"/>
      <c r="N214" s="10"/>
      <c r="O214" s="10"/>
      <c r="P214" s="1"/>
      <c r="Q214" s="3"/>
      <c r="R214" s="3"/>
      <c r="S214" s="3"/>
      <c r="W214" s="15"/>
    </row>
    <row r="215" spans="1:23">
      <c r="A215" s="6">
        <f t="shared" si="10"/>
        <v>0.30000000000000004</v>
      </c>
      <c r="B215" s="6">
        <v>0.7</v>
      </c>
      <c r="C215" s="5">
        <v>2.5</v>
      </c>
      <c r="D215" s="8">
        <v>11.3435399185046</v>
      </c>
      <c r="E215" s="10">
        <v>5.1804154086254197</v>
      </c>
      <c r="F215" s="8">
        <v>0.99997439949248301</v>
      </c>
      <c r="G215" s="10"/>
      <c r="H215" s="8">
        <v>9.5261524008330891</v>
      </c>
      <c r="I215" s="8">
        <v>0.99999687938845205</v>
      </c>
      <c r="J215" s="4">
        <f t="shared" si="12"/>
        <v>0.83978656303692067</v>
      </c>
      <c r="K215" s="16">
        <f t="shared" si="11"/>
        <v>8.8155902582818108E-2</v>
      </c>
      <c r="L215" s="16"/>
      <c r="N215" s="10"/>
      <c r="O215" s="10"/>
      <c r="P215" s="1"/>
      <c r="Q215" s="3"/>
      <c r="R215" s="3"/>
      <c r="S215" s="3"/>
      <c r="W215" s="15"/>
    </row>
    <row r="216" spans="1:23">
      <c r="A216" s="6">
        <f t="shared" si="10"/>
        <v>0.30000000000000004</v>
      </c>
      <c r="B216" s="6">
        <v>0.7</v>
      </c>
      <c r="C216" s="5">
        <v>3</v>
      </c>
      <c r="D216" s="8">
        <v>11.342532332087099</v>
      </c>
      <c r="E216" s="10">
        <v>6.21633287867453</v>
      </c>
      <c r="F216" s="8">
        <v>0.99997329959742298</v>
      </c>
      <c r="G216" s="10"/>
      <c r="H216" s="8">
        <v>9.5308421786129198</v>
      </c>
      <c r="I216" s="8">
        <v>0.99999691899949295</v>
      </c>
      <c r="J216" s="4">
        <f t="shared" si="12"/>
        <v>0.84027463176375039</v>
      </c>
      <c r="K216" s="16">
        <f t="shared" si="11"/>
        <v>8.8163733699138908E-2</v>
      </c>
      <c r="L216" s="16"/>
      <c r="N216" s="10"/>
      <c r="O216" s="10"/>
      <c r="P216" s="1"/>
      <c r="Q216" s="3"/>
      <c r="R216" s="3"/>
      <c r="S216" s="3"/>
      <c r="W216" s="15"/>
    </row>
    <row r="217" spans="1:23">
      <c r="A217" s="6">
        <f t="shared" si="10"/>
        <v>0.19999999999999996</v>
      </c>
      <c r="B217" s="6">
        <v>0.8</v>
      </c>
      <c r="C217" s="5">
        <v>1</v>
      </c>
      <c r="D217" s="8">
        <v>10.670939353129899</v>
      </c>
      <c r="E217" s="10">
        <v>1.60561172243876</v>
      </c>
      <c r="F217" s="8">
        <v>0.99998958256951598</v>
      </c>
      <c r="G217" s="10"/>
      <c r="H217" s="8">
        <v>10.131498434449</v>
      </c>
      <c r="I217" s="8">
        <v>0.99999506691183304</v>
      </c>
      <c r="J217" s="4">
        <f t="shared" si="12"/>
        <v>0.94944766333784147</v>
      </c>
      <c r="K217" s="16">
        <f t="shared" si="11"/>
        <v>9.3712462127965274E-2</v>
      </c>
      <c r="L217" s="16"/>
      <c r="N217" s="10"/>
      <c r="O217" s="10"/>
      <c r="P217" s="1"/>
      <c r="Q217" s="3"/>
      <c r="R217" s="3"/>
      <c r="S217" s="3"/>
      <c r="W217" s="15"/>
    </row>
    <row r="218" spans="1:23">
      <c r="A218" s="6">
        <f t="shared" si="10"/>
        <v>0.19999999999999996</v>
      </c>
      <c r="B218" s="6">
        <v>0.8</v>
      </c>
      <c r="C218" s="5">
        <v>1.5</v>
      </c>
      <c r="D218" s="8">
        <v>10.6644182906617</v>
      </c>
      <c r="E218" s="10">
        <v>2.4081231529793299</v>
      </c>
      <c r="F218" s="8">
        <v>0.99998875539118603</v>
      </c>
      <c r="G218" s="10"/>
      <c r="H218" s="8">
        <v>10.1114276856927</v>
      </c>
      <c r="I218" s="8">
        <v>0.99999715101245001</v>
      </c>
      <c r="J218" s="4">
        <f t="shared" si="12"/>
        <v>0.94814620076809752</v>
      </c>
      <c r="K218" s="16">
        <f t="shared" si="11"/>
        <v>9.376976528346137E-2</v>
      </c>
      <c r="L218" s="16"/>
      <c r="N218" s="10"/>
      <c r="O218" s="10"/>
      <c r="P218" s="1"/>
      <c r="Q218" s="3"/>
      <c r="R218" s="3"/>
      <c r="S218" s="3"/>
      <c r="W218" s="15"/>
    </row>
    <row r="219" spans="1:23">
      <c r="A219" s="6">
        <f t="shared" si="10"/>
        <v>0.19999999999999996</v>
      </c>
      <c r="B219" s="6">
        <v>0.8</v>
      </c>
      <c r="C219" s="5">
        <v>2</v>
      </c>
      <c r="D219" s="8">
        <v>10.6575313154953</v>
      </c>
      <c r="E219" s="10">
        <v>3.2104160591897499</v>
      </c>
      <c r="F219" s="8">
        <v>0.99998794561118998</v>
      </c>
      <c r="G219" s="10"/>
      <c r="H219" s="8">
        <v>10.106771860012801</v>
      </c>
      <c r="I219" s="8">
        <v>0.99999809241058302</v>
      </c>
      <c r="J219" s="4">
        <f t="shared" si="12"/>
        <v>0.94832204202095716</v>
      </c>
      <c r="K219" s="16">
        <f t="shared" si="11"/>
        <v>9.383035999585293E-2</v>
      </c>
      <c r="L219" s="16"/>
      <c r="N219" s="10"/>
      <c r="O219" s="10"/>
      <c r="P219" s="1"/>
      <c r="Q219" s="3"/>
      <c r="R219" s="3"/>
      <c r="S219" s="3"/>
      <c r="W219" s="15"/>
    </row>
    <row r="220" spans="1:23">
      <c r="A220" s="6">
        <f t="shared" si="10"/>
        <v>0.19999999999999996</v>
      </c>
      <c r="B220" s="6">
        <v>0.8</v>
      </c>
      <c r="C220" s="5">
        <v>2.5</v>
      </c>
      <c r="D220" s="8">
        <v>10.650021494084699</v>
      </c>
      <c r="E220" s="10">
        <v>4.0124543589651598</v>
      </c>
      <c r="F220" s="8">
        <v>0.99998717531308901</v>
      </c>
      <c r="G220" s="10"/>
      <c r="H220" s="8">
        <v>10.107651568130199</v>
      </c>
      <c r="I220" s="8">
        <v>0.99999858207225201</v>
      </c>
      <c r="J220" s="4">
        <f t="shared" si="12"/>
        <v>0.94907334917063346</v>
      </c>
      <c r="K220" s="16">
        <f t="shared" si="11"/>
        <v>9.3896524110812937E-2</v>
      </c>
      <c r="L220" s="16"/>
      <c r="N220" s="10"/>
      <c r="O220" s="10"/>
      <c r="P220" s="1"/>
      <c r="Q220" s="3"/>
      <c r="R220" s="3"/>
      <c r="S220" s="3"/>
      <c r="W220" s="15"/>
    </row>
    <row r="221" spans="1:23">
      <c r="A221" s="6">
        <f t="shared" si="10"/>
        <v>0.19999999999999996</v>
      </c>
      <c r="B221" s="6">
        <v>0.8</v>
      </c>
      <c r="C221" s="5">
        <v>3</v>
      </c>
      <c r="D221" s="8">
        <v>10.6419550447928</v>
      </c>
      <c r="E221" s="10">
        <v>4.8142156275510199</v>
      </c>
      <c r="F221" s="8">
        <v>0.99998644943966097</v>
      </c>
      <c r="G221" s="10"/>
      <c r="H221" s="8">
        <v>10.1107274819458</v>
      </c>
      <c r="I221" s="8">
        <v>0.99999885511465203</v>
      </c>
      <c r="J221" s="4">
        <f t="shared" si="12"/>
        <v>0.95008176969259661</v>
      </c>
      <c r="K221" s="16">
        <f t="shared" si="11"/>
        <v>9.396769632937968E-2</v>
      </c>
      <c r="L221" s="16"/>
      <c r="N221" s="10"/>
      <c r="O221" s="10"/>
      <c r="P221" s="1"/>
      <c r="Q221" s="3"/>
      <c r="R221" s="3"/>
      <c r="S221" s="3"/>
      <c r="W221" s="15"/>
    </row>
    <row r="222" spans="1:23">
      <c r="A222" s="6">
        <f t="shared" si="10"/>
        <v>9.9999999999999978E-2</v>
      </c>
      <c r="B222" s="6">
        <v>0.9</v>
      </c>
      <c r="C222" s="5">
        <v>1</v>
      </c>
      <c r="D222" s="8">
        <v>10.0350166525447</v>
      </c>
      <c r="E222" s="10">
        <v>1.25936555217507</v>
      </c>
      <c r="F222" s="8">
        <v>0.99999801945515598</v>
      </c>
      <c r="G222" s="10"/>
      <c r="H222" s="8">
        <v>10.982291026117201</v>
      </c>
      <c r="I222" s="8">
        <v>0.99999708295457601</v>
      </c>
      <c r="J222" s="4">
        <f t="shared" si="12"/>
        <v>1.0943968910437523</v>
      </c>
      <c r="K222" s="16">
        <f t="shared" si="11"/>
        <v>9.9651055361868079E-2</v>
      </c>
      <c r="L222" s="16"/>
      <c r="N222" s="10"/>
      <c r="O222" s="10"/>
      <c r="P222" s="1"/>
      <c r="Q222" s="3"/>
      <c r="R222" s="3"/>
      <c r="S222" s="3"/>
      <c r="W222" s="15"/>
    </row>
    <row r="223" spans="1:23">
      <c r="A223" s="6">
        <f t="shared" si="10"/>
        <v>9.9999999999999978E-2</v>
      </c>
      <c r="B223" s="6">
        <v>0.9</v>
      </c>
      <c r="C223" s="5">
        <v>1.5</v>
      </c>
      <c r="D223" s="8">
        <v>10.004726212732299</v>
      </c>
      <c r="E223" s="10">
        <v>1.88847734800573</v>
      </c>
      <c r="F223" s="8">
        <v>0.99999788905921605</v>
      </c>
      <c r="G223" s="10"/>
      <c r="H223" s="8">
        <v>10.9096095235577</v>
      </c>
      <c r="I223" s="8">
        <v>0.99999789404508699</v>
      </c>
      <c r="J223" s="4">
        <f t="shared" si="12"/>
        <v>1.0904455845752001</v>
      </c>
      <c r="K223" s="16">
        <f t="shared" si="11"/>
        <v>9.9952760199211801E-2</v>
      </c>
      <c r="L223" s="16"/>
      <c r="N223" s="10"/>
      <c r="O223" s="10"/>
      <c r="P223" s="1"/>
      <c r="Q223" s="3"/>
      <c r="R223" s="3"/>
      <c r="S223" s="3"/>
      <c r="W223" s="15"/>
    </row>
    <row r="224" spans="1:23">
      <c r="A224" s="6">
        <f t="shared" si="10"/>
        <v>9.9999999999999978E-2</v>
      </c>
      <c r="B224" s="6">
        <v>0.9</v>
      </c>
      <c r="C224" s="5">
        <v>2</v>
      </c>
      <c r="D224" s="8">
        <v>9.9796975230816098</v>
      </c>
      <c r="E224" s="10">
        <v>2.5173391701947301</v>
      </c>
      <c r="F224" s="8">
        <v>0.99999784201684105</v>
      </c>
      <c r="G224" s="10"/>
      <c r="H224" s="8">
        <v>10.869616482611001</v>
      </c>
      <c r="I224" s="8">
        <v>0.99999842564547203</v>
      </c>
      <c r="J224" s="4">
        <f t="shared" si="12"/>
        <v>1.0891729391067351</v>
      </c>
      <c r="K224" s="16">
        <f t="shared" si="11"/>
        <v>0.10020343779830435</v>
      </c>
      <c r="L224" s="16"/>
      <c r="N224" s="10"/>
      <c r="O224" s="10"/>
      <c r="P224" s="1"/>
      <c r="Q224" s="3"/>
      <c r="R224" s="3"/>
      <c r="S224" s="3"/>
      <c r="W224" s="15"/>
    </row>
    <row r="225" spans="1:23">
      <c r="A225" s="6">
        <f t="shared" si="10"/>
        <v>9.9999999999999978E-2</v>
      </c>
      <c r="B225" s="6">
        <v>0.9</v>
      </c>
      <c r="C225" s="5">
        <v>2.5</v>
      </c>
      <c r="D225" s="8">
        <v>9.9575397757623492</v>
      </c>
      <c r="E225" s="10">
        <v>3.14597461275538</v>
      </c>
      <c r="F225" s="8">
        <v>0.99999783412670395</v>
      </c>
      <c r="G225" s="10"/>
      <c r="H225" s="8">
        <v>10.844723979941399</v>
      </c>
      <c r="I225" s="8">
        <v>0.99999878491994099</v>
      </c>
      <c r="J225" s="4">
        <f t="shared" si="12"/>
        <v>1.089096727119137</v>
      </c>
      <c r="K225" s="16">
        <f t="shared" si="11"/>
        <v>0.10042641280069002</v>
      </c>
      <c r="L225" s="16"/>
      <c r="N225" s="10"/>
      <c r="O225" s="10"/>
      <c r="P225" s="1"/>
      <c r="Q225" s="3"/>
      <c r="R225" s="3"/>
      <c r="S225" s="3"/>
      <c r="W225" s="15"/>
    </row>
    <row r="226" spans="1:23">
      <c r="A226" s="6">
        <f t="shared" si="10"/>
        <v>9.9999999999999978E-2</v>
      </c>
      <c r="B226" s="6">
        <v>0.9</v>
      </c>
      <c r="C226" s="5">
        <v>3</v>
      </c>
      <c r="D226" s="8">
        <v>9.9374961509858206</v>
      </c>
      <c r="E226" s="10">
        <v>3.7744089388006099</v>
      </c>
      <c r="F226" s="8">
        <v>0.99999784659749702</v>
      </c>
      <c r="G226" s="10"/>
      <c r="H226" s="8">
        <v>10.8280532885039</v>
      </c>
      <c r="I226" s="8">
        <v>0.99999903812949298</v>
      </c>
      <c r="J226" s="4">
        <f t="shared" si="12"/>
        <v>1.0896158472906412</v>
      </c>
      <c r="K226" s="16">
        <f t="shared" si="11"/>
        <v>0.10062896979344217</v>
      </c>
      <c r="L226" s="16"/>
      <c r="N226" s="10"/>
      <c r="O226" s="10"/>
      <c r="P226" s="1"/>
      <c r="Q226" s="3"/>
      <c r="R226" s="3"/>
      <c r="S226" s="3"/>
      <c r="W226" s="15"/>
    </row>
    <row r="227" spans="1:23">
      <c r="A227" s="6">
        <f t="shared" si="10"/>
        <v>0.5</v>
      </c>
      <c r="B227" s="6">
        <v>0.5</v>
      </c>
      <c r="C227" s="5">
        <v>1</v>
      </c>
      <c r="D227" s="8">
        <v>12.7886851663695</v>
      </c>
      <c r="E227" s="10">
        <v>3.5761271110263801</v>
      </c>
      <c r="F227" s="8">
        <v>0.99995587545343401</v>
      </c>
      <c r="G227" s="10"/>
      <c r="H227" s="8">
        <v>8.3625983488350606</v>
      </c>
      <c r="I227" s="8">
        <v>0.99998864891817496</v>
      </c>
      <c r="J227" s="4">
        <f t="shared" si="12"/>
        <v>0.65390603021694893</v>
      </c>
      <c r="K227" s="16">
        <f t="shared" si="11"/>
        <v>7.8194121365166402E-2</v>
      </c>
      <c r="L227" s="16"/>
      <c r="N227" s="10"/>
      <c r="O227" s="10"/>
      <c r="P227" s="1"/>
      <c r="Q227" s="3"/>
      <c r="R227" s="3"/>
      <c r="S227" s="3"/>
      <c r="W227" s="15"/>
    </row>
    <row r="228" spans="1:23">
      <c r="A228" s="6">
        <f t="shared" si="10"/>
        <v>0.5</v>
      </c>
      <c r="B228" s="6">
        <v>0.5</v>
      </c>
      <c r="C228" s="5">
        <v>1.5</v>
      </c>
      <c r="D228" s="8">
        <v>12.7886828719187</v>
      </c>
      <c r="E228" s="10">
        <v>5.36419004727294</v>
      </c>
      <c r="F228" s="8">
        <v>0.99995479499286899</v>
      </c>
      <c r="G228" s="10"/>
      <c r="H228" s="8">
        <v>8.3627743617539192</v>
      </c>
      <c r="I228" s="8">
        <v>0.99998947428649998</v>
      </c>
      <c r="J228" s="4">
        <f t="shared" si="12"/>
        <v>0.65391991071393596</v>
      </c>
      <c r="K228" s="16">
        <f t="shared" si="11"/>
        <v>7.8194135394176745E-2</v>
      </c>
      <c r="L228" s="16"/>
      <c r="N228" s="10"/>
      <c r="O228" s="10"/>
      <c r="P228" s="1"/>
      <c r="Q228" s="3"/>
      <c r="R228" s="3"/>
      <c r="S228" s="3"/>
      <c r="W228" s="15"/>
    </row>
    <row r="229" spans="1:23">
      <c r="A229" s="6">
        <f t="shared" si="10"/>
        <v>0.5</v>
      </c>
      <c r="B229" s="6">
        <v>0.5</v>
      </c>
      <c r="C229" s="5">
        <v>2</v>
      </c>
      <c r="D229" s="8">
        <v>12.7886798188248</v>
      </c>
      <c r="E229" s="10">
        <v>7.1522527521040402</v>
      </c>
      <c r="F229" s="8">
        <v>0.99995380418211</v>
      </c>
      <c r="G229" s="10"/>
      <c r="H229" s="8">
        <v>8.3628371457753108</v>
      </c>
      <c r="I229" s="8">
        <v>0.99998995448349903</v>
      </c>
      <c r="J229" s="4">
        <f t="shared" si="12"/>
        <v>0.65392497617035528</v>
      </c>
      <c r="K229" s="16">
        <f t="shared" si="11"/>
        <v>7.8194154061782886E-2</v>
      </c>
      <c r="L229" s="16"/>
      <c r="N229" s="10"/>
      <c r="O229" s="10"/>
      <c r="P229" s="1"/>
      <c r="Q229" s="3"/>
      <c r="R229" s="3"/>
      <c r="S229" s="3"/>
      <c r="W229" s="15"/>
    </row>
    <row r="230" spans="1:23">
      <c r="A230" s="6">
        <f t="shared" si="10"/>
        <v>0.5</v>
      </c>
      <c r="B230" s="6">
        <v>0.5</v>
      </c>
      <c r="C230" s="5">
        <v>2.5</v>
      </c>
      <c r="D230" s="8">
        <v>12.788675948645301</v>
      </c>
      <c r="E230" s="10">
        <v>8.9403145750724509</v>
      </c>
      <c r="F230" s="8">
        <v>0.99995289188957703</v>
      </c>
      <c r="G230" s="10"/>
      <c r="H230" s="8">
        <v>8.3628665022325208</v>
      </c>
      <c r="I230" s="8">
        <v>0.99999027607286795</v>
      </c>
      <c r="J230" s="4">
        <f t="shared" si="12"/>
        <v>0.65392746956876302</v>
      </c>
      <c r="K230" s="16">
        <f t="shared" si="11"/>
        <v>7.8194177725328134E-2</v>
      </c>
      <c r="L230" s="16"/>
      <c r="N230" s="10"/>
      <c r="O230" s="10"/>
      <c r="P230" s="1"/>
      <c r="Q230" s="3"/>
      <c r="R230" s="3"/>
      <c r="S230" s="3"/>
      <c r="W230" s="15"/>
    </row>
    <row r="231" spans="1:23">
      <c r="A231" s="6">
        <f t="shared" si="10"/>
        <v>0.5</v>
      </c>
      <c r="B231" s="6">
        <v>0.5</v>
      </c>
      <c r="C231" s="5">
        <v>3</v>
      </c>
      <c r="D231" s="8">
        <v>12.7886712478143</v>
      </c>
      <c r="E231" s="10">
        <v>10.728375494802201</v>
      </c>
      <c r="F231" s="8">
        <v>0.999952043590563</v>
      </c>
      <c r="G231" s="10"/>
      <c r="H231" s="8">
        <v>8.3628825590679696</v>
      </c>
      <c r="I231" s="8">
        <v>0.99999050975100601</v>
      </c>
      <c r="J231" s="4">
        <f t="shared" si="12"/>
        <v>0.65392896548945711</v>
      </c>
      <c r="K231" s="16">
        <f t="shared" si="11"/>
        <v>7.8194206467768035E-2</v>
      </c>
      <c r="L231" s="16"/>
      <c r="N231" s="10"/>
      <c r="O231" s="10"/>
      <c r="P231" s="1"/>
      <c r="Q231" s="3"/>
      <c r="R231" s="3"/>
      <c r="S231" s="3"/>
      <c r="W231" s="15"/>
    </row>
    <row r="232" spans="1:23">
      <c r="A232" s="6">
        <f t="shared" si="10"/>
        <v>0.4</v>
      </c>
      <c r="B232" s="6">
        <v>0.6</v>
      </c>
      <c r="C232" s="5">
        <v>1</v>
      </c>
      <c r="D232" s="8">
        <v>12.0622677101919</v>
      </c>
      <c r="E232" s="10">
        <v>2.7075194505298801</v>
      </c>
      <c r="F232" s="8">
        <v>0.99996658066592803</v>
      </c>
      <c r="G232" s="10"/>
      <c r="H232" s="8">
        <v>8.9250469500841803</v>
      </c>
      <c r="I232" s="8">
        <v>0.99999251906578301</v>
      </c>
      <c r="J232" s="4">
        <f t="shared" si="12"/>
        <v>0.73991451396349339</v>
      </c>
      <c r="K232" s="16">
        <f t="shared" si="11"/>
        <v>8.2903150885555235E-2</v>
      </c>
      <c r="L232" s="16"/>
      <c r="N232" s="10"/>
      <c r="O232" s="10"/>
      <c r="P232" s="1"/>
      <c r="Q232" s="3"/>
      <c r="R232" s="3"/>
      <c r="S232" s="3"/>
      <c r="W232" s="15"/>
    </row>
    <row r="233" spans="1:23">
      <c r="A233" s="6">
        <f t="shared" si="10"/>
        <v>0.4</v>
      </c>
      <c r="B233" s="6">
        <v>0.6</v>
      </c>
      <c r="C233" s="5">
        <v>1.5</v>
      </c>
      <c r="D233" s="8">
        <v>12.062227952134499</v>
      </c>
      <c r="E233" s="10">
        <v>4.0612738015366103</v>
      </c>
      <c r="F233" s="8">
        <v>0.99996546501933303</v>
      </c>
      <c r="G233" s="10"/>
      <c r="H233" s="8">
        <v>8.9292455435797606</v>
      </c>
      <c r="I233" s="8">
        <v>0.99999317426892198</v>
      </c>
      <c r="J233" s="4">
        <f t="shared" si="12"/>
        <v>0.74026503055761483</v>
      </c>
      <c r="K233" s="16">
        <f t="shared" si="11"/>
        <v>8.2903424140897838E-2</v>
      </c>
      <c r="L233" s="16"/>
      <c r="N233" s="10"/>
      <c r="O233" s="10"/>
      <c r="P233" s="1"/>
      <c r="Q233" s="3"/>
      <c r="R233" s="3"/>
      <c r="S233" s="3"/>
      <c r="W233" s="15"/>
    </row>
    <row r="234" spans="1:23">
      <c r="A234" s="6">
        <f t="shared" si="10"/>
        <v>0.4</v>
      </c>
      <c r="B234" s="6">
        <v>0.6</v>
      </c>
      <c r="C234" s="5">
        <v>2</v>
      </c>
      <c r="D234" s="8">
        <v>12.062177433895499</v>
      </c>
      <c r="E234" s="10">
        <v>5.4150226956484104</v>
      </c>
      <c r="F234" s="8">
        <v>0.99996438573246205</v>
      </c>
      <c r="G234" s="10"/>
      <c r="H234" s="8">
        <v>8.9309288578770296</v>
      </c>
      <c r="I234" s="8">
        <v>0.99999362434132699</v>
      </c>
      <c r="J234" s="4">
        <f t="shared" si="12"/>
        <v>0.7404076840040954</v>
      </c>
      <c r="K234" s="16">
        <f t="shared" si="11"/>
        <v>8.2903771353083841E-2</v>
      </c>
      <c r="L234" s="16"/>
      <c r="N234" s="10"/>
      <c r="O234" s="10"/>
      <c r="P234" s="1"/>
      <c r="Q234" s="3"/>
      <c r="R234" s="3"/>
      <c r="S234" s="3"/>
      <c r="W234" s="15"/>
    </row>
    <row r="235" spans="1:23">
      <c r="A235" s="6">
        <f t="shared" si="10"/>
        <v>0.4</v>
      </c>
      <c r="B235" s="6">
        <v>0.6</v>
      </c>
      <c r="C235" s="5">
        <v>2.5</v>
      </c>
      <c r="D235" s="8">
        <v>12.062114424868</v>
      </c>
      <c r="E235" s="10">
        <v>6.7687642217088797</v>
      </c>
      <c r="F235" s="8">
        <v>0.99996335766752098</v>
      </c>
      <c r="G235" s="10"/>
      <c r="H235" s="8">
        <v>8.9317667802891396</v>
      </c>
      <c r="I235" s="8">
        <v>0.99999394580152601</v>
      </c>
      <c r="J235" s="4">
        <f t="shared" si="12"/>
        <v>0.74048101897249941</v>
      </c>
      <c r="K235" s="16">
        <f t="shared" si="11"/>
        <v>8.2904204418616539E-2</v>
      </c>
      <c r="L235" s="16"/>
      <c r="N235" s="10"/>
      <c r="O235" s="10"/>
      <c r="P235" s="1"/>
      <c r="Q235" s="3"/>
      <c r="R235" s="3"/>
      <c r="S235" s="3"/>
      <c r="W235" s="15"/>
    </row>
    <row r="236" spans="1:23">
      <c r="A236" s="6">
        <f t="shared" si="10"/>
        <v>0.4</v>
      </c>
      <c r="B236" s="6">
        <v>0.6</v>
      </c>
      <c r="C236" s="5">
        <v>3</v>
      </c>
      <c r="D236" s="8">
        <v>12.062038659692</v>
      </c>
      <c r="E236" s="10">
        <v>8.1224966550530802</v>
      </c>
      <c r="F236" s="8">
        <v>0.99996237692852596</v>
      </c>
      <c r="G236" s="10"/>
      <c r="H236" s="8">
        <v>8.93224317664456</v>
      </c>
      <c r="I236" s="8">
        <v>0.999994186337826</v>
      </c>
      <c r="J236" s="4">
        <f t="shared" si="12"/>
        <v>0.74052516565824389</v>
      </c>
      <c r="K236" s="16">
        <f t="shared" si="11"/>
        <v>8.290472516405735E-2</v>
      </c>
      <c r="L236" s="16"/>
      <c r="N236" s="10"/>
      <c r="O236" s="10"/>
      <c r="P236" s="1"/>
      <c r="Q236" s="3"/>
      <c r="R236" s="3"/>
      <c r="S236" s="3"/>
      <c r="W236" s="15"/>
    </row>
    <row r="237" spans="1:23">
      <c r="A237" s="6">
        <f t="shared" si="10"/>
        <v>0.30000000000000004</v>
      </c>
      <c r="B237" s="6">
        <v>0.7</v>
      </c>
      <c r="C237" s="5">
        <v>1</v>
      </c>
      <c r="D237" s="8">
        <v>11.353898318324999</v>
      </c>
      <c r="E237" s="10">
        <v>2.0727336447362301</v>
      </c>
      <c r="F237" s="8">
        <v>0.99997879192989603</v>
      </c>
      <c r="G237" s="10"/>
      <c r="H237" s="8">
        <v>9.4709977348136292</v>
      </c>
      <c r="I237" s="8">
        <v>0.999996981972329</v>
      </c>
      <c r="J237" s="4">
        <f t="shared" si="12"/>
        <v>0.83416263465453089</v>
      </c>
      <c r="K237" s="16">
        <f t="shared" si="11"/>
        <v>8.8075476101984893E-2</v>
      </c>
      <c r="L237" s="16"/>
      <c r="N237" s="10"/>
      <c r="O237" s="10"/>
      <c r="P237" s="1"/>
      <c r="Q237" s="3"/>
      <c r="R237" s="3"/>
      <c r="S237" s="3"/>
      <c r="W237" s="15"/>
    </row>
    <row r="238" spans="1:23">
      <c r="A238" s="6">
        <f t="shared" si="10"/>
        <v>0.30000000000000004</v>
      </c>
      <c r="B238" s="6">
        <v>0.7</v>
      </c>
      <c r="C238" s="5">
        <v>1.5</v>
      </c>
      <c r="D238" s="8">
        <v>11.353299156227299</v>
      </c>
      <c r="E238" s="10">
        <v>3.1090512666620902</v>
      </c>
      <c r="F238" s="8">
        <v>0.99997772293620701</v>
      </c>
      <c r="G238" s="10"/>
      <c r="H238" s="8">
        <v>9.4897381118201896</v>
      </c>
      <c r="I238" s="8">
        <v>0.99999714198075396</v>
      </c>
      <c r="J238" s="4">
        <f t="shared" si="12"/>
        <v>0.83585731171498778</v>
      </c>
      <c r="K238" s="16">
        <f t="shared" si="11"/>
        <v>8.8080124221116704E-2</v>
      </c>
      <c r="L238" s="16"/>
      <c r="N238" s="10"/>
      <c r="O238" s="10"/>
      <c r="P238" s="1"/>
      <c r="Q238" s="3"/>
      <c r="R238" s="3"/>
      <c r="S238" s="3"/>
      <c r="W238" s="15"/>
    </row>
    <row r="239" spans="1:23">
      <c r="A239" s="6">
        <f t="shared" si="10"/>
        <v>0.30000000000000004</v>
      </c>
      <c r="B239" s="6">
        <v>0.7</v>
      </c>
      <c r="C239" s="5">
        <v>2</v>
      </c>
      <c r="D239" s="8">
        <v>11.352587737512801</v>
      </c>
      <c r="E239" s="10">
        <v>4.1453237527440203</v>
      </c>
      <c r="F239" s="8">
        <v>0.99997663331594799</v>
      </c>
      <c r="G239" s="10"/>
      <c r="H239" s="8">
        <v>9.5022860750432798</v>
      </c>
      <c r="I239" s="8">
        <v>0.99999707133627103</v>
      </c>
      <c r="J239" s="4">
        <f t="shared" si="12"/>
        <v>0.83701498678089958</v>
      </c>
      <c r="K239" s="16">
        <f t="shared" si="11"/>
        <v>8.8085643830407123E-2</v>
      </c>
      <c r="L239" s="16"/>
      <c r="N239" s="10"/>
      <c r="O239" s="10"/>
      <c r="P239" s="1"/>
      <c r="Q239" s="3"/>
      <c r="R239" s="3"/>
      <c r="S239" s="3"/>
      <c r="W239" s="15"/>
    </row>
    <row r="240" spans="1:23">
      <c r="A240" s="6">
        <f t="shared" si="10"/>
        <v>0.30000000000000004</v>
      </c>
      <c r="B240" s="6">
        <v>0.7</v>
      </c>
      <c r="C240" s="5">
        <v>2.5</v>
      </c>
      <c r="D240" s="8">
        <v>11.351734158250199</v>
      </c>
      <c r="E240" s="10">
        <v>5.1815377811103103</v>
      </c>
      <c r="F240" s="8">
        <v>0.99997556021606504</v>
      </c>
      <c r="G240" s="10"/>
      <c r="H240" s="8">
        <v>9.5106791991141097</v>
      </c>
      <c r="I240" s="8">
        <v>0.99999701806937003</v>
      </c>
      <c r="J240" s="4">
        <f t="shared" si="12"/>
        <v>0.83781729439126706</v>
      </c>
      <c r="K240" s="16">
        <f t="shared" si="11"/>
        <v>8.8092267318753345E-2</v>
      </c>
      <c r="L240" s="16"/>
      <c r="N240" s="10"/>
      <c r="O240" s="10"/>
      <c r="P240" s="1"/>
      <c r="Q240" s="3"/>
      <c r="R240" s="3"/>
      <c r="S240" s="3"/>
      <c r="W240" s="15"/>
    </row>
    <row r="241" spans="1:23">
      <c r="A241" s="6">
        <f t="shared" si="10"/>
        <v>0.30000000000000004</v>
      </c>
      <c r="B241" s="6">
        <v>0.7</v>
      </c>
      <c r="C241" s="5">
        <v>3</v>
      </c>
      <c r="D241" s="8">
        <v>11.3507385897574</v>
      </c>
      <c r="E241" s="10">
        <v>6.21768178259207</v>
      </c>
      <c r="F241" s="8">
        <v>0.99997451126415604</v>
      </c>
      <c r="G241" s="10"/>
      <c r="H241" s="8">
        <v>9.5164803371842694</v>
      </c>
      <c r="I241" s="8">
        <v>0.99999700010042303</v>
      </c>
      <c r="J241" s="4">
        <f t="shared" si="12"/>
        <v>0.83840185922101007</v>
      </c>
      <c r="K241" s="16">
        <f t="shared" si="11"/>
        <v>8.8099993854353492E-2</v>
      </c>
      <c r="L241" s="16"/>
      <c r="N241" s="10"/>
      <c r="O241" s="10"/>
      <c r="P241" s="1"/>
      <c r="Q241" s="3"/>
      <c r="R241" s="3"/>
      <c r="S241" s="3"/>
      <c r="W241" s="15"/>
    </row>
    <row r="242" spans="1:23">
      <c r="A242" s="6">
        <f t="shared" si="10"/>
        <v>0.19999999999999996</v>
      </c>
      <c r="B242" s="6">
        <v>0.8</v>
      </c>
      <c r="C242" s="5">
        <v>1</v>
      </c>
      <c r="D242" s="8">
        <v>10.6763831025113</v>
      </c>
      <c r="E242" s="10">
        <v>1.60577550888316</v>
      </c>
      <c r="F242" s="8">
        <v>0.99998997463219197</v>
      </c>
      <c r="G242" s="10"/>
      <c r="H242" s="8">
        <v>10.123008052690899</v>
      </c>
      <c r="I242" s="8">
        <v>0.99999509759247296</v>
      </c>
      <c r="J242" s="4">
        <f t="shared" si="12"/>
        <v>0.94816830339384917</v>
      </c>
      <c r="K242" s="16">
        <f t="shared" si="11"/>
        <v>9.3664679358010289E-2</v>
      </c>
      <c r="L242" s="16"/>
      <c r="N242" s="10"/>
      <c r="O242" s="10"/>
      <c r="P242" s="1"/>
      <c r="Q242" s="3"/>
      <c r="R242" s="3"/>
      <c r="S242" s="3"/>
      <c r="W242" s="15"/>
    </row>
    <row r="243" spans="1:23">
      <c r="A243" s="6">
        <f t="shared" si="10"/>
        <v>0.19999999999999996</v>
      </c>
      <c r="B243" s="6">
        <v>0.8</v>
      </c>
      <c r="C243" s="5">
        <v>1.5</v>
      </c>
      <c r="D243" s="8">
        <v>10.6699894674791</v>
      </c>
      <c r="E243" s="10">
        <v>2.4083747051135398</v>
      </c>
      <c r="F243" s="8">
        <v>0.99998919696706201</v>
      </c>
      <c r="G243" s="10"/>
      <c r="H243" s="8">
        <v>10.100536470661901</v>
      </c>
      <c r="I243" s="8">
        <v>0.99999718007352401</v>
      </c>
      <c r="J243" s="4">
        <f t="shared" si="12"/>
        <v>0.94663040684783928</v>
      </c>
      <c r="K243" s="16">
        <f t="shared" si="11"/>
        <v>9.3720804790659348E-2</v>
      </c>
      <c r="L243" s="16"/>
      <c r="N243" s="10"/>
      <c r="O243" s="10"/>
      <c r="P243" s="1"/>
      <c r="Q243" s="3"/>
      <c r="R243" s="3"/>
      <c r="S243" s="3"/>
      <c r="W243" s="15"/>
    </row>
    <row r="244" spans="1:23">
      <c r="A244" s="6">
        <f t="shared" si="10"/>
        <v>0.19999999999999996</v>
      </c>
      <c r="B244" s="6">
        <v>0.8</v>
      </c>
      <c r="C244" s="5">
        <v>2</v>
      </c>
      <c r="D244" s="8">
        <v>10.6632005721965</v>
      </c>
      <c r="E244" s="10">
        <v>3.2107575412454699</v>
      </c>
      <c r="F244" s="8">
        <v>0.99998843179814401</v>
      </c>
      <c r="G244" s="10"/>
      <c r="H244" s="8">
        <v>10.0941015123529</v>
      </c>
      <c r="I244" s="8">
        <v>0.99999813120908898</v>
      </c>
      <c r="J244" s="4">
        <f t="shared" si="12"/>
        <v>0.94662962062933687</v>
      </c>
      <c r="K244" s="16">
        <f t="shared" si="11"/>
        <v>9.3780473623222033E-2</v>
      </c>
      <c r="L244" s="16"/>
      <c r="N244" s="10"/>
      <c r="O244" s="10"/>
      <c r="P244" s="1"/>
      <c r="Q244" s="3"/>
      <c r="R244" s="3"/>
      <c r="S244" s="3"/>
      <c r="W244" s="15"/>
    </row>
    <row r="245" spans="1:23">
      <c r="A245" s="6">
        <f t="shared" si="10"/>
        <v>0.19999999999999996</v>
      </c>
      <c r="B245" s="6">
        <v>0.8</v>
      </c>
      <c r="C245" s="5">
        <v>2.5</v>
      </c>
      <c r="D245" s="8">
        <v>10.655784450249801</v>
      </c>
      <c r="E245" s="10">
        <v>4.0128885105331404</v>
      </c>
      <c r="F245" s="8">
        <v>0.99998770349059896</v>
      </c>
      <c r="G245" s="10"/>
      <c r="H245" s="8">
        <v>10.093724917208</v>
      </c>
      <c r="I245" s="8">
        <v>0.99999863426873004</v>
      </c>
      <c r="J245" s="4">
        <f t="shared" si="12"/>
        <v>0.94725310598520751</v>
      </c>
      <c r="K245" s="16">
        <f t="shared" si="11"/>
        <v>9.3845742157120798E-2</v>
      </c>
      <c r="L245" s="16"/>
      <c r="N245" s="10"/>
      <c r="O245" s="10"/>
      <c r="P245" s="1"/>
      <c r="Q245" s="3"/>
      <c r="R245" s="3"/>
      <c r="S245" s="3"/>
      <c r="W245" s="15"/>
    </row>
    <row r="246" spans="1:23">
      <c r="A246" s="6">
        <f t="shared" si="10"/>
        <v>0.19999999999999996</v>
      </c>
      <c r="B246" s="6">
        <v>0.8</v>
      </c>
      <c r="C246" s="5">
        <v>3</v>
      </c>
      <c r="D246" s="8">
        <v>10.647813964012</v>
      </c>
      <c r="E246" s="10">
        <v>4.8147456035581104</v>
      </c>
      <c r="F246" s="8">
        <v>0.99998701785873401</v>
      </c>
      <c r="G246" s="10"/>
      <c r="H246" s="8">
        <v>10.095955536453999</v>
      </c>
      <c r="I246" s="8">
        <v>0.99999891994452095</v>
      </c>
      <c r="J246" s="4">
        <f t="shared" si="12"/>
        <v>0.94817166890563653</v>
      </c>
      <c r="K246" s="16">
        <f t="shared" si="11"/>
        <v>9.391599096113519E-2</v>
      </c>
      <c r="L246" s="16"/>
      <c r="N246" s="10"/>
      <c r="O246" s="10"/>
      <c r="P246" s="1"/>
      <c r="Q246" s="3"/>
      <c r="R246" s="3"/>
      <c r="S246" s="3"/>
      <c r="W246" s="15"/>
    </row>
    <row r="247" spans="1:23">
      <c r="A247" s="6">
        <f t="shared" si="10"/>
        <v>9.9999999999999978E-2</v>
      </c>
      <c r="B247" s="6">
        <v>0.9</v>
      </c>
      <c r="C247" s="5">
        <v>1</v>
      </c>
      <c r="D247" s="8">
        <v>10.0372950209909</v>
      </c>
      <c r="E247" s="10">
        <v>1.2593941420183301</v>
      </c>
      <c r="F247" s="8">
        <v>0.99999806891693499</v>
      </c>
      <c r="G247" s="10"/>
      <c r="H247" s="8">
        <v>10.9802096527446</v>
      </c>
      <c r="I247" s="8">
        <v>0.99999707604778898</v>
      </c>
      <c r="J247" s="4">
        <f t="shared" si="12"/>
        <v>1.093941109609889</v>
      </c>
      <c r="K247" s="16">
        <f t="shared" si="11"/>
        <v>9.9628435540522572E-2</v>
      </c>
      <c r="L247" s="16"/>
      <c r="N247" s="10"/>
      <c r="O247" s="10"/>
      <c r="P247" s="1"/>
      <c r="Q247" s="3"/>
      <c r="R247" s="3"/>
      <c r="S247" s="3"/>
      <c r="W247" s="15"/>
    </row>
    <row r="248" spans="1:23">
      <c r="A248" s="6">
        <f t="shared" si="10"/>
        <v>9.9999999999999978E-2</v>
      </c>
      <c r="B248" s="6">
        <v>0.9</v>
      </c>
      <c r="C248" s="5">
        <v>1.5</v>
      </c>
      <c r="D248" s="8">
        <v>10.007439483431799</v>
      </c>
      <c r="E248" s="10">
        <v>1.88852855694291</v>
      </c>
      <c r="F248" s="8">
        <v>0.99999795429043203</v>
      </c>
      <c r="G248" s="10"/>
      <c r="H248" s="8">
        <v>10.906833103045701</v>
      </c>
      <c r="I248" s="8">
        <v>0.99999788773948795</v>
      </c>
      <c r="J248" s="4">
        <f t="shared" si="12"/>
        <v>1.0898725014628294</v>
      </c>
      <c r="K248" s="16">
        <f t="shared" si="11"/>
        <v>9.9925660470451844E-2</v>
      </c>
      <c r="L248" s="16"/>
      <c r="N248" s="10"/>
      <c r="O248" s="10"/>
      <c r="P248" s="1"/>
      <c r="Q248" s="3"/>
      <c r="R248" s="3"/>
      <c r="S248" s="3"/>
      <c r="W248" s="15"/>
    </row>
    <row r="249" spans="1:23">
      <c r="A249" s="6">
        <f t="shared" si="10"/>
        <v>9.9999999999999978E-2</v>
      </c>
      <c r="B249" s="6">
        <v>0.9</v>
      </c>
      <c r="C249" s="5">
        <v>2</v>
      </c>
      <c r="D249" s="8">
        <v>9.9827809284263491</v>
      </c>
      <c r="E249" s="10">
        <v>2.51741693697962</v>
      </c>
      <c r="F249" s="8">
        <v>0.99999792028576695</v>
      </c>
      <c r="G249" s="10"/>
      <c r="H249" s="8">
        <v>10.866244537598799</v>
      </c>
      <c r="I249" s="8">
        <v>0.99999841944252799</v>
      </c>
      <c r="J249" s="4">
        <f t="shared" si="12"/>
        <v>1.0884987475440591</v>
      </c>
      <c r="K249" s="16">
        <f t="shared" si="11"/>
        <v>0.10017248772358231</v>
      </c>
      <c r="L249" s="16"/>
      <c r="N249" s="10"/>
      <c r="O249" s="10"/>
      <c r="P249" s="1"/>
      <c r="Q249" s="3"/>
      <c r="R249" s="3"/>
      <c r="S249" s="3"/>
      <c r="W249" s="15"/>
    </row>
    <row r="250" spans="1:23">
      <c r="A250" s="6">
        <f t="shared" si="10"/>
        <v>9.9999999999999978E-2</v>
      </c>
      <c r="B250" s="6">
        <v>0.9</v>
      </c>
      <c r="C250" s="5">
        <v>2.5</v>
      </c>
      <c r="D250" s="8">
        <v>9.96096541303001</v>
      </c>
      <c r="E250" s="10">
        <v>3.14608282525636</v>
      </c>
      <c r="F250" s="8">
        <v>0.99999792372283303</v>
      </c>
      <c r="G250" s="10"/>
      <c r="H250" s="8">
        <v>10.840823699368899</v>
      </c>
      <c r="I250" s="8">
        <v>0.99999877858333497</v>
      </c>
      <c r="J250" s="4">
        <f t="shared" si="12"/>
        <v>1.0883306235746928</v>
      </c>
      <c r="K250" s="16">
        <f t="shared" si="11"/>
        <v>0.10039187553968341</v>
      </c>
      <c r="L250" s="16"/>
      <c r="N250" s="10"/>
      <c r="O250" s="10"/>
      <c r="P250" s="1"/>
      <c r="Q250" s="3"/>
      <c r="R250" s="3"/>
      <c r="S250" s="3"/>
      <c r="W250" s="15"/>
    </row>
    <row r="251" spans="1:23">
      <c r="A251" s="6">
        <f t="shared" si="10"/>
        <v>9.9999999999999978E-2</v>
      </c>
      <c r="B251" s="6">
        <v>0.9</v>
      </c>
      <c r="C251" s="5">
        <v>3</v>
      </c>
      <c r="D251" s="8">
        <v>9.9412494674132894</v>
      </c>
      <c r="E251" s="10">
        <v>3.7745514710678298</v>
      </c>
      <c r="F251" s="8">
        <v>0.99999794632917605</v>
      </c>
      <c r="G251" s="10"/>
      <c r="H251" s="8">
        <v>10.8236756803476</v>
      </c>
      <c r="I251" s="8">
        <v>0.99999903160036696</v>
      </c>
      <c r="J251" s="4">
        <f t="shared" si="12"/>
        <v>1.0887641151976761</v>
      </c>
      <c r="K251" s="16">
        <f t="shared" si="11"/>
        <v>0.10059097734926872</v>
      </c>
      <c r="L251" s="16"/>
      <c r="N251" s="10"/>
      <c r="O251" s="10"/>
      <c r="P251" s="1"/>
      <c r="Q251" s="3"/>
      <c r="R251" s="3"/>
      <c r="S251" s="3"/>
      <c r="W251" s="15"/>
    </row>
    <row r="252" spans="1:23">
      <c r="A252" s="6">
        <f t="shared" si="10"/>
        <v>0.5</v>
      </c>
      <c r="B252" s="6">
        <v>0.5</v>
      </c>
      <c r="C252" s="5">
        <v>1</v>
      </c>
      <c r="D252" s="8">
        <v>12.7974921693441</v>
      </c>
      <c r="E252" s="10">
        <v>3.5773582600416298</v>
      </c>
      <c r="F252" s="8">
        <v>0.99995787834828598</v>
      </c>
      <c r="G252" s="10"/>
      <c r="H252" s="8">
        <v>8.3529359077549703</v>
      </c>
      <c r="I252" s="8">
        <v>0.999988639330328</v>
      </c>
      <c r="J252" s="4">
        <f t="shared" si="12"/>
        <v>0.65270099775986634</v>
      </c>
      <c r="K252" s="16">
        <f t="shared" si="11"/>
        <v>7.8140309583112036E-2</v>
      </c>
      <c r="L252" s="16"/>
      <c r="N252" s="10"/>
      <c r="O252" s="10"/>
      <c r="P252" s="1"/>
      <c r="Q252" s="3"/>
      <c r="R252" s="3"/>
      <c r="S252" s="3"/>
      <c r="W252" s="15"/>
    </row>
    <row r="253" spans="1:23">
      <c r="A253" s="6">
        <f t="shared" si="10"/>
        <v>0.5</v>
      </c>
      <c r="B253" s="6">
        <v>0.5</v>
      </c>
      <c r="C253" s="5">
        <v>1.5</v>
      </c>
      <c r="D253" s="8">
        <v>12.797489900327699</v>
      </c>
      <c r="E253" s="10">
        <v>5.3660367845176502</v>
      </c>
      <c r="F253" s="8">
        <v>0.99995684653241901</v>
      </c>
      <c r="G253" s="10"/>
      <c r="H253" s="8">
        <v>8.3531766236508496</v>
      </c>
      <c r="I253" s="8">
        <v>0.99998951027271699</v>
      </c>
      <c r="J253" s="4">
        <f t="shared" si="12"/>
        <v>0.65271992310280735</v>
      </c>
      <c r="K253" s="16">
        <f t="shared" si="11"/>
        <v>7.8140323437519837E-2</v>
      </c>
      <c r="L253" s="16"/>
      <c r="N253" s="10"/>
      <c r="O253" s="10"/>
      <c r="P253" s="1"/>
      <c r="Q253" s="3"/>
      <c r="R253" s="3"/>
      <c r="S253" s="3"/>
      <c r="W253" s="15"/>
    </row>
    <row r="254" spans="1:23">
      <c r="A254" s="6">
        <f t="shared" si="10"/>
        <v>0.5</v>
      </c>
      <c r="B254" s="6">
        <v>0.5</v>
      </c>
      <c r="C254" s="5">
        <v>2</v>
      </c>
      <c r="D254" s="8">
        <v>12.7974868909803</v>
      </c>
      <c r="E254" s="10">
        <v>7.1547150680104297</v>
      </c>
      <c r="F254" s="8">
        <v>0.99995590041736004</v>
      </c>
      <c r="G254" s="10"/>
      <c r="H254" s="8">
        <v>8.3532627783928497</v>
      </c>
      <c r="I254" s="8">
        <v>0.99999001807736998</v>
      </c>
      <c r="J254" s="4">
        <f t="shared" si="12"/>
        <v>0.65272680875182221</v>
      </c>
      <c r="K254" s="16">
        <f t="shared" si="11"/>
        <v>7.8140341812328984E-2</v>
      </c>
      <c r="L254" s="16"/>
      <c r="N254" s="10"/>
      <c r="O254" s="10"/>
      <c r="P254" s="1"/>
      <c r="Q254" s="3"/>
      <c r="R254" s="3"/>
      <c r="S254" s="3"/>
      <c r="W254" s="15"/>
    </row>
    <row r="255" spans="1:23">
      <c r="A255" s="6">
        <f t="shared" si="10"/>
        <v>0.5</v>
      </c>
      <c r="B255" s="6">
        <v>0.5</v>
      </c>
      <c r="C255" s="5">
        <v>2.5</v>
      </c>
      <c r="D255" s="8">
        <v>12.797483068253101</v>
      </c>
      <c r="E255" s="10">
        <v>8.94339248787937</v>
      </c>
      <c r="F255" s="8">
        <v>0.99995502931779401</v>
      </c>
      <c r="G255" s="10"/>
      <c r="H255" s="8">
        <v>8.3533031273861305</v>
      </c>
      <c r="I255" s="8">
        <v>0.99999035851942497</v>
      </c>
      <c r="J255" s="4">
        <f t="shared" si="12"/>
        <v>0.65273015661245837</v>
      </c>
      <c r="K255" s="16">
        <f t="shared" si="11"/>
        <v>7.8140365153575725E-2</v>
      </c>
      <c r="L255" s="16"/>
      <c r="N255" s="10"/>
      <c r="O255" s="10"/>
      <c r="P255" s="1"/>
      <c r="Q255" s="3"/>
      <c r="R255" s="3"/>
      <c r="S255" s="3"/>
      <c r="W255" s="15"/>
    </row>
    <row r="256" spans="1:23">
      <c r="A256" s="6">
        <f t="shared" si="10"/>
        <v>0.5</v>
      </c>
      <c r="B256" s="6">
        <v>0.5</v>
      </c>
      <c r="C256" s="5">
        <v>3</v>
      </c>
      <c r="D256" s="8">
        <v>12.7974784271609</v>
      </c>
      <c r="E256" s="10">
        <v>10.732069017811099</v>
      </c>
      <c r="F256" s="8">
        <v>0.999954219344383</v>
      </c>
      <c r="G256" s="10"/>
      <c r="H256" s="8">
        <v>8.3533252028678699</v>
      </c>
      <c r="I256" s="8">
        <v>0.999990606125301</v>
      </c>
      <c r="J256" s="4">
        <f t="shared" si="12"/>
        <v>0.65273211831629874</v>
      </c>
      <c r="K256" s="16">
        <f t="shared" si="11"/>
        <v>7.8140393491708218E-2</v>
      </c>
      <c r="L256" s="16"/>
      <c r="N256" s="10"/>
      <c r="O256" s="10"/>
      <c r="P256" s="1"/>
      <c r="Q256" s="3"/>
      <c r="R256" s="3"/>
      <c r="S256" s="3"/>
      <c r="W256" s="15"/>
    </row>
    <row r="257" spans="1:23">
      <c r="A257" s="6">
        <f t="shared" si="10"/>
        <v>0.4</v>
      </c>
      <c r="B257" s="6">
        <v>0.6</v>
      </c>
      <c r="C257" s="5">
        <v>1</v>
      </c>
      <c r="D257" s="8">
        <v>12.0698148413049</v>
      </c>
      <c r="E257" s="10">
        <v>2.7081969401151298</v>
      </c>
      <c r="F257" s="8">
        <v>0.99996789247946505</v>
      </c>
      <c r="G257" s="10"/>
      <c r="H257" s="8">
        <v>8.9142002312138402</v>
      </c>
      <c r="I257" s="8">
        <v>0.99999249712490101</v>
      </c>
      <c r="J257" s="4">
        <f t="shared" si="12"/>
        <v>0.73855318813242887</v>
      </c>
      <c r="K257" s="16">
        <f t="shared" si="11"/>
        <v>8.2851312397754007E-2</v>
      </c>
      <c r="L257" s="16"/>
      <c r="N257" s="10"/>
      <c r="O257" s="10"/>
      <c r="P257" s="1"/>
      <c r="Q257" s="3"/>
      <c r="R257" s="3"/>
      <c r="S257" s="3"/>
      <c r="W257" s="15"/>
    </row>
    <row r="258" spans="1:23">
      <c r="A258" s="6">
        <f t="shared" si="10"/>
        <v>0.4</v>
      </c>
      <c r="B258" s="6">
        <v>0.6</v>
      </c>
      <c r="C258" s="5">
        <v>1.5</v>
      </c>
      <c r="D258" s="8">
        <v>12.069775477932099</v>
      </c>
      <c r="E258" s="10">
        <v>4.0622900927269097</v>
      </c>
      <c r="F258" s="8">
        <v>0.999966820242568</v>
      </c>
      <c r="G258" s="10"/>
      <c r="H258" s="8">
        <v>8.9196044881720393</v>
      </c>
      <c r="I258" s="8">
        <v>0.99999307859616804</v>
      </c>
      <c r="J258" s="4">
        <f t="shared" si="12"/>
        <v>0.73900334803081402</v>
      </c>
      <c r="K258" s="16">
        <f t="shared" si="11"/>
        <v>8.2851582602208346E-2</v>
      </c>
      <c r="L258" s="16"/>
      <c r="N258" s="10"/>
      <c r="O258" s="10"/>
      <c r="P258" s="1"/>
      <c r="Q258" s="3"/>
      <c r="R258" s="3"/>
      <c r="S258" s="3"/>
      <c r="W258" s="15"/>
    </row>
    <row r="259" spans="1:23">
      <c r="A259" s="6">
        <f t="shared" ref="A259:A322" si="13">1-B259</f>
        <v>0.4</v>
      </c>
      <c r="B259" s="6">
        <v>0.6</v>
      </c>
      <c r="C259" s="5">
        <v>2</v>
      </c>
      <c r="D259" s="8">
        <v>12.0697254736888</v>
      </c>
      <c r="E259" s="10">
        <v>5.4163778446167798</v>
      </c>
      <c r="F259" s="8">
        <v>0.99996578308972595</v>
      </c>
      <c r="G259" s="10"/>
      <c r="H259" s="8">
        <v>8.9218154220682493</v>
      </c>
      <c r="I259" s="8">
        <v>0.99999351841951101</v>
      </c>
      <c r="J259" s="4">
        <f t="shared" si="12"/>
        <v>0.73918958981438432</v>
      </c>
      <c r="K259" s="16">
        <f t="shared" ref="K259:K322" si="14">1/D259</f>
        <v>8.2851925851995023E-2</v>
      </c>
      <c r="L259" s="16"/>
      <c r="N259" s="10"/>
      <c r="O259" s="10"/>
      <c r="P259" s="1"/>
      <c r="Q259" s="3"/>
      <c r="R259" s="3"/>
      <c r="S259" s="3"/>
      <c r="W259" s="15"/>
    </row>
    <row r="260" spans="1:23">
      <c r="A260" s="6">
        <f t="shared" si="13"/>
        <v>0.4</v>
      </c>
      <c r="B260" s="6">
        <v>0.6</v>
      </c>
      <c r="C260" s="5">
        <v>2.5</v>
      </c>
      <c r="D260" s="8">
        <v>12.069663110871801</v>
      </c>
      <c r="E260" s="10">
        <v>6.7704583101034901</v>
      </c>
      <c r="F260" s="8">
        <v>0.99996479522850301</v>
      </c>
      <c r="G260" s="10"/>
      <c r="H260" s="8">
        <v>8.9229282941776908</v>
      </c>
      <c r="I260" s="8">
        <v>0.99999384496826704</v>
      </c>
      <c r="J260" s="4">
        <f t="shared" ref="J260:J323" si="15">H260/D260</f>
        <v>0.73928561321155062</v>
      </c>
      <c r="K260" s="16">
        <f t="shared" si="14"/>
        <v>8.2852353940123288E-2</v>
      </c>
      <c r="L260" s="16"/>
      <c r="N260" s="10"/>
      <c r="O260" s="10"/>
      <c r="P260" s="1"/>
      <c r="Q260" s="3"/>
      <c r="R260" s="3"/>
      <c r="S260" s="3"/>
      <c r="W260" s="15"/>
    </row>
    <row r="261" spans="1:23">
      <c r="A261" s="6">
        <f t="shared" si="13"/>
        <v>0.4</v>
      </c>
      <c r="B261" s="6">
        <v>0.6</v>
      </c>
      <c r="C261" s="5">
        <v>3</v>
      </c>
      <c r="D261" s="8">
        <v>12.0695881344021</v>
      </c>
      <c r="E261" s="10">
        <v>8.1245297789947308</v>
      </c>
      <c r="F261" s="8">
        <v>0.99996385288827605</v>
      </c>
      <c r="G261" s="10"/>
      <c r="H261" s="8">
        <v>8.9235654922303098</v>
      </c>
      <c r="I261" s="8">
        <v>0.99999409435140996</v>
      </c>
      <c r="J261" s="4">
        <f t="shared" si="15"/>
        <v>0.73934299935184689</v>
      </c>
      <c r="K261" s="16">
        <f t="shared" si="14"/>
        <v>8.2852868620237954E-2</v>
      </c>
      <c r="L261" s="16"/>
      <c r="N261" s="10"/>
      <c r="O261" s="10"/>
      <c r="P261" s="1"/>
      <c r="Q261" s="3"/>
      <c r="R261" s="3"/>
      <c r="S261" s="3"/>
      <c r="W261" s="15"/>
    </row>
    <row r="262" spans="1:23">
      <c r="A262" s="6">
        <f t="shared" si="13"/>
        <v>0.30000000000000004</v>
      </c>
      <c r="B262" s="6">
        <v>0.7</v>
      </c>
      <c r="C262" s="5">
        <v>1</v>
      </c>
      <c r="D262" s="8">
        <v>11.3598037212553</v>
      </c>
      <c r="E262" s="10">
        <v>2.0730570087806299</v>
      </c>
      <c r="F262" s="8">
        <v>0.99997951232603899</v>
      </c>
      <c r="G262" s="10"/>
      <c r="H262" s="8">
        <v>9.4553413866102698</v>
      </c>
      <c r="I262" s="8">
        <v>0.99999726619853202</v>
      </c>
      <c r="J262" s="4">
        <f t="shared" si="15"/>
        <v>0.83235077107172228</v>
      </c>
      <c r="K262" s="16">
        <f t="shared" si="14"/>
        <v>8.8029689996219088E-2</v>
      </c>
      <c r="L262" s="16"/>
      <c r="N262" s="10"/>
      <c r="O262" s="10"/>
      <c r="P262" s="1"/>
      <c r="Q262" s="3"/>
      <c r="R262" s="3"/>
      <c r="S262" s="3"/>
      <c r="W262" s="15"/>
    </row>
    <row r="263" spans="1:23">
      <c r="A263" s="6">
        <f t="shared" si="13"/>
        <v>0.30000000000000004</v>
      </c>
      <c r="B263" s="6">
        <v>0.7</v>
      </c>
      <c r="C263" s="5">
        <v>1.5</v>
      </c>
      <c r="D263" s="8">
        <v>11.359212233159299</v>
      </c>
      <c r="E263" s="10">
        <v>3.1095369599319902</v>
      </c>
      <c r="F263" s="8">
        <v>0.99997848136047296</v>
      </c>
      <c r="G263" s="10"/>
      <c r="H263" s="8">
        <v>9.4744644238908098</v>
      </c>
      <c r="I263" s="8">
        <v>0.99999741777506301</v>
      </c>
      <c r="J263" s="4">
        <f t="shared" si="15"/>
        <v>0.83407759529603476</v>
      </c>
      <c r="K263" s="16">
        <f t="shared" si="14"/>
        <v>8.8034273810013441E-2</v>
      </c>
      <c r="L263" s="16"/>
      <c r="N263" s="10"/>
      <c r="O263" s="10"/>
      <c r="P263" s="1"/>
      <c r="Q263" s="3"/>
      <c r="R263" s="3"/>
      <c r="S263" s="3"/>
      <c r="W263" s="15"/>
    </row>
    <row r="264" spans="1:23">
      <c r="A264" s="6">
        <f t="shared" si="13"/>
        <v>0.30000000000000004</v>
      </c>
      <c r="B264" s="6">
        <v>0.7</v>
      </c>
      <c r="C264" s="5">
        <v>2</v>
      </c>
      <c r="D264" s="8">
        <v>11.358507663046799</v>
      </c>
      <c r="E264" s="10">
        <v>4.1459721199873103</v>
      </c>
      <c r="F264" s="8">
        <v>0.99997742970231596</v>
      </c>
      <c r="G264" s="10"/>
      <c r="H264" s="8">
        <v>9.4881761541942797</v>
      </c>
      <c r="I264" s="8">
        <v>0.99999728155032197</v>
      </c>
      <c r="J264" s="4">
        <f t="shared" si="15"/>
        <v>0.83533651036417733</v>
      </c>
      <c r="K264" s="16">
        <f t="shared" si="14"/>
        <v>8.8039734590605601E-2</v>
      </c>
      <c r="L264" s="16"/>
      <c r="N264" s="10"/>
      <c r="O264" s="10"/>
      <c r="P264" s="1"/>
      <c r="Q264" s="3"/>
      <c r="R264" s="3"/>
      <c r="S264" s="3"/>
      <c r="W264" s="15"/>
    </row>
    <row r="265" spans="1:23">
      <c r="A265" s="6">
        <f t="shared" si="13"/>
        <v>0.30000000000000004</v>
      </c>
      <c r="B265" s="6">
        <v>0.7</v>
      </c>
      <c r="C265" s="5">
        <v>2.5</v>
      </c>
      <c r="D265" s="8">
        <v>11.3576617072237</v>
      </c>
      <c r="E265" s="10">
        <v>5.1823493290733902</v>
      </c>
      <c r="F265" s="8">
        <v>0.99997639396045301</v>
      </c>
      <c r="G265" s="10"/>
      <c r="H265" s="8">
        <v>9.4977270645188803</v>
      </c>
      <c r="I265" s="8">
        <v>0.99999716181329801</v>
      </c>
      <c r="J265" s="4">
        <f t="shared" si="15"/>
        <v>0.83623965120198429</v>
      </c>
      <c r="K265" s="16">
        <f t="shared" si="14"/>
        <v>8.8046292078234722E-2</v>
      </c>
      <c r="L265" s="16"/>
      <c r="N265" s="10"/>
      <c r="O265" s="10"/>
      <c r="P265" s="1"/>
      <c r="Q265" s="3"/>
      <c r="R265" s="3"/>
      <c r="S265" s="3"/>
      <c r="W265" s="15"/>
    </row>
    <row r="266" spans="1:23">
      <c r="A266" s="6">
        <f t="shared" si="13"/>
        <v>0.30000000000000004</v>
      </c>
      <c r="B266" s="6">
        <v>0.7</v>
      </c>
      <c r="C266" s="5">
        <v>3</v>
      </c>
      <c r="D266" s="8">
        <v>11.356674894868799</v>
      </c>
      <c r="E266" s="10">
        <v>6.2186571366818999</v>
      </c>
      <c r="F266" s="8">
        <v>0.99997538167000699</v>
      </c>
      <c r="G266" s="10"/>
      <c r="H266" s="8">
        <v>9.5045146235490208</v>
      </c>
      <c r="I266" s="8">
        <v>0.99999708966185297</v>
      </c>
      <c r="J266" s="4">
        <f t="shared" si="15"/>
        <v>0.83690998567224761</v>
      </c>
      <c r="K266" s="16">
        <f t="shared" si="14"/>
        <v>8.8053942659908527E-2</v>
      </c>
      <c r="L266" s="16"/>
      <c r="N266" s="10"/>
      <c r="O266" s="10"/>
      <c r="P266" s="1"/>
      <c r="Q266" s="3"/>
      <c r="R266" s="3"/>
      <c r="S266" s="3"/>
      <c r="W266" s="15"/>
    </row>
    <row r="267" spans="1:23">
      <c r="A267" s="6">
        <f t="shared" si="13"/>
        <v>0.19999999999999996</v>
      </c>
      <c r="B267" s="6">
        <v>0.8</v>
      </c>
      <c r="C267" s="5">
        <v>1</v>
      </c>
      <c r="D267" s="8">
        <v>10.680314186120199</v>
      </c>
      <c r="E267" s="10">
        <v>1.60589374192012</v>
      </c>
      <c r="F267" s="8">
        <v>0.99999025436988098</v>
      </c>
      <c r="G267" s="10"/>
      <c r="H267" s="8">
        <v>10.116977784343099</v>
      </c>
      <c r="I267" s="8">
        <v>0.99999512158597603</v>
      </c>
      <c r="J267" s="4">
        <f t="shared" si="15"/>
        <v>0.94725469757161318</v>
      </c>
      <c r="K267" s="16">
        <f t="shared" si="14"/>
        <v>9.3630204371662459E-2</v>
      </c>
      <c r="L267" s="16"/>
      <c r="N267" s="10"/>
      <c r="O267" s="10"/>
      <c r="P267" s="1"/>
      <c r="Q267" s="3"/>
      <c r="R267" s="3"/>
      <c r="S267" s="3"/>
      <c r="W267" s="15"/>
    </row>
    <row r="268" spans="1:23">
      <c r="A268" s="6">
        <f t="shared" si="13"/>
        <v>0.19999999999999996</v>
      </c>
      <c r="B268" s="6">
        <v>0.8</v>
      </c>
      <c r="C268" s="5">
        <v>1.5</v>
      </c>
      <c r="D268" s="8">
        <v>10.674016661241</v>
      </c>
      <c r="E268" s="10">
        <v>2.4085564770665</v>
      </c>
      <c r="F268" s="8">
        <v>0.99998951254810198</v>
      </c>
      <c r="G268" s="10"/>
      <c r="H268" s="8">
        <v>10.092663739794499</v>
      </c>
      <c r="I268" s="8">
        <v>0.99999719865910497</v>
      </c>
      <c r="J268" s="4">
        <f t="shared" si="15"/>
        <v>0.9455356928982992</v>
      </c>
      <c r="K268" s="16">
        <f t="shared" si="14"/>
        <v>9.3685444920762972E-2</v>
      </c>
      <c r="L268" s="16"/>
      <c r="N268" s="10"/>
      <c r="O268" s="10"/>
      <c r="P268" s="1"/>
      <c r="Q268" s="3"/>
      <c r="R268" s="3"/>
      <c r="S268" s="3"/>
      <c r="W268" s="15"/>
    </row>
    <row r="269" spans="1:23">
      <c r="A269" s="6">
        <f t="shared" si="13"/>
        <v>0.19999999999999996</v>
      </c>
      <c r="B269" s="6">
        <v>0.8</v>
      </c>
      <c r="C269" s="5">
        <v>2</v>
      </c>
      <c r="D269" s="8">
        <v>10.667301062452299</v>
      </c>
      <c r="E269" s="10">
        <v>3.2110044398761599</v>
      </c>
      <c r="F269" s="8">
        <v>0.99998877970225097</v>
      </c>
      <c r="G269" s="10"/>
      <c r="H269" s="8">
        <v>10.084760964244399</v>
      </c>
      <c r="I269" s="8">
        <v>0.99999815401377701</v>
      </c>
      <c r="J269" s="4">
        <f t="shared" si="15"/>
        <v>0.94539011369442116</v>
      </c>
      <c r="K269" s="16">
        <f t="shared" si="14"/>
        <v>9.37444245873858E-2</v>
      </c>
      <c r="L269" s="16"/>
      <c r="N269" s="10"/>
      <c r="O269" s="10"/>
      <c r="P269" s="1"/>
      <c r="Q269" s="3"/>
      <c r="R269" s="3"/>
      <c r="S269" s="3"/>
      <c r="W269" s="15"/>
    </row>
    <row r="270" spans="1:23">
      <c r="A270" s="6">
        <f t="shared" si="13"/>
        <v>0.19999999999999996</v>
      </c>
      <c r="B270" s="6">
        <v>0.8</v>
      </c>
      <c r="C270" s="5">
        <v>2.5</v>
      </c>
      <c r="D270" s="8">
        <v>10.659954294925599</v>
      </c>
      <c r="E270" s="10">
        <v>4.0132025274596899</v>
      </c>
      <c r="F270" s="8">
        <v>0.99998808181207</v>
      </c>
      <c r="G270" s="10"/>
      <c r="H270" s="8">
        <v>10.083263046898701</v>
      </c>
      <c r="I270" s="8">
        <v>0.99999866601354404</v>
      </c>
      <c r="J270" s="4">
        <f t="shared" si="15"/>
        <v>0.94590115191193469</v>
      </c>
      <c r="K270" s="16">
        <f t="shared" si="14"/>
        <v>9.3809032603078296E-2</v>
      </c>
      <c r="L270" s="16"/>
      <c r="N270" s="10"/>
      <c r="O270" s="10"/>
      <c r="P270" s="1"/>
      <c r="Q270" s="3"/>
      <c r="R270" s="3"/>
      <c r="S270" s="3"/>
      <c r="W270" s="15"/>
    </row>
    <row r="271" spans="1:23">
      <c r="A271" s="6">
        <f t="shared" si="13"/>
        <v>0.19999999999999996</v>
      </c>
      <c r="B271" s="6">
        <v>0.8</v>
      </c>
      <c r="C271" s="5">
        <v>3</v>
      </c>
      <c r="D271" s="8">
        <v>10.6520543603147</v>
      </c>
      <c r="E271" s="10">
        <v>4.8151290275900998</v>
      </c>
      <c r="F271" s="8">
        <v>0.99998742531533502</v>
      </c>
      <c r="G271" s="10"/>
      <c r="H271" s="8">
        <v>10.0846670758415</v>
      </c>
      <c r="I271" s="8">
        <v>0.99999896176934899</v>
      </c>
      <c r="J271" s="4">
        <f t="shared" si="15"/>
        <v>0.9467344734376254</v>
      </c>
      <c r="K271" s="16">
        <f t="shared" si="14"/>
        <v>9.3878604649784786E-2</v>
      </c>
      <c r="L271" s="16"/>
      <c r="N271" s="10"/>
      <c r="O271" s="10"/>
      <c r="P271" s="1"/>
      <c r="Q271" s="3"/>
      <c r="R271" s="3"/>
      <c r="S271" s="3"/>
      <c r="W271" s="15"/>
    </row>
    <row r="272" spans="1:23">
      <c r="A272" s="6">
        <f t="shared" si="13"/>
        <v>9.9999999999999978E-2</v>
      </c>
      <c r="B272" s="6">
        <v>0.9</v>
      </c>
      <c r="C272" s="5">
        <v>1</v>
      </c>
      <c r="D272" s="8">
        <v>10.0389314262213</v>
      </c>
      <c r="E272" s="10">
        <v>1.25941467302913</v>
      </c>
      <c r="F272" s="8">
        <v>0.99999810413580603</v>
      </c>
      <c r="G272" s="10"/>
      <c r="H272" s="8">
        <v>10.9787148804027</v>
      </c>
      <c r="I272" s="8">
        <v>0.99999707104733704</v>
      </c>
      <c r="J272" s="4">
        <f t="shared" si="15"/>
        <v>1.0936138931805752</v>
      </c>
      <c r="K272" s="16">
        <f t="shared" si="14"/>
        <v>9.9612195515952892E-2</v>
      </c>
      <c r="L272" s="16"/>
      <c r="N272" s="10"/>
      <c r="O272" s="10"/>
      <c r="P272" s="1"/>
      <c r="Q272" s="3"/>
      <c r="R272" s="3"/>
      <c r="S272" s="3"/>
      <c r="W272" s="15"/>
    </row>
    <row r="273" spans="1:23">
      <c r="A273" s="6">
        <f t="shared" si="13"/>
        <v>9.9999999999999978E-2</v>
      </c>
      <c r="B273" s="6">
        <v>0.9</v>
      </c>
      <c r="C273" s="5">
        <v>1.5</v>
      </c>
      <c r="D273" s="8">
        <v>10.0093910805822</v>
      </c>
      <c r="E273" s="10">
        <v>1.8885653830820499</v>
      </c>
      <c r="F273" s="8">
        <v>0.99999800071493805</v>
      </c>
      <c r="G273" s="10"/>
      <c r="H273" s="8">
        <v>10.9048334087167</v>
      </c>
      <c r="I273" s="8">
        <v>0.99999788311159699</v>
      </c>
      <c r="J273" s="4">
        <f t="shared" si="15"/>
        <v>1.0894602199999579</v>
      </c>
      <c r="K273" s="16">
        <f t="shared" si="14"/>
        <v>9.9906177303828017E-2</v>
      </c>
      <c r="L273" s="16"/>
      <c r="N273" s="10"/>
      <c r="O273" s="10"/>
      <c r="P273" s="1"/>
      <c r="Q273" s="3"/>
      <c r="R273" s="3"/>
      <c r="S273" s="3"/>
      <c r="W273" s="15"/>
    </row>
    <row r="274" spans="1:23">
      <c r="A274" s="6">
        <f t="shared" si="13"/>
        <v>9.9999999999999978E-2</v>
      </c>
      <c r="B274" s="6">
        <v>0.9</v>
      </c>
      <c r="C274" s="5">
        <v>2</v>
      </c>
      <c r="D274" s="8">
        <v>9.9850013969480091</v>
      </c>
      <c r="E274" s="10">
        <v>2.5174729263120001</v>
      </c>
      <c r="F274" s="8">
        <v>0.99999797596152695</v>
      </c>
      <c r="G274" s="10"/>
      <c r="H274" s="8">
        <v>10.8638083253992</v>
      </c>
      <c r="I274" s="8">
        <v>0.99999841481624996</v>
      </c>
      <c r="J274" s="4">
        <f t="shared" si="15"/>
        <v>1.088012699599602</v>
      </c>
      <c r="K274" s="16">
        <f t="shared" si="14"/>
        <v>0.10015021132652596</v>
      </c>
      <c r="L274" s="16"/>
      <c r="N274" s="10"/>
      <c r="O274" s="10"/>
      <c r="P274" s="1"/>
      <c r="Q274" s="3"/>
      <c r="R274" s="3"/>
      <c r="S274" s="3"/>
      <c r="W274" s="15"/>
    </row>
    <row r="275" spans="1:23">
      <c r="A275" s="6">
        <f t="shared" si="13"/>
        <v>9.9999999999999978E-2</v>
      </c>
      <c r="B275" s="6">
        <v>0.9</v>
      </c>
      <c r="C275" s="5">
        <v>2.5</v>
      </c>
      <c r="D275" s="8">
        <v>9.9634348684653595</v>
      </c>
      <c r="E275" s="10">
        <v>3.14616081210136</v>
      </c>
      <c r="F275" s="8">
        <v>0.999997987425296</v>
      </c>
      <c r="G275" s="10"/>
      <c r="H275" s="8">
        <v>10.8379964439139</v>
      </c>
      <c r="I275" s="8">
        <v>0.99999877378055702</v>
      </c>
      <c r="J275" s="4">
        <f t="shared" si="15"/>
        <v>1.0877771157230685</v>
      </c>
      <c r="K275" s="16">
        <f t="shared" si="14"/>
        <v>0.1003669932309225</v>
      </c>
      <c r="L275" s="16"/>
      <c r="N275" s="10"/>
      <c r="O275" s="10"/>
      <c r="P275" s="1"/>
      <c r="Q275" s="3"/>
      <c r="R275" s="3"/>
      <c r="S275" s="3"/>
      <c r="W275" s="15"/>
    </row>
    <row r="276" spans="1:23">
      <c r="A276" s="6">
        <f t="shared" si="13"/>
        <v>9.9999999999999978E-2</v>
      </c>
      <c r="B276" s="6">
        <v>0.9</v>
      </c>
      <c r="C276" s="5">
        <v>3</v>
      </c>
      <c r="D276" s="8">
        <v>9.9439576284869702</v>
      </c>
      <c r="E276" s="10">
        <v>3.7746542836760901</v>
      </c>
      <c r="F276" s="8">
        <v>0.99999801720543902</v>
      </c>
      <c r="G276" s="10"/>
      <c r="H276" s="8">
        <v>10.820491511315099</v>
      </c>
      <c r="I276" s="8">
        <v>0.99999902657460005</v>
      </c>
      <c r="J276" s="4">
        <f t="shared" si="15"/>
        <v>1.0881473871446392</v>
      </c>
      <c r="K276" s="16">
        <f t="shared" si="14"/>
        <v>0.10056358216322726</v>
      </c>
      <c r="L276" s="16"/>
      <c r="N276" s="10"/>
      <c r="O276" s="10"/>
      <c r="P276" s="1"/>
      <c r="Q276" s="3"/>
      <c r="R276" s="3"/>
      <c r="S276" s="3"/>
      <c r="W276" s="15"/>
    </row>
    <row r="277" spans="1:23">
      <c r="A277" s="6">
        <f t="shared" si="13"/>
        <v>0.5</v>
      </c>
      <c r="B277" s="6">
        <v>0.5</v>
      </c>
      <c r="C277" s="5">
        <v>1</v>
      </c>
      <c r="D277" s="8">
        <v>12.804143119203999</v>
      </c>
      <c r="E277" s="10">
        <v>3.5782877285787098</v>
      </c>
      <c r="F277" s="8">
        <v>0.99995938142324803</v>
      </c>
      <c r="G277" s="10"/>
      <c r="H277" s="8">
        <v>8.3455717672157999</v>
      </c>
      <c r="I277" s="8">
        <v>0.99998853850754099</v>
      </c>
      <c r="J277" s="4">
        <f t="shared" si="15"/>
        <v>0.65178682318060677</v>
      </c>
      <c r="K277" s="16">
        <f t="shared" si="14"/>
        <v>7.8099720589671712E-2</v>
      </c>
      <c r="L277" s="16"/>
      <c r="N277" s="10"/>
      <c r="O277" s="10"/>
      <c r="P277" s="1"/>
      <c r="Q277" s="3"/>
      <c r="R277" s="3"/>
      <c r="S277" s="3"/>
      <c r="W277" s="15"/>
    </row>
    <row r="278" spans="1:23">
      <c r="A278" s="6">
        <f t="shared" si="13"/>
        <v>0.5</v>
      </c>
      <c r="B278" s="6">
        <v>0.5</v>
      </c>
      <c r="C278" s="5">
        <v>1.5</v>
      </c>
      <c r="D278" s="8">
        <v>12.804140869247099</v>
      </c>
      <c r="E278" s="10">
        <v>5.3674309960187596</v>
      </c>
      <c r="F278" s="8">
        <v>0.99995838612856103</v>
      </c>
      <c r="G278" s="10"/>
      <c r="H278" s="8">
        <v>8.34588646885293</v>
      </c>
      <c r="I278" s="8">
        <v>0.99998945591320798</v>
      </c>
      <c r="J278" s="4">
        <f t="shared" si="15"/>
        <v>0.65181151582751051</v>
      </c>
      <c r="K278" s="16">
        <f t="shared" si="14"/>
        <v>7.8099734313435532E-2</v>
      </c>
      <c r="L278" s="16"/>
      <c r="N278" s="10"/>
      <c r="O278" s="10"/>
      <c r="P278" s="1"/>
      <c r="Q278" s="3"/>
      <c r="R278" s="3"/>
      <c r="S278" s="3"/>
      <c r="W278" s="15"/>
    </row>
    <row r="279" spans="1:23">
      <c r="A279" s="6">
        <f t="shared" si="13"/>
        <v>0.5</v>
      </c>
      <c r="B279" s="6">
        <v>0.5</v>
      </c>
      <c r="C279" s="5">
        <v>2</v>
      </c>
      <c r="D279" s="8">
        <v>12.804137891706</v>
      </c>
      <c r="E279" s="10">
        <v>7.1565740178006401</v>
      </c>
      <c r="F279" s="8">
        <v>0.99995747356687104</v>
      </c>
      <c r="G279" s="10"/>
      <c r="H279" s="8">
        <v>8.3459994639252493</v>
      </c>
      <c r="I279" s="8">
        <v>0.99998999218481699</v>
      </c>
      <c r="J279" s="4">
        <f t="shared" si="15"/>
        <v>0.65182049229034378</v>
      </c>
      <c r="K279" s="16">
        <f t="shared" si="14"/>
        <v>7.8099752475155659E-2</v>
      </c>
      <c r="L279" s="16"/>
      <c r="N279" s="10"/>
      <c r="O279" s="10"/>
      <c r="P279" s="1"/>
      <c r="Q279" s="3"/>
      <c r="R279" s="3"/>
      <c r="S279" s="3"/>
      <c r="W279" s="15"/>
    </row>
    <row r="280" spans="1:23">
      <c r="A280" s="6">
        <f t="shared" si="13"/>
        <v>0.5</v>
      </c>
      <c r="B280" s="6">
        <v>0.5</v>
      </c>
      <c r="C280" s="5">
        <v>2.5</v>
      </c>
      <c r="D280" s="8">
        <v>12.804134106951301</v>
      </c>
      <c r="E280" s="10">
        <v>8.9457161900949398</v>
      </c>
      <c r="F280" s="8">
        <v>0.99995663338985696</v>
      </c>
      <c r="G280" s="10"/>
      <c r="H280" s="8">
        <v>8.3460524661461193</v>
      </c>
      <c r="I280" s="8">
        <v>0.99999035209337905</v>
      </c>
      <c r="J280" s="4">
        <f t="shared" si="15"/>
        <v>0.65182482442253464</v>
      </c>
      <c r="K280" s="16">
        <f t="shared" si="14"/>
        <v>7.809977556054376E-2</v>
      </c>
      <c r="L280" s="16"/>
      <c r="N280" s="10"/>
      <c r="O280" s="10"/>
      <c r="P280" s="1"/>
      <c r="Q280" s="3"/>
      <c r="R280" s="3"/>
      <c r="S280" s="3"/>
      <c r="W280" s="15"/>
    </row>
    <row r="281" spans="1:23">
      <c r="A281" s="6">
        <f t="shared" si="13"/>
        <v>0.5</v>
      </c>
      <c r="B281" s="6">
        <v>0.5</v>
      </c>
      <c r="C281" s="5">
        <v>3</v>
      </c>
      <c r="D281" s="8">
        <v>12.8041295151474</v>
      </c>
      <c r="E281" s="10">
        <v>10.7348574817371</v>
      </c>
      <c r="F281" s="8">
        <v>0.99995585218585004</v>
      </c>
      <c r="G281" s="10"/>
      <c r="H281" s="8">
        <v>8.3460814998065391</v>
      </c>
      <c r="I281" s="8">
        <v>0.99999061405114198</v>
      </c>
      <c r="J281" s="4">
        <f t="shared" si="15"/>
        <v>0.65182732570246571</v>
      </c>
      <c r="K281" s="16">
        <f t="shared" si="14"/>
        <v>7.8099803568605825E-2</v>
      </c>
      <c r="L281" s="16"/>
      <c r="N281" s="10"/>
      <c r="O281" s="10"/>
      <c r="P281" s="1"/>
      <c r="Q281" s="3"/>
      <c r="R281" s="3"/>
      <c r="S281" s="3"/>
      <c r="W281" s="15"/>
    </row>
    <row r="282" spans="1:23">
      <c r="A282" s="6">
        <f t="shared" si="13"/>
        <v>0.4</v>
      </c>
      <c r="B282" s="6">
        <v>0.6</v>
      </c>
      <c r="C282" s="5">
        <v>1</v>
      </c>
      <c r="D282" s="8">
        <v>12.0755232856629</v>
      </c>
      <c r="E282" s="10">
        <v>2.7087092079022299</v>
      </c>
      <c r="F282" s="8">
        <v>0.99996887888733399</v>
      </c>
      <c r="G282" s="10"/>
      <c r="H282" s="8">
        <v>8.9051719438224595</v>
      </c>
      <c r="I282" s="8">
        <v>0.999992480020921</v>
      </c>
      <c r="J282" s="4">
        <f t="shared" si="15"/>
        <v>0.7374564011147613</v>
      </c>
      <c r="K282" s="16">
        <f t="shared" si="14"/>
        <v>8.2812146218730412E-2</v>
      </c>
      <c r="L282" s="16"/>
      <c r="N282" s="10"/>
      <c r="O282" s="10"/>
      <c r="P282" s="1"/>
      <c r="Q282" s="3"/>
      <c r="R282" s="3"/>
      <c r="S282" s="3"/>
      <c r="W282" s="15"/>
    </row>
    <row r="283" spans="1:23">
      <c r="A283" s="6">
        <f t="shared" si="13"/>
        <v>0.4</v>
      </c>
      <c r="B283" s="6">
        <v>0.6</v>
      </c>
      <c r="C283" s="5">
        <v>1.5</v>
      </c>
      <c r="D283" s="8">
        <v>12.0754842492659</v>
      </c>
      <c r="E283" s="10">
        <v>4.0630585385583302</v>
      </c>
      <c r="F283" s="8">
        <v>0.999967839319711</v>
      </c>
      <c r="G283" s="10"/>
      <c r="H283" s="8">
        <v>8.9118282525128496</v>
      </c>
      <c r="I283" s="8">
        <v>0.99999296980950003</v>
      </c>
      <c r="J283" s="4">
        <f t="shared" si="15"/>
        <v>0.73801001007927469</v>
      </c>
      <c r="K283" s="16">
        <f t="shared" si="14"/>
        <v>8.2812413925411943E-2</v>
      </c>
      <c r="L283" s="16"/>
      <c r="N283" s="10"/>
      <c r="O283" s="10"/>
      <c r="P283" s="1"/>
      <c r="Q283" s="3"/>
      <c r="R283" s="3"/>
      <c r="S283" s="3"/>
      <c r="W283" s="15"/>
    </row>
    <row r="284" spans="1:23">
      <c r="A284" s="6">
        <f t="shared" si="13"/>
        <v>0.4</v>
      </c>
      <c r="B284" s="6">
        <v>0.6</v>
      </c>
      <c r="C284" s="5">
        <v>2</v>
      </c>
      <c r="D284" s="8">
        <v>12.0754346475253</v>
      </c>
      <c r="E284" s="10">
        <v>5.4174025107071602</v>
      </c>
      <c r="F284" s="8">
        <v>0.99996683386295104</v>
      </c>
      <c r="G284" s="10"/>
      <c r="H284" s="8">
        <v>8.9146057538535697</v>
      </c>
      <c r="I284" s="8">
        <v>0.99999339057515502</v>
      </c>
      <c r="J284" s="4">
        <f t="shared" si="15"/>
        <v>0.73824305410658653</v>
      </c>
      <c r="K284" s="16">
        <f t="shared" si="14"/>
        <v>8.2812754090382718E-2</v>
      </c>
      <c r="L284" s="16"/>
      <c r="N284" s="10"/>
      <c r="O284" s="10"/>
      <c r="P284" s="1"/>
      <c r="Q284" s="3"/>
      <c r="R284" s="3"/>
      <c r="S284" s="3"/>
      <c r="W284" s="15"/>
    </row>
    <row r="285" spans="1:23">
      <c r="A285" s="6">
        <f t="shared" si="13"/>
        <v>0.4</v>
      </c>
      <c r="B285" s="6">
        <v>0.6</v>
      </c>
      <c r="C285" s="5">
        <v>2.5</v>
      </c>
      <c r="D285" s="8">
        <v>12.0753727634883</v>
      </c>
      <c r="E285" s="10">
        <v>6.7717392569528299</v>
      </c>
      <c r="F285" s="8">
        <v>0.99996587624232502</v>
      </c>
      <c r="G285" s="10"/>
      <c r="H285" s="8">
        <v>8.9160191900634604</v>
      </c>
      <c r="I285" s="8">
        <v>0.99999371769574497</v>
      </c>
      <c r="J285" s="4">
        <f t="shared" si="15"/>
        <v>0.73836388860991364</v>
      </c>
      <c r="K285" s="16">
        <f t="shared" si="14"/>
        <v>8.2813178490327849E-2</v>
      </c>
      <c r="L285" s="16"/>
      <c r="N285" s="10"/>
      <c r="O285" s="10"/>
      <c r="P285" s="1"/>
      <c r="Q285" s="3"/>
      <c r="R285" s="3"/>
      <c r="S285" s="3"/>
      <c r="W285" s="15"/>
    </row>
    <row r="286" spans="1:23">
      <c r="A286" s="6">
        <f t="shared" si="13"/>
        <v>0.4</v>
      </c>
      <c r="B286" s="6">
        <v>0.6</v>
      </c>
      <c r="C286" s="5">
        <v>3</v>
      </c>
      <c r="D286" s="8">
        <v>12.0752983822414</v>
      </c>
      <c r="E286" s="10">
        <v>8.1260670827511792</v>
      </c>
      <c r="F286" s="8">
        <v>0.99996496278381797</v>
      </c>
      <c r="G286" s="10"/>
      <c r="H286" s="8">
        <v>8.9168341522327204</v>
      </c>
      <c r="I286" s="8">
        <v>0.99999397340754004</v>
      </c>
      <c r="J286" s="4">
        <f t="shared" si="15"/>
        <v>0.73843592679633563</v>
      </c>
      <c r="K286" s="16">
        <f t="shared" si="14"/>
        <v>8.2813688601737184E-2</v>
      </c>
      <c r="L286" s="16"/>
      <c r="N286" s="10"/>
      <c r="O286" s="10"/>
      <c r="P286" s="1"/>
      <c r="Q286" s="3"/>
      <c r="R286" s="3"/>
      <c r="S286" s="3"/>
      <c r="W286" s="15"/>
    </row>
    <row r="287" spans="1:23">
      <c r="A287" s="6">
        <f t="shared" si="13"/>
        <v>0.30000000000000004</v>
      </c>
      <c r="B287" s="6">
        <v>0.7</v>
      </c>
      <c r="C287" s="5">
        <v>1</v>
      </c>
      <c r="D287" s="8">
        <v>11.364275020570799</v>
      </c>
      <c r="E287" s="10">
        <v>2.07330176553012</v>
      </c>
      <c r="F287" s="8">
        <v>0.999980054116825</v>
      </c>
      <c r="G287" s="10"/>
      <c r="H287" s="8">
        <v>9.4426375606182997</v>
      </c>
      <c r="I287" s="8">
        <v>0.99999748466359695</v>
      </c>
      <c r="J287" s="4">
        <f t="shared" si="15"/>
        <v>0.8309054069464098</v>
      </c>
      <c r="K287" s="16">
        <f t="shared" si="14"/>
        <v>8.7995054518644727E-2</v>
      </c>
      <c r="L287" s="16"/>
      <c r="N287" s="10"/>
      <c r="O287" s="10"/>
      <c r="P287" s="1"/>
      <c r="Q287" s="3"/>
      <c r="R287" s="3"/>
      <c r="S287" s="3"/>
      <c r="W287" s="15"/>
    </row>
    <row r="288" spans="1:23">
      <c r="A288" s="6">
        <f t="shared" si="13"/>
        <v>0.30000000000000004</v>
      </c>
      <c r="B288" s="6">
        <v>0.7</v>
      </c>
      <c r="C288" s="5">
        <v>1.5</v>
      </c>
      <c r="D288" s="8">
        <v>11.363689837124801</v>
      </c>
      <c r="E288" s="10">
        <v>3.1099046261069998</v>
      </c>
      <c r="F288" s="8">
        <v>0.99997905210696403</v>
      </c>
      <c r="G288" s="10"/>
      <c r="H288" s="8">
        <v>9.4615563828285403</v>
      </c>
      <c r="I288" s="8">
        <v>0.999997661764913</v>
      </c>
      <c r="J288" s="4">
        <f t="shared" si="15"/>
        <v>0.83261304368920275</v>
      </c>
      <c r="K288" s="16">
        <f t="shared" si="14"/>
        <v>8.7999585903254143E-2</v>
      </c>
      <c r="L288" s="16"/>
      <c r="N288" s="10"/>
      <c r="O288" s="10"/>
      <c r="P288" s="1"/>
      <c r="Q288" s="3"/>
      <c r="R288" s="3"/>
      <c r="S288" s="3"/>
      <c r="W288" s="15"/>
    </row>
    <row r="289" spans="1:23">
      <c r="A289" s="6">
        <f t="shared" si="13"/>
        <v>0.30000000000000004</v>
      </c>
      <c r="B289" s="6">
        <v>0.7</v>
      </c>
      <c r="C289" s="5">
        <v>2</v>
      </c>
      <c r="D289" s="8">
        <v>11.362990607305299</v>
      </c>
      <c r="E289" s="10">
        <v>4.1464629492185399</v>
      </c>
      <c r="F289" s="8">
        <v>0.99997802917584699</v>
      </c>
      <c r="G289" s="10"/>
      <c r="H289" s="8">
        <v>9.4760317351796797</v>
      </c>
      <c r="I289" s="8">
        <v>0.99999748538395905</v>
      </c>
      <c r="J289" s="4">
        <f t="shared" si="15"/>
        <v>0.83393818253158736</v>
      </c>
      <c r="K289" s="16">
        <f t="shared" si="14"/>
        <v>8.8005001021218582E-2</v>
      </c>
      <c r="L289" s="16"/>
      <c r="N289" s="10"/>
      <c r="O289" s="10"/>
      <c r="P289" s="1"/>
      <c r="Q289" s="3"/>
      <c r="R289" s="3"/>
      <c r="S289" s="3"/>
      <c r="W289" s="15"/>
    </row>
    <row r="290" spans="1:23">
      <c r="A290" s="6">
        <f t="shared" si="13"/>
        <v>0.30000000000000004</v>
      </c>
      <c r="B290" s="6">
        <v>0.7</v>
      </c>
      <c r="C290" s="5">
        <v>2.5</v>
      </c>
      <c r="D290" s="8">
        <v>11.3621505174399</v>
      </c>
      <c r="E290" s="10">
        <v>5.18296370073642</v>
      </c>
      <c r="F290" s="8">
        <v>0.99997702163879199</v>
      </c>
      <c r="G290" s="10"/>
      <c r="H290" s="8">
        <v>9.4865038831808093</v>
      </c>
      <c r="I290" s="8">
        <v>0.99999731233711397</v>
      </c>
      <c r="J290" s="4">
        <f t="shared" si="15"/>
        <v>0.83492151143569704</v>
      </c>
      <c r="K290" s="16">
        <f t="shared" si="14"/>
        <v>8.8011507897654412E-2</v>
      </c>
      <c r="L290" s="16"/>
      <c r="N290" s="10"/>
      <c r="O290" s="10"/>
      <c r="P290" s="1"/>
      <c r="Q290" s="3"/>
      <c r="R290" s="3"/>
      <c r="S290" s="3"/>
      <c r="W290" s="15"/>
    </row>
    <row r="291" spans="1:23">
      <c r="A291" s="6">
        <f t="shared" si="13"/>
        <v>0.30000000000000004</v>
      </c>
      <c r="B291" s="6">
        <v>0.7</v>
      </c>
      <c r="C291" s="5">
        <v>3</v>
      </c>
      <c r="D291" s="8">
        <v>11.3611703894945</v>
      </c>
      <c r="E291" s="10">
        <v>6.2193955237371803</v>
      </c>
      <c r="F291" s="8">
        <v>0.99997603699886795</v>
      </c>
      <c r="G291" s="10"/>
      <c r="H291" s="8">
        <v>9.4941424980031393</v>
      </c>
      <c r="I291" s="8">
        <v>0.99999719166586598</v>
      </c>
      <c r="J291" s="4">
        <f t="shared" si="15"/>
        <v>0.83566588410488296</v>
      </c>
      <c r="K291" s="16">
        <f t="shared" si="14"/>
        <v>8.8019100648704704E-2</v>
      </c>
      <c r="L291" s="16"/>
      <c r="N291" s="10"/>
      <c r="O291" s="10"/>
      <c r="P291" s="1"/>
      <c r="Q291" s="3"/>
      <c r="R291" s="3"/>
      <c r="S291" s="3"/>
      <c r="W291" s="15"/>
    </row>
    <row r="292" spans="1:23">
      <c r="A292" s="6">
        <f t="shared" si="13"/>
        <v>0.19999999999999996</v>
      </c>
      <c r="B292" s="6">
        <v>0.8</v>
      </c>
      <c r="C292" s="5">
        <v>1</v>
      </c>
      <c r="D292" s="8">
        <v>10.683286555194099</v>
      </c>
      <c r="E292" s="10">
        <v>1.60598311717097</v>
      </c>
      <c r="F292" s="8">
        <v>0.99999046386463397</v>
      </c>
      <c r="G292" s="10"/>
      <c r="H292" s="8">
        <v>10.1124946421488</v>
      </c>
      <c r="I292" s="8">
        <v>0.99999514145600799</v>
      </c>
      <c r="J292" s="4">
        <f t="shared" si="15"/>
        <v>0.94657150586606831</v>
      </c>
      <c r="K292" s="16">
        <f t="shared" si="14"/>
        <v>9.3604154005754975E-2</v>
      </c>
      <c r="L292" s="16"/>
      <c r="N292" s="10"/>
      <c r="O292" s="10"/>
      <c r="P292" s="1"/>
      <c r="Q292" s="3"/>
      <c r="R292" s="3"/>
      <c r="S292" s="3"/>
      <c r="W292" s="15"/>
    </row>
    <row r="293" spans="1:23">
      <c r="A293" s="6">
        <f t="shared" si="13"/>
        <v>0.19999999999999996</v>
      </c>
      <c r="B293" s="6">
        <v>0.8</v>
      </c>
      <c r="C293" s="5">
        <v>1.5</v>
      </c>
      <c r="D293" s="8">
        <v>10.677064176469599</v>
      </c>
      <c r="E293" s="10">
        <v>2.4086939938802598</v>
      </c>
      <c r="F293" s="8">
        <v>0.99998974914545602</v>
      </c>
      <c r="G293" s="10"/>
      <c r="H293" s="8">
        <v>10.0867404088771</v>
      </c>
      <c r="I293" s="8">
        <v>0.99999721190506496</v>
      </c>
      <c r="J293" s="4">
        <f t="shared" si="15"/>
        <v>0.94471104061606459</v>
      </c>
      <c r="K293" s="16">
        <f t="shared" si="14"/>
        <v>9.3658704628171746E-2</v>
      </c>
      <c r="L293" s="16"/>
      <c r="N293" s="10"/>
      <c r="O293" s="10"/>
      <c r="P293" s="1"/>
      <c r="Q293" s="3"/>
      <c r="R293" s="3"/>
      <c r="S293" s="3"/>
      <c r="W293" s="15"/>
    </row>
    <row r="294" spans="1:23">
      <c r="A294" s="6">
        <f t="shared" si="13"/>
        <v>0.19999999999999996</v>
      </c>
      <c r="B294" s="6">
        <v>0.8</v>
      </c>
      <c r="C294" s="5">
        <v>2</v>
      </c>
      <c r="D294" s="8">
        <v>10.6704055401693</v>
      </c>
      <c r="E294" s="10">
        <v>3.2111913165784798</v>
      </c>
      <c r="F294" s="8">
        <v>0.99998904076702799</v>
      </c>
      <c r="G294" s="10"/>
      <c r="H294" s="8">
        <v>10.0776287455265</v>
      </c>
      <c r="I294" s="8">
        <v>0.99999816828802202</v>
      </c>
      <c r="J294" s="4">
        <f t="shared" si="15"/>
        <v>0.94444664802933109</v>
      </c>
      <c r="K294" s="16">
        <f t="shared" si="14"/>
        <v>9.3717150321555046E-2</v>
      </c>
      <c r="L294" s="16"/>
      <c r="N294" s="10"/>
      <c r="O294" s="10"/>
      <c r="P294" s="1"/>
      <c r="Q294" s="3"/>
      <c r="R294" s="3"/>
      <c r="S294" s="3"/>
      <c r="W294" s="15"/>
    </row>
    <row r="295" spans="1:23">
      <c r="A295" s="6">
        <f t="shared" si="13"/>
        <v>0.19999999999999996</v>
      </c>
      <c r="B295" s="6">
        <v>0.8</v>
      </c>
      <c r="C295" s="5">
        <v>2.5</v>
      </c>
      <c r="D295" s="8">
        <v>10.663112276835299</v>
      </c>
      <c r="E295" s="10">
        <v>4.0134402795753799</v>
      </c>
      <c r="F295" s="8">
        <v>0.99998836590579598</v>
      </c>
      <c r="G295" s="10"/>
      <c r="H295" s="8">
        <v>10.0751544806614</v>
      </c>
      <c r="I295" s="8">
        <v>0.999998685955936</v>
      </c>
      <c r="J295" s="4">
        <f t="shared" si="15"/>
        <v>0.944860582828975</v>
      </c>
      <c r="K295" s="16">
        <f t="shared" si="14"/>
        <v>9.3781250167684585E-2</v>
      </c>
      <c r="L295" s="16"/>
      <c r="N295" s="10"/>
      <c r="O295" s="10"/>
      <c r="P295" s="1"/>
      <c r="Q295" s="3"/>
      <c r="R295" s="3"/>
      <c r="S295" s="3"/>
      <c r="W295" s="15"/>
    </row>
    <row r="296" spans="1:23">
      <c r="A296" s="6">
        <f t="shared" si="13"/>
        <v>0.19999999999999996</v>
      </c>
      <c r="B296" s="6">
        <v>0.8</v>
      </c>
      <c r="C296" s="5">
        <v>3</v>
      </c>
      <c r="D296" s="8">
        <v>10.655266484818201</v>
      </c>
      <c r="E296" s="10">
        <v>4.8154193934412701</v>
      </c>
      <c r="F296" s="8">
        <v>0.99998773146384101</v>
      </c>
      <c r="G296" s="10"/>
      <c r="H296" s="8">
        <v>10.075793645798999</v>
      </c>
      <c r="I296" s="8">
        <v>0.99999898933426201</v>
      </c>
      <c r="J296" s="4">
        <f t="shared" si="15"/>
        <v>0.94561629783310963</v>
      </c>
      <c r="K296" s="16">
        <f t="shared" si="14"/>
        <v>9.385030411250779E-2</v>
      </c>
      <c r="L296" s="16"/>
      <c r="N296" s="10"/>
      <c r="O296" s="10"/>
      <c r="P296" s="1"/>
      <c r="Q296" s="3"/>
      <c r="R296" s="3"/>
      <c r="S296" s="3"/>
      <c r="W296" s="15"/>
    </row>
    <row r="297" spans="1:23">
      <c r="A297" s="6">
        <f t="shared" si="13"/>
        <v>9.9999999999999978E-2</v>
      </c>
      <c r="B297" s="6">
        <v>0.9</v>
      </c>
      <c r="C297" s="5">
        <v>1</v>
      </c>
      <c r="D297" s="8">
        <v>10.040163728727499</v>
      </c>
      <c r="E297" s="10">
        <v>1.25943013150921</v>
      </c>
      <c r="F297" s="8">
        <v>0.99999813048485398</v>
      </c>
      <c r="G297" s="10"/>
      <c r="H297" s="8">
        <v>10.977589367176099</v>
      </c>
      <c r="I297" s="8">
        <v>0.99999706726028903</v>
      </c>
      <c r="J297" s="4">
        <f t="shared" si="15"/>
        <v>1.0933675648900409</v>
      </c>
      <c r="K297" s="16">
        <f t="shared" si="14"/>
        <v>9.9599969384836021E-2</v>
      </c>
      <c r="L297" s="16"/>
      <c r="N297" s="10"/>
      <c r="O297" s="10"/>
      <c r="P297" s="1"/>
      <c r="Q297" s="3"/>
      <c r="R297" s="3"/>
      <c r="S297" s="3"/>
      <c r="W297" s="15"/>
    </row>
    <row r="298" spans="1:23">
      <c r="A298" s="6">
        <f t="shared" si="13"/>
        <v>9.9999999999999978E-2</v>
      </c>
      <c r="B298" s="6">
        <v>0.9</v>
      </c>
      <c r="C298" s="5">
        <v>1.5</v>
      </c>
      <c r="D298" s="8">
        <v>10.010862313862001</v>
      </c>
      <c r="E298" s="10">
        <v>1.8885931402732901</v>
      </c>
      <c r="F298" s="8">
        <v>0.999998035430674</v>
      </c>
      <c r="G298" s="10"/>
      <c r="H298" s="8">
        <v>10.9033245285628</v>
      </c>
      <c r="I298" s="8">
        <v>0.99999787957240305</v>
      </c>
      <c r="J298" s="4">
        <f t="shared" si="15"/>
        <v>1.0891493846104556</v>
      </c>
      <c r="K298" s="16">
        <f t="shared" si="14"/>
        <v>9.9891494723217206E-2</v>
      </c>
      <c r="L298" s="16"/>
      <c r="N298" s="10"/>
      <c r="O298" s="10"/>
      <c r="P298" s="1"/>
      <c r="Q298" s="3"/>
      <c r="R298" s="3"/>
      <c r="S298" s="3"/>
      <c r="W298" s="15"/>
    </row>
    <row r="299" spans="1:23">
      <c r="A299" s="6">
        <f t="shared" si="13"/>
        <v>9.9999999999999978E-2</v>
      </c>
      <c r="B299" s="6">
        <v>0.9</v>
      </c>
      <c r="C299" s="5">
        <v>2</v>
      </c>
      <c r="D299" s="8">
        <v>9.9866767753172496</v>
      </c>
      <c r="E299" s="10">
        <v>2.51751516371769</v>
      </c>
      <c r="F299" s="8">
        <v>0.99999801757418705</v>
      </c>
      <c r="G299" s="10"/>
      <c r="H299" s="8">
        <v>10.861965871379899</v>
      </c>
      <c r="I299" s="8">
        <v>0.99999841123776301</v>
      </c>
      <c r="J299" s="4">
        <f t="shared" si="15"/>
        <v>1.0876456819175311</v>
      </c>
      <c r="K299" s="16">
        <f t="shared" si="14"/>
        <v>0.10013340999195729</v>
      </c>
      <c r="L299" s="16"/>
      <c r="N299" s="10"/>
      <c r="O299" s="10"/>
      <c r="P299" s="1"/>
      <c r="Q299" s="3"/>
      <c r="R299" s="3"/>
      <c r="S299" s="3"/>
      <c r="W299" s="15"/>
    </row>
    <row r="300" spans="1:23">
      <c r="A300" s="6">
        <f t="shared" si="13"/>
        <v>9.9999999999999978E-2</v>
      </c>
      <c r="B300" s="6">
        <v>0.9</v>
      </c>
      <c r="C300" s="5">
        <v>2.5</v>
      </c>
      <c r="D300" s="8">
        <v>9.96529954180847</v>
      </c>
      <c r="E300" s="10">
        <v>3.14621968802332</v>
      </c>
      <c r="F300" s="8">
        <v>0.99999803501272</v>
      </c>
      <c r="G300" s="10"/>
      <c r="H300" s="8">
        <v>10.835853070836601</v>
      </c>
      <c r="I300" s="8">
        <v>0.99999877002301896</v>
      </c>
      <c r="J300" s="4">
        <f t="shared" si="15"/>
        <v>1.0873584908688199</v>
      </c>
      <c r="K300" s="16">
        <f t="shared" si="14"/>
        <v>0.10034821289662139</v>
      </c>
      <c r="L300" s="16"/>
      <c r="N300" s="10"/>
      <c r="O300" s="10"/>
      <c r="P300" s="1"/>
      <c r="Q300" s="3"/>
      <c r="R300" s="3"/>
      <c r="S300" s="3"/>
      <c r="W300" s="15"/>
    </row>
    <row r="301" spans="1:23">
      <c r="A301" s="6">
        <f t="shared" si="13"/>
        <v>9.9999999999999978E-2</v>
      </c>
      <c r="B301" s="6">
        <v>0.9</v>
      </c>
      <c r="C301" s="5">
        <v>3</v>
      </c>
      <c r="D301" s="8">
        <v>9.9460039623838608</v>
      </c>
      <c r="E301" s="10">
        <v>3.7747319540059499</v>
      </c>
      <c r="F301" s="8">
        <v>0.99999807012480701</v>
      </c>
      <c r="G301" s="10"/>
      <c r="H301" s="8">
        <v>10.818071450772401</v>
      </c>
      <c r="I301" s="8">
        <v>0.99999902259948303</v>
      </c>
      <c r="J301" s="4">
        <f t="shared" si="15"/>
        <v>1.0876801871069759</v>
      </c>
      <c r="K301" s="16">
        <f t="shared" si="14"/>
        <v>0.10054289177664069</v>
      </c>
      <c r="L301" s="16"/>
      <c r="N301" s="10"/>
      <c r="O301" s="10"/>
      <c r="P301" s="1"/>
      <c r="Q301" s="3"/>
      <c r="R301" s="3"/>
      <c r="S301" s="3"/>
      <c r="W301" s="15"/>
    </row>
    <row r="302" spans="1:23">
      <c r="A302" s="6">
        <f t="shared" si="13"/>
        <v>0.5</v>
      </c>
      <c r="B302" s="6">
        <v>0.5</v>
      </c>
      <c r="C302" s="5">
        <v>1</v>
      </c>
      <c r="D302" s="8">
        <v>12.740538483724301</v>
      </c>
      <c r="E302" s="10">
        <v>3.56938907935232</v>
      </c>
      <c r="F302" s="8">
        <v>0.99994472215672303</v>
      </c>
      <c r="G302" s="10"/>
      <c r="H302" s="8">
        <v>8.4145522024020991</v>
      </c>
      <c r="I302" s="8">
        <v>0.99998725376588204</v>
      </c>
      <c r="J302" s="4">
        <f t="shared" si="15"/>
        <v>0.66045498886498921</v>
      </c>
      <c r="K302" s="16">
        <f t="shared" si="14"/>
        <v>7.8489618101893685E-2</v>
      </c>
      <c r="L302" s="16"/>
      <c r="N302" s="10"/>
      <c r="O302" s="10"/>
      <c r="P302" s="1"/>
      <c r="Q302" s="3"/>
      <c r="R302" s="3"/>
      <c r="S302" s="3"/>
      <c r="W302" s="15"/>
    </row>
    <row r="303" spans="1:23">
      <c r="A303" s="6">
        <f t="shared" si="13"/>
        <v>0.5</v>
      </c>
      <c r="B303" s="6">
        <v>0.5</v>
      </c>
      <c r="C303" s="5">
        <v>1.5</v>
      </c>
      <c r="D303" s="8">
        <v>12.740536026848901</v>
      </c>
      <c r="E303" s="10">
        <v>5.3540831350860802</v>
      </c>
      <c r="F303" s="8">
        <v>0.99994337125963995</v>
      </c>
      <c r="G303" s="10"/>
      <c r="H303" s="8">
        <v>8.4146034172645905</v>
      </c>
      <c r="I303" s="8">
        <v>0.99998799256909998</v>
      </c>
      <c r="J303" s="4">
        <f t="shared" si="15"/>
        <v>0.66045913606240658</v>
      </c>
      <c r="K303" s="16">
        <f t="shared" si="14"/>
        <v>7.8489633237772694E-2</v>
      </c>
      <c r="L303" s="16"/>
      <c r="N303" s="10"/>
      <c r="O303" s="10"/>
      <c r="P303" s="1"/>
      <c r="Q303" s="3"/>
      <c r="R303" s="3"/>
      <c r="S303" s="3"/>
      <c r="W303" s="15"/>
    </row>
    <row r="304" spans="1:23">
      <c r="A304" s="6">
        <f t="shared" si="13"/>
        <v>0.5</v>
      </c>
      <c r="B304" s="6">
        <v>0.5</v>
      </c>
      <c r="C304" s="5">
        <v>2</v>
      </c>
      <c r="D304" s="8">
        <v>12.7405327610297</v>
      </c>
      <c r="E304" s="10">
        <v>7.1387765921443904</v>
      </c>
      <c r="F304" s="8">
        <v>0.99994213188204095</v>
      </c>
      <c r="G304" s="10"/>
      <c r="H304" s="8">
        <v>8.4146215275221294</v>
      </c>
      <c r="I304" s="8">
        <v>0.99998842007603095</v>
      </c>
      <c r="J304" s="4">
        <f t="shared" si="15"/>
        <v>0.66046072682772594</v>
      </c>
      <c r="K304" s="16">
        <f t="shared" si="14"/>
        <v>7.8489653357257189E-2</v>
      </c>
      <c r="L304" s="16"/>
      <c r="N304" s="10"/>
      <c r="O304" s="10"/>
      <c r="P304" s="1"/>
      <c r="Q304" s="3"/>
      <c r="R304" s="3"/>
      <c r="S304" s="3"/>
      <c r="W304" s="15"/>
    </row>
    <row r="305" spans="1:23">
      <c r="A305" s="6">
        <f t="shared" si="13"/>
        <v>0.5</v>
      </c>
      <c r="B305" s="6">
        <v>0.5</v>
      </c>
      <c r="C305" s="5">
        <v>2.5</v>
      </c>
      <c r="D305" s="8">
        <v>12.740528615464401</v>
      </c>
      <c r="E305" s="10">
        <v>8.9234692730559892</v>
      </c>
      <c r="F305" s="8">
        <v>0.99994099046569795</v>
      </c>
      <c r="G305" s="10"/>
      <c r="H305" s="8">
        <v>8.4146299599071401</v>
      </c>
      <c r="I305" s="8">
        <v>0.99998870484843405</v>
      </c>
      <c r="J305" s="4">
        <f t="shared" si="15"/>
        <v>0.66046160358632977</v>
      </c>
      <c r="K305" s="16">
        <f t="shared" si="14"/>
        <v>7.8489678896541556E-2</v>
      </c>
      <c r="L305" s="16"/>
      <c r="N305" s="10"/>
      <c r="O305" s="10"/>
      <c r="P305" s="1"/>
      <c r="Q305" s="3"/>
      <c r="R305" s="3"/>
      <c r="S305" s="3"/>
      <c r="W305" s="15"/>
    </row>
    <row r="306" spans="1:23">
      <c r="A306" s="6">
        <f t="shared" si="13"/>
        <v>0.5</v>
      </c>
      <c r="B306" s="6">
        <v>0.5</v>
      </c>
      <c r="C306" s="5">
        <v>3</v>
      </c>
      <c r="D306" s="8">
        <v>12.740523590887101</v>
      </c>
      <c r="E306" s="10">
        <v>10.7081609748699</v>
      </c>
      <c r="F306" s="8">
        <v>0.99993992897200001</v>
      </c>
      <c r="G306" s="10"/>
      <c r="H306" s="8">
        <v>8.4146345503254008</v>
      </c>
      <c r="I306" s="8">
        <v>0.99998891049216898</v>
      </c>
      <c r="J306" s="4">
        <f t="shared" si="15"/>
        <v>0.66046222435819879</v>
      </c>
      <c r="K306" s="16">
        <f t="shared" si="14"/>
        <v>7.8489709851113879E-2</v>
      </c>
      <c r="L306" s="16"/>
      <c r="N306" s="10"/>
      <c r="O306" s="10"/>
      <c r="P306" s="1"/>
      <c r="Q306" s="3"/>
      <c r="R306" s="3"/>
      <c r="S306" s="3"/>
      <c r="W306" s="15"/>
    </row>
    <row r="307" spans="1:23">
      <c r="A307" s="6">
        <f t="shared" si="13"/>
        <v>0.4</v>
      </c>
      <c r="B307" s="6">
        <v>0.6</v>
      </c>
      <c r="C307" s="5">
        <v>1</v>
      </c>
      <c r="D307" s="8">
        <v>12.0212168252186</v>
      </c>
      <c r="E307" s="10">
        <v>2.7038299373089099</v>
      </c>
      <c r="F307" s="8">
        <v>0.99995932223718598</v>
      </c>
      <c r="G307" s="10"/>
      <c r="H307" s="8">
        <v>8.9753170780182998</v>
      </c>
      <c r="I307" s="8">
        <v>0.99999213501800099</v>
      </c>
      <c r="J307" s="4">
        <f t="shared" si="15"/>
        <v>0.74662300901099399</v>
      </c>
      <c r="K307" s="16">
        <f t="shared" si="14"/>
        <v>8.3186254315133823E-2</v>
      </c>
      <c r="L307" s="16"/>
      <c r="N307" s="10"/>
      <c r="O307" s="10"/>
      <c r="P307" s="1"/>
      <c r="Q307" s="3"/>
      <c r="R307" s="3"/>
      <c r="S307" s="3"/>
      <c r="W307" s="15"/>
    </row>
    <row r="308" spans="1:23">
      <c r="A308" s="6">
        <f t="shared" si="13"/>
        <v>0.4</v>
      </c>
      <c r="B308" s="6">
        <v>0.6</v>
      </c>
      <c r="C308" s="5">
        <v>1.5</v>
      </c>
      <c r="D308" s="8">
        <v>12.021175009816099</v>
      </c>
      <c r="E308" s="10">
        <v>4.0557392368834702</v>
      </c>
      <c r="F308" s="8">
        <v>0.99995796692642702</v>
      </c>
      <c r="G308" s="10"/>
      <c r="H308" s="8">
        <v>8.9767622425698406</v>
      </c>
      <c r="I308" s="8">
        <v>0.99999290014687603</v>
      </c>
      <c r="J308" s="4">
        <f t="shared" si="15"/>
        <v>0.74674582436739412</v>
      </c>
      <c r="K308" s="16">
        <f t="shared" si="14"/>
        <v>8.3186543676756444E-2</v>
      </c>
      <c r="L308" s="16"/>
      <c r="N308" s="10"/>
      <c r="O308" s="10"/>
      <c r="P308" s="1"/>
      <c r="Q308" s="3"/>
      <c r="R308" s="3"/>
      <c r="S308" s="3"/>
      <c r="W308" s="15"/>
    </row>
    <row r="309" spans="1:23">
      <c r="A309" s="6">
        <f t="shared" si="13"/>
        <v>0.4</v>
      </c>
      <c r="B309" s="6">
        <v>0.6</v>
      </c>
      <c r="C309" s="5">
        <v>2</v>
      </c>
      <c r="D309" s="8">
        <v>12.021121733362101</v>
      </c>
      <c r="E309" s="10">
        <v>5.4076427678423098</v>
      </c>
      <c r="F309" s="8">
        <v>0.99995665481503004</v>
      </c>
      <c r="G309" s="10"/>
      <c r="H309" s="8">
        <v>8.9773100063431208</v>
      </c>
      <c r="I309" s="8">
        <v>0.99999334567278098</v>
      </c>
      <c r="J309" s="4">
        <f t="shared" si="15"/>
        <v>0.74679470064998021</v>
      </c>
      <c r="K309" s="16">
        <f t="shared" si="14"/>
        <v>8.3186912351507922E-2</v>
      </c>
      <c r="L309" s="16"/>
      <c r="N309" s="10"/>
      <c r="O309" s="10"/>
      <c r="P309" s="1"/>
      <c r="Q309" s="3"/>
      <c r="R309" s="3"/>
      <c r="S309" s="3"/>
      <c r="W309" s="15"/>
    </row>
    <row r="310" spans="1:23">
      <c r="A310" s="6">
        <f t="shared" si="13"/>
        <v>0.4</v>
      </c>
      <c r="B310" s="6">
        <v>0.6</v>
      </c>
      <c r="C310" s="5">
        <v>2.5</v>
      </c>
      <c r="D310" s="8">
        <v>12.0210552054105</v>
      </c>
      <c r="E310" s="10">
        <v>6.7595384939417897</v>
      </c>
      <c r="F310" s="8">
        <v>0.99995540453606802</v>
      </c>
      <c r="G310" s="10"/>
      <c r="H310" s="8">
        <v>8.9775744640518909</v>
      </c>
      <c r="I310" s="8">
        <v>0.99999364105023403</v>
      </c>
      <c r="J310" s="4">
        <f t="shared" si="15"/>
        <v>0.74682083316705983</v>
      </c>
      <c r="K310" s="16">
        <f t="shared" si="14"/>
        <v>8.3187372731631307E-2</v>
      </c>
      <c r="L310" s="16"/>
      <c r="N310" s="10"/>
      <c r="O310" s="10"/>
      <c r="P310" s="1"/>
      <c r="Q310" s="3"/>
      <c r="R310" s="3"/>
      <c r="S310" s="3"/>
      <c r="W310" s="15"/>
    </row>
    <row r="311" spans="1:23">
      <c r="A311" s="6">
        <f t="shared" si="13"/>
        <v>0.4</v>
      </c>
      <c r="B311" s="6">
        <v>0.6</v>
      </c>
      <c r="C311" s="5">
        <v>3</v>
      </c>
      <c r="D311" s="8">
        <v>12.0209752004127</v>
      </c>
      <c r="E311" s="10">
        <v>8.1114245914527494</v>
      </c>
      <c r="F311" s="8">
        <v>0.99995421153818598</v>
      </c>
      <c r="G311" s="10"/>
      <c r="H311" s="8">
        <v>8.9777219287155905</v>
      </c>
      <c r="I311" s="8">
        <v>0.99999385297251397</v>
      </c>
      <c r="J311" s="4">
        <f t="shared" si="15"/>
        <v>0.74683807087526233</v>
      </c>
      <c r="K311" s="16">
        <f t="shared" si="14"/>
        <v>8.31879263810201E-2</v>
      </c>
      <c r="L311" s="16"/>
      <c r="N311" s="10"/>
      <c r="O311" s="10"/>
      <c r="P311" s="1"/>
      <c r="Q311" s="3"/>
      <c r="R311" s="3"/>
      <c r="S311" s="3"/>
      <c r="W311" s="15"/>
    </row>
    <row r="312" spans="1:23">
      <c r="A312" s="6">
        <f t="shared" si="13"/>
        <v>0.30000000000000004</v>
      </c>
      <c r="B312" s="6">
        <v>0.7</v>
      </c>
      <c r="C312" s="5">
        <v>1</v>
      </c>
      <c r="D312" s="8">
        <v>11.321889895455101</v>
      </c>
      <c r="E312" s="10">
        <v>2.0709789007947301</v>
      </c>
      <c r="F312" s="8">
        <v>0.99997481366482999</v>
      </c>
      <c r="G312" s="10"/>
      <c r="H312" s="8">
        <v>9.5383831327633892</v>
      </c>
      <c r="I312" s="8">
        <v>0.99999571946753396</v>
      </c>
      <c r="J312" s="4">
        <f t="shared" si="15"/>
        <v>0.84247269853704754</v>
      </c>
      <c r="K312" s="16">
        <f t="shared" si="14"/>
        <v>8.8324476676056168E-2</v>
      </c>
      <c r="L312" s="16"/>
      <c r="N312" s="10"/>
      <c r="O312" s="10"/>
      <c r="P312" s="1"/>
      <c r="Q312" s="3"/>
      <c r="R312" s="3"/>
      <c r="S312" s="3"/>
      <c r="W312" s="15"/>
    </row>
    <row r="313" spans="1:23">
      <c r="A313" s="6">
        <f t="shared" si="13"/>
        <v>0.30000000000000004</v>
      </c>
      <c r="B313" s="6">
        <v>0.7</v>
      </c>
      <c r="C313" s="5">
        <v>1.5</v>
      </c>
      <c r="D313" s="8">
        <v>11.321256647392</v>
      </c>
      <c r="E313" s="10">
        <v>3.1064162524312202</v>
      </c>
      <c r="F313" s="8">
        <v>0.99997354085106005</v>
      </c>
      <c r="G313" s="10"/>
      <c r="H313" s="8">
        <v>9.55146492806273</v>
      </c>
      <c r="I313" s="8">
        <v>0.99999618918718802</v>
      </c>
      <c r="J313" s="4">
        <f t="shared" si="15"/>
        <v>0.84367532912196952</v>
      </c>
      <c r="K313" s="16">
        <f t="shared" si="14"/>
        <v>8.832941705551417E-2</v>
      </c>
      <c r="L313" s="16"/>
      <c r="N313" s="10"/>
      <c r="O313" s="10"/>
      <c r="P313" s="1"/>
      <c r="Q313" s="3"/>
      <c r="R313" s="3"/>
      <c r="S313" s="3"/>
      <c r="W313" s="15"/>
    </row>
    <row r="314" spans="1:23">
      <c r="A314" s="6">
        <f t="shared" si="13"/>
        <v>0.30000000000000004</v>
      </c>
      <c r="B314" s="6">
        <v>0.7</v>
      </c>
      <c r="C314" s="5">
        <v>2</v>
      </c>
      <c r="D314" s="8">
        <v>11.3205108627097</v>
      </c>
      <c r="E314" s="10">
        <v>4.1418064716529104</v>
      </c>
      <c r="F314" s="8">
        <v>0.99997224447160704</v>
      </c>
      <c r="G314" s="10"/>
      <c r="H314" s="8">
        <v>9.5585567768310291</v>
      </c>
      <c r="I314" s="8">
        <v>0.99999642487941598</v>
      </c>
      <c r="J314" s="4">
        <f t="shared" si="15"/>
        <v>0.84435736980010057</v>
      </c>
      <c r="K314" s="16">
        <f t="shared" si="14"/>
        <v>8.8335236115010277E-2</v>
      </c>
      <c r="L314" s="16"/>
      <c r="N314" s="10"/>
      <c r="O314" s="10"/>
      <c r="P314" s="1"/>
      <c r="Q314" s="3"/>
      <c r="R314" s="3"/>
      <c r="S314" s="3"/>
      <c r="W314" s="15"/>
    </row>
    <row r="315" spans="1:23">
      <c r="A315" s="6">
        <f t="shared" si="13"/>
        <v>0.30000000000000004</v>
      </c>
      <c r="B315" s="6">
        <v>0.7</v>
      </c>
      <c r="C315" s="5">
        <v>2.5</v>
      </c>
      <c r="D315" s="8">
        <v>11.3196171434112</v>
      </c>
      <c r="E315" s="10">
        <v>5.1771354360556696</v>
      </c>
      <c r="F315" s="8">
        <v>0.99997096682550202</v>
      </c>
      <c r="G315" s="10"/>
      <c r="H315" s="8">
        <v>9.5627400105661309</v>
      </c>
      <c r="I315" s="8">
        <v>0.99999659319286405</v>
      </c>
      <c r="J315" s="4">
        <f t="shared" si="15"/>
        <v>0.8447935905793692</v>
      </c>
      <c r="K315" s="16">
        <f t="shared" si="14"/>
        <v>8.8342210459129281E-2</v>
      </c>
      <c r="L315" s="16"/>
      <c r="N315" s="10"/>
      <c r="O315" s="10"/>
      <c r="P315" s="1"/>
      <c r="Q315" s="3"/>
      <c r="R315" s="3"/>
      <c r="S315" s="3"/>
      <c r="W315" s="15"/>
    </row>
    <row r="316" spans="1:23">
      <c r="A316" s="6">
        <f t="shared" si="13"/>
        <v>0.30000000000000004</v>
      </c>
      <c r="B316" s="6">
        <v>0.7</v>
      </c>
      <c r="C316" s="5">
        <v>3</v>
      </c>
      <c r="D316" s="8">
        <v>11.3185748269815</v>
      </c>
      <c r="E316" s="10">
        <v>6.2123909543218696</v>
      </c>
      <c r="F316" s="8">
        <v>0.99996971670901103</v>
      </c>
      <c r="G316" s="10"/>
      <c r="H316" s="8">
        <v>9.5653948736631094</v>
      </c>
      <c r="I316" s="8">
        <v>0.99999672644916904</v>
      </c>
      <c r="J316" s="4">
        <f t="shared" si="15"/>
        <v>0.84510594486338364</v>
      </c>
      <c r="K316" s="16">
        <f t="shared" si="14"/>
        <v>8.8350345806450403E-2</v>
      </c>
      <c r="L316" s="16"/>
      <c r="N316" s="10"/>
      <c r="O316" s="10"/>
      <c r="P316" s="1"/>
      <c r="Q316" s="3"/>
      <c r="R316" s="3"/>
      <c r="S316" s="3"/>
      <c r="W316" s="15"/>
    </row>
    <row r="317" spans="1:23">
      <c r="A317" s="6">
        <f t="shared" si="13"/>
        <v>0.19999999999999996</v>
      </c>
      <c r="B317" s="6">
        <v>0.8</v>
      </c>
      <c r="C317" s="5">
        <v>1</v>
      </c>
      <c r="D317" s="8">
        <v>10.6550020274791</v>
      </c>
      <c r="E317" s="10">
        <v>1.6051318309729901</v>
      </c>
      <c r="F317" s="8">
        <v>0.99998840762353103</v>
      </c>
      <c r="G317" s="10"/>
      <c r="H317" s="8">
        <v>10.156781262572901</v>
      </c>
      <c r="I317" s="8">
        <v>0.99999497860941899</v>
      </c>
      <c r="J317" s="4">
        <f t="shared" si="15"/>
        <v>0.95324066915977168</v>
      </c>
      <c r="K317" s="16">
        <f t="shared" si="14"/>
        <v>9.3852633478718653E-2</v>
      </c>
      <c r="L317" s="16"/>
      <c r="N317" s="10"/>
      <c r="O317" s="10"/>
      <c r="P317" s="1"/>
      <c r="Q317" s="3"/>
      <c r="R317" s="3"/>
      <c r="S317" s="3"/>
      <c r="W317" s="15"/>
    </row>
    <row r="318" spans="1:23">
      <c r="A318" s="6">
        <f t="shared" si="13"/>
        <v>0.19999999999999996</v>
      </c>
      <c r="B318" s="6">
        <v>0.8</v>
      </c>
      <c r="C318" s="5">
        <v>1.5</v>
      </c>
      <c r="D318" s="8">
        <v>10.648140233473701</v>
      </c>
      <c r="E318" s="10">
        <v>2.4073875565877501</v>
      </c>
      <c r="F318" s="8">
        <v>0.99998743743775598</v>
      </c>
      <c r="G318" s="10"/>
      <c r="H318" s="8">
        <v>10.1425560910731</v>
      </c>
      <c r="I318" s="8">
        <v>0.99999703806574902</v>
      </c>
      <c r="J318" s="4">
        <f t="shared" si="15"/>
        <v>0.95251901916061954</v>
      </c>
      <c r="K318" s="16">
        <f t="shared" si="14"/>
        <v>9.39131132830483E-2</v>
      </c>
      <c r="L318" s="16"/>
      <c r="N318" s="10"/>
      <c r="O318" s="10"/>
      <c r="P318" s="1"/>
      <c r="Q318" s="3"/>
      <c r="R318" s="3"/>
      <c r="S318" s="3"/>
      <c r="W318" s="15"/>
    </row>
    <row r="319" spans="1:23">
      <c r="A319" s="6">
        <f t="shared" si="13"/>
        <v>0.19999999999999996</v>
      </c>
      <c r="B319" s="6">
        <v>0.8</v>
      </c>
      <c r="C319" s="5">
        <v>2</v>
      </c>
      <c r="D319" s="8">
        <v>10.640984689444201</v>
      </c>
      <c r="E319" s="10">
        <v>3.2094185566378499</v>
      </c>
      <c r="F319" s="8">
        <v>0.99998649871201495</v>
      </c>
      <c r="G319" s="10"/>
      <c r="H319" s="8">
        <v>10.1415675506738</v>
      </c>
      <c r="I319" s="8">
        <v>0.999997940628782</v>
      </c>
      <c r="J319" s="4">
        <f t="shared" si="15"/>
        <v>0.95306664248226769</v>
      </c>
      <c r="K319" s="16">
        <f t="shared" si="14"/>
        <v>9.3976265278531465E-2</v>
      </c>
      <c r="L319" s="16"/>
      <c r="N319" s="10"/>
      <c r="O319" s="10"/>
      <c r="P319" s="1"/>
      <c r="Q319" s="3"/>
      <c r="R319" s="3"/>
      <c r="S319" s="3"/>
      <c r="W319" s="15"/>
    </row>
    <row r="320" spans="1:23">
      <c r="A320" s="6">
        <f t="shared" si="13"/>
        <v>0.19999999999999996</v>
      </c>
      <c r="B320" s="6">
        <v>0.8</v>
      </c>
      <c r="C320" s="5">
        <v>2.5</v>
      </c>
      <c r="D320" s="8">
        <v>10.6332126635095</v>
      </c>
      <c r="E320" s="10">
        <v>4.0111869946625198</v>
      </c>
      <c r="F320" s="8">
        <v>0.99998560676480797</v>
      </c>
      <c r="G320" s="10"/>
      <c r="H320" s="8">
        <v>10.1445778724625</v>
      </c>
      <c r="I320" s="8">
        <v>0.999998396670708</v>
      </c>
      <c r="J320" s="4">
        <f t="shared" si="15"/>
        <v>0.95404636336073001</v>
      </c>
      <c r="K320" s="16">
        <f t="shared" si="14"/>
        <v>9.4044954393863234E-2</v>
      </c>
      <c r="L320" s="16"/>
      <c r="N320" s="10"/>
      <c r="O320" s="10"/>
      <c r="P320" s="1"/>
      <c r="Q320" s="3"/>
      <c r="R320" s="3"/>
      <c r="S320" s="3"/>
      <c r="W320" s="15"/>
    </row>
    <row r="321" spans="1:23">
      <c r="A321" s="6">
        <f t="shared" si="13"/>
        <v>0.19999999999999996</v>
      </c>
      <c r="B321" s="6">
        <v>0.8</v>
      </c>
      <c r="C321" s="5">
        <v>3</v>
      </c>
      <c r="D321" s="8">
        <v>10.624874168694401</v>
      </c>
      <c r="E321" s="10">
        <v>4.8126692218602702</v>
      </c>
      <c r="F321" s="8">
        <v>0.99998476405580095</v>
      </c>
      <c r="G321" s="10"/>
      <c r="H321" s="8">
        <v>10.148743784576499</v>
      </c>
      <c r="I321" s="8">
        <v>0.99999864716581399</v>
      </c>
      <c r="J321" s="4">
        <f t="shared" si="15"/>
        <v>0.95518719783799477</v>
      </c>
      <c r="K321" s="16">
        <f t="shared" si="14"/>
        <v>9.4118761702274484E-2</v>
      </c>
      <c r="L321" s="16"/>
      <c r="N321" s="10"/>
      <c r="O321" s="10"/>
      <c r="P321" s="1"/>
      <c r="Q321" s="3"/>
      <c r="R321" s="3"/>
      <c r="S321" s="3"/>
      <c r="W321" s="15"/>
    </row>
    <row r="322" spans="1:23">
      <c r="A322" s="6">
        <f t="shared" si="13"/>
        <v>9.9999999999999978E-2</v>
      </c>
      <c r="B322" s="6">
        <v>0.9</v>
      </c>
      <c r="C322" s="5">
        <v>1</v>
      </c>
      <c r="D322" s="8">
        <v>10.028268082076901</v>
      </c>
      <c r="E322" s="10">
        <v>1.2592808338019801</v>
      </c>
      <c r="F322" s="8">
        <v>0.99999787013916597</v>
      </c>
      <c r="G322" s="10"/>
      <c r="H322" s="8">
        <v>10.9884566694413</v>
      </c>
      <c r="I322" s="8">
        <v>0.99999710302174305</v>
      </c>
      <c r="J322" s="4">
        <f t="shared" si="15"/>
        <v>1.0957481969474374</v>
      </c>
      <c r="K322" s="16">
        <f t="shared" si="14"/>
        <v>9.9718116011204144E-2</v>
      </c>
      <c r="L322" s="16"/>
      <c r="N322" s="10"/>
      <c r="O322" s="10"/>
      <c r="P322" s="1"/>
      <c r="Q322" s="3"/>
      <c r="R322" s="3"/>
      <c r="S322" s="3"/>
      <c r="W322" s="15"/>
    </row>
    <row r="323" spans="1:23">
      <c r="A323" s="6">
        <f t="shared" ref="A323:A386" si="16">1-B323</f>
        <v>9.9999999999999978E-2</v>
      </c>
      <c r="B323" s="6">
        <v>0.9</v>
      </c>
      <c r="C323" s="5">
        <v>1.5</v>
      </c>
      <c r="D323" s="8">
        <v>9.9967157891344893</v>
      </c>
      <c r="E323" s="10">
        <v>1.88832609009097</v>
      </c>
      <c r="F323" s="8">
        <v>0.99999769205780398</v>
      </c>
      <c r="G323" s="10"/>
      <c r="H323" s="8">
        <v>10.9177791750169</v>
      </c>
      <c r="I323" s="8">
        <v>0.99999791177248198</v>
      </c>
      <c r="J323" s="4">
        <f t="shared" si="15"/>
        <v>1.0921365981899298</v>
      </c>
      <c r="K323" s="16">
        <f t="shared" ref="K323:K386" si="17">1/D323</f>
        <v>0.10003285289823964</v>
      </c>
      <c r="L323" s="16"/>
      <c r="N323" s="10"/>
      <c r="O323" s="10"/>
      <c r="P323" s="1"/>
      <c r="Q323" s="3"/>
      <c r="R323" s="3"/>
      <c r="S323" s="3"/>
      <c r="W323" s="15"/>
    </row>
    <row r="324" spans="1:23">
      <c r="A324" s="6">
        <f t="shared" si="16"/>
        <v>9.9999999999999978E-2</v>
      </c>
      <c r="B324" s="6">
        <v>0.9</v>
      </c>
      <c r="C324" s="5">
        <v>2</v>
      </c>
      <c r="D324" s="8">
        <v>9.9706183300528597</v>
      </c>
      <c r="E324" s="10">
        <v>2.5171100570104801</v>
      </c>
      <c r="F324" s="8">
        <v>0.99999760556321504</v>
      </c>
      <c r="G324" s="10"/>
      <c r="H324" s="8">
        <v>10.8794672899236</v>
      </c>
      <c r="I324" s="8">
        <v>0.99999844241377001</v>
      </c>
      <c r="J324" s="4">
        <f t="shared" ref="J324:J387" si="18">H324/D324</f>
        <v>1.0911527178942695</v>
      </c>
      <c r="K324" s="16">
        <f t="shared" si="17"/>
        <v>0.10029468252594305</v>
      </c>
      <c r="L324" s="16"/>
      <c r="N324" s="10"/>
      <c r="O324" s="10"/>
      <c r="P324" s="1"/>
      <c r="Q324" s="3"/>
      <c r="R324" s="3"/>
      <c r="S324" s="3"/>
      <c r="W324" s="15"/>
    </row>
    <row r="325" spans="1:23">
      <c r="A325" s="6">
        <f t="shared" si="16"/>
        <v>9.9999999999999978E-2</v>
      </c>
      <c r="B325" s="6">
        <v>0.9</v>
      </c>
      <c r="C325" s="5">
        <v>2.5</v>
      </c>
      <c r="D325" s="8">
        <v>9.9474756182750106</v>
      </c>
      <c r="E325" s="10">
        <v>3.14565650242844</v>
      </c>
      <c r="F325" s="8">
        <v>0.999997563390156</v>
      </c>
      <c r="G325" s="10"/>
      <c r="H325" s="8">
        <v>10.8560326301549</v>
      </c>
      <c r="I325" s="8">
        <v>0.99999880138434305</v>
      </c>
      <c r="J325" s="4">
        <f t="shared" si="18"/>
        <v>1.0913354349128268</v>
      </c>
      <c r="K325" s="16">
        <f t="shared" si="17"/>
        <v>0.10052801719492023</v>
      </c>
      <c r="L325" s="16"/>
      <c r="N325" s="10"/>
      <c r="O325" s="10"/>
      <c r="P325" s="1"/>
      <c r="Q325" s="3"/>
      <c r="R325" s="3"/>
      <c r="S325" s="3"/>
      <c r="W325" s="15"/>
    </row>
    <row r="326" spans="1:23">
      <c r="A326" s="6">
        <f t="shared" si="16"/>
        <v>9.9999999999999978E-2</v>
      </c>
      <c r="B326" s="6">
        <v>0.9</v>
      </c>
      <c r="C326" s="5">
        <v>3</v>
      </c>
      <c r="D326" s="8">
        <v>9.92649159072133</v>
      </c>
      <c r="E326" s="10">
        <v>3.7739907611579402</v>
      </c>
      <c r="F326" s="8">
        <v>0.99999754519671202</v>
      </c>
      <c r="G326" s="10"/>
      <c r="H326" s="8">
        <v>10.8406477836393</v>
      </c>
      <c r="I326" s="8">
        <v>0.999999054462687</v>
      </c>
      <c r="J326" s="4">
        <f t="shared" si="18"/>
        <v>1.0920925771772643</v>
      </c>
      <c r="K326" s="16">
        <f t="shared" si="17"/>
        <v>0.10074052759332795</v>
      </c>
      <c r="L326" s="16"/>
      <c r="N326" s="10"/>
      <c r="O326" s="10"/>
      <c r="P326" s="1"/>
      <c r="Q326" s="3"/>
      <c r="R326" s="3"/>
      <c r="S326" s="3"/>
      <c r="W326" s="15"/>
    </row>
    <row r="327" spans="1:23">
      <c r="A327" s="6">
        <f t="shared" si="16"/>
        <v>0.5</v>
      </c>
      <c r="B327" s="6">
        <v>0.5</v>
      </c>
      <c r="C327" s="5">
        <v>1</v>
      </c>
      <c r="D327" s="8">
        <v>12.758372121777301</v>
      </c>
      <c r="E327" s="10">
        <v>3.5718863434666299</v>
      </c>
      <c r="F327" s="8">
        <v>0.99994888866960496</v>
      </c>
      <c r="G327" s="10"/>
      <c r="H327" s="8">
        <v>8.3954266152924699</v>
      </c>
      <c r="I327" s="8">
        <v>0.99998797943273499</v>
      </c>
      <c r="J327" s="4">
        <f t="shared" si="18"/>
        <v>0.65803274392367761</v>
      </c>
      <c r="K327" s="16">
        <f t="shared" si="17"/>
        <v>7.8379905402907735E-2</v>
      </c>
      <c r="L327" s="16"/>
      <c r="N327" s="10"/>
      <c r="O327" s="10"/>
      <c r="P327" s="1"/>
      <c r="Q327" s="3"/>
      <c r="R327" s="3"/>
      <c r="S327" s="3"/>
      <c r="W327" s="15"/>
    </row>
    <row r="328" spans="1:23">
      <c r="A328" s="6">
        <f t="shared" si="16"/>
        <v>0.5</v>
      </c>
      <c r="B328" s="6">
        <v>0.5</v>
      </c>
      <c r="C328" s="5">
        <v>1.5</v>
      </c>
      <c r="D328" s="8">
        <v>12.7583697228504</v>
      </c>
      <c r="E328" s="10">
        <v>5.3578290403893503</v>
      </c>
      <c r="F328" s="8">
        <v>0.99994763871023895</v>
      </c>
      <c r="G328" s="10"/>
      <c r="H328" s="8">
        <v>8.3955022974522002</v>
      </c>
      <c r="I328" s="8">
        <v>0.99998872984550702</v>
      </c>
      <c r="J328" s="4">
        <f t="shared" si="18"/>
        <v>0.65803879961369593</v>
      </c>
      <c r="K328" s="16">
        <f t="shared" si="17"/>
        <v>7.8379920140500978E-2</v>
      </c>
      <c r="L328" s="16"/>
      <c r="N328" s="10"/>
      <c r="O328" s="10"/>
      <c r="P328" s="1"/>
      <c r="Q328" s="3"/>
      <c r="R328" s="3"/>
      <c r="S328" s="3"/>
      <c r="W328" s="15"/>
    </row>
    <row r="329" spans="1:23">
      <c r="A329" s="6">
        <f t="shared" si="16"/>
        <v>0.5</v>
      </c>
      <c r="B329" s="6">
        <v>0.5</v>
      </c>
      <c r="C329" s="5">
        <v>2</v>
      </c>
      <c r="D329" s="8">
        <v>12.7583665330468</v>
      </c>
      <c r="E329" s="10">
        <v>7.1437711553788796</v>
      </c>
      <c r="F329" s="8">
        <v>0.99994649212447595</v>
      </c>
      <c r="G329" s="10"/>
      <c r="H329" s="8">
        <v>8.3955291244356705</v>
      </c>
      <c r="I329" s="8">
        <v>0.99998916480391398</v>
      </c>
      <c r="J329" s="4">
        <f t="shared" si="18"/>
        <v>0.65804106683167618</v>
      </c>
      <c r="K329" s="16">
        <f t="shared" si="17"/>
        <v>7.8379939736783213E-2</v>
      </c>
      <c r="L329" s="16"/>
      <c r="N329" s="10"/>
      <c r="O329" s="10"/>
      <c r="P329" s="1"/>
      <c r="Q329" s="3"/>
      <c r="R329" s="3"/>
      <c r="S329" s="3"/>
      <c r="W329" s="15"/>
    </row>
    <row r="330" spans="1:23">
      <c r="A330" s="6">
        <f t="shared" si="16"/>
        <v>0.5</v>
      </c>
      <c r="B330" s="6">
        <v>0.5</v>
      </c>
      <c r="C330" s="5">
        <v>2.5</v>
      </c>
      <c r="D330" s="8">
        <v>12.7583625019798</v>
      </c>
      <c r="E330" s="10">
        <v>8.9297125148118894</v>
      </c>
      <c r="F330" s="8">
        <v>0.99994543624906196</v>
      </c>
      <c r="G330" s="10"/>
      <c r="H330" s="8">
        <v>8.3955416273934897</v>
      </c>
      <c r="I330" s="8">
        <v>0.99998945516717297</v>
      </c>
      <c r="J330" s="4">
        <f t="shared" si="18"/>
        <v>0.65804225472435807</v>
      </c>
      <c r="K330" s="16">
        <f t="shared" si="17"/>
        <v>7.8379964501308325E-2</v>
      </c>
      <c r="L330" s="16"/>
      <c r="N330" s="10"/>
      <c r="O330" s="10"/>
      <c r="P330" s="1"/>
      <c r="Q330" s="3"/>
      <c r="R330" s="3"/>
      <c r="S330" s="3"/>
      <c r="W330" s="15"/>
    </row>
    <row r="331" spans="1:23">
      <c r="A331" s="6">
        <f t="shared" si="16"/>
        <v>0.5</v>
      </c>
      <c r="B331" s="6">
        <v>0.5</v>
      </c>
      <c r="C331" s="5">
        <v>3</v>
      </c>
      <c r="D331" s="8">
        <v>12.758357583649699</v>
      </c>
      <c r="E331" s="10">
        <v>10.715652925230099</v>
      </c>
      <c r="F331" s="8">
        <v>0.99994445435325796</v>
      </c>
      <c r="G331" s="10"/>
      <c r="H331" s="8">
        <v>8.3955484406676</v>
      </c>
      <c r="I331" s="8">
        <v>0.99998966539502798</v>
      </c>
      <c r="J331" s="4">
        <f t="shared" si="18"/>
        <v>0.65804304242317224</v>
      </c>
      <c r="K331" s="16">
        <f t="shared" si="17"/>
        <v>7.837999471668175E-2</v>
      </c>
      <c r="L331" s="16"/>
      <c r="N331" s="10"/>
      <c r="O331" s="10"/>
      <c r="P331" s="1"/>
      <c r="Q331" s="3"/>
      <c r="R331" s="3"/>
      <c r="S331" s="3"/>
      <c r="W331" s="15"/>
    </row>
    <row r="332" spans="1:23">
      <c r="A332" s="6">
        <f t="shared" si="16"/>
        <v>0.4</v>
      </c>
      <c r="B332" s="6">
        <v>0.6</v>
      </c>
      <c r="C332" s="5">
        <v>1</v>
      </c>
      <c r="D332" s="8">
        <v>12.036384169512401</v>
      </c>
      <c r="E332" s="10">
        <v>2.7051940060646</v>
      </c>
      <c r="F332" s="8">
        <v>0.999962025285004</v>
      </c>
      <c r="G332" s="10"/>
      <c r="H332" s="8">
        <v>8.9576779258841004</v>
      </c>
      <c r="I332" s="8">
        <v>0.99999238382217903</v>
      </c>
      <c r="J332" s="4">
        <f t="shared" si="18"/>
        <v>0.74421668498862648</v>
      </c>
      <c r="K332" s="16">
        <f t="shared" si="17"/>
        <v>8.3081429266187209E-2</v>
      </c>
      <c r="L332" s="16"/>
      <c r="N332" s="10"/>
      <c r="O332" s="10"/>
      <c r="P332" s="1"/>
      <c r="Q332" s="3"/>
      <c r="R332" s="3"/>
      <c r="S332" s="3"/>
      <c r="W332" s="15"/>
    </row>
    <row r="333" spans="1:23">
      <c r="A333" s="6">
        <f t="shared" si="16"/>
        <v>0.4</v>
      </c>
      <c r="B333" s="6">
        <v>0.6</v>
      </c>
      <c r="C333" s="5">
        <v>1.5</v>
      </c>
      <c r="D333" s="8">
        <v>12.0363430975607</v>
      </c>
      <c r="E333" s="10">
        <v>4.0577854468105103</v>
      </c>
      <c r="F333" s="8">
        <v>0.99996075913633298</v>
      </c>
      <c r="G333" s="10"/>
      <c r="H333" s="8">
        <v>8.9597235989632402</v>
      </c>
      <c r="I333" s="8">
        <v>0.99999313039886095</v>
      </c>
      <c r="J333" s="4">
        <f t="shared" si="18"/>
        <v>0.74438918252330555</v>
      </c>
      <c r="K333" s="16">
        <f t="shared" si="17"/>
        <v>8.3081712767282392E-2</v>
      </c>
      <c r="L333" s="16"/>
      <c r="N333" s="10"/>
      <c r="O333" s="10"/>
      <c r="P333" s="1"/>
      <c r="Q333" s="3"/>
      <c r="R333" s="3"/>
      <c r="S333" s="3"/>
      <c r="W333" s="15"/>
    </row>
    <row r="334" spans="1:23">
      <c r="A334" s="6">
        <f t="shared" si="16"/>
        <v>0.4</v>
      </c>
      <c r="B334" s="6">
        <v>0.6</v>
      </c>
      <c r="C334" s="5">
        <v>2</v>
      </c>
      <c r="D334" s="8">
        <v>12.0362908373731</v>
      </c>
      <c r="E334" s="10">
        <v>5.4103712334765</v>
      </c>
      <c r="F334" s="8">
        <v>0.999959533672377</v>
      </c>
      <c r="G334" s="10"/>
      <c r="H334" s="8">
        <v>8.9605101814983499</v>
      </c>
      <c r="I334" s="8">
        <v>0.99999357885246598</v>
      </c>
      <c r="J334" s="4">
        <f t="shared" si="18"/>
        <v>0.74445776548333775</v>
      </c>
      <c r="K334" s="16">
        <f t="shared" si="17"/>
        <v>8.3082073498503828E-2</v>
      </c>
      <c r="L334" s="16"/>
      <c r="N334" s="10"/>
      <c r="O334" s="10"/>
      <c r="P334" s="1"/>
      <c r="Q334" s="3"/>
      <c r="R334" s="3"/>
      <c r="S334" s="3"/>
      <c r="W334" s="15"/>
    </row>
    <row r="335" spans="1:23">
      <c r="A335" s="6">
        <f t="shared" si="16"/>
        <v>0.4</v>
      </c>
      <c r="B335" s="6">
        <v>0.6</v>
      </c>
      <c r="C335" s="5">
        <v>2.5</v>
      </c>
      <c r="D335" s="8">
        <v>12.036225600331599</v>
      </c>
      <c r="E335" s="10">
        <v>6.7629493785478996</v>
      </c>
      <c r="F335" s="8">
        <v>0.99995836610079403</v>
      </c>
      <c r="G335" s="10"/>
      <c r="H335" s="8">
        <v>8.9608929073354293</v>
      </c>
      <c r="I335" s="8">
        <v>0.999993880641877</v>
      </c>
      <c r="J335" s="4">
        <f t="shared" si="18"/>
        <v>0.74449359831611628</v>
      </c>
      <c r="K335" s="16">
        <f t="shared" si="17"/>
        <v>8.3082523808165401E-2</v>
      </c>
      <c r="L335" s="16"/>
      <c r="N335" s="10"/>
      <c r="O335" s="10"/>
      <c r="P335" s="1"/>
      <c r="Q335" s="3"/>
      <c r="R335" s="3"/>
      <c r="S335" s="3"/>
      <c r="W335" s="15"/>
    </row>
    <row r="336" spans="1:23">
      <c r="A336" s="6">
        <f t="shared" si="16"/>
        <v>0.4</v>
      </c>
      <c r="B336" s="6">
        <v>0.6</v>
      </c>
      <c r="C336" s="5">
        <v>3</v>
      </c>
      <c r="D336" s="8">
        <v>12.036147159981599</v>
      </c>
      <c r="E336" s="10">
        <v>8.1155180916298306</v>
      </c>
      <c r="F336" s="8">
        <v>0.99995725210842401</v>
      </c>
      <c r="G336" s="10"/>
      <c r="H336" s="8">
        <v>8.9611073825276595</v>
      </c>
      <c r="I336" s="8">
        <v>0.99999409910971404</v>
      </c>
      <c r="J336" s="4">
        <f t="shared" si="18"/>
        <v>0.744516269485472</v>
      </c>
      <c r="K336" s="16">
        <f t="shared" si="17"/>
        <v>8.3083065262350014E-2</v>
      </c>
      <c r="L336" s="16"/>
      <c r="N336" s="10"/>
      <c r="O336" s="10"/>
      <c r="P336" s="1"/>
      <c r="Q336" s="3"/>
      <c r="R336" s="3"/>
      <c r="S336" s="3"/>
      <c r="W336" s="15"/>
    </row>
    <row r="337" spans="1:23">
      <c r="A337" s="6">
        <f t="shared" si="16"/>
        <v>0.30000000000000004</v>
      </c>
      <c r="B337" s="6">
        <v>0.7</v>
      </c>
      <c r="C337" s="5">
        <v>1</v>
      </c>
      <c r="D337" s="8">
        <v>11.333695115689</v>
      </c>
      <c r="E337" s="10">
        <v>2.0716264819777002</v>
      </c>
      <c r="F337" s="8">
        <v>0.99997629325427795</v>
      </c>
      <c r="G337" s="10"/>
      <c r="H337" s="8">
        <v>9.5162986678953398</v>
      </c>
      <c r="I337" s="8">
        <v>0.99999613143078303</v>
      </c>
      <c r="J337" s="4">
        <f t="shared" si="18"/>
        <v>0.83964660869711627</v>
      </c>
      <c r="K337" s="16">
        <f t="shared" si="17"/>
        <v>8.8232477562919492E-2</v>
      </c>
      <c r="L337" s="16"/>
      <c r="N337" s="10"/>
      <c r="O337" s="10"/>
      <c r="P337" s="1"/>
      <c r="Q337" s="3"/>
      <c r="R337" s="3"/>
      <c r="S337" s="3"/>
      <c r="W337" s="15"/>
    </row>
    <row r="338" spans="1:23">
      <c r="A338" s="6">
        <f t="shared" si="16"/>
        <v>0.30000000000000004</v>
      </c>
      <c r="B338" s="6">
        <v>0.7</v>
      </c>
      <c r="C338" s="5">
        <v>1.5</v>
      </c>
      <c r="D338" s="8">
        <v>11.333073397410599</v>
      </c>
      <c r="E338" s="10">
        <v>3.1073886081515401</v>
      </c>
      <c r="F338" s="8">
        <v>0.99997509532790296</v>
      </c>
      <c r="G338" s="10"/>
      <c r="H338" s="8">
        <v>9.5315918920388896</v>
      </c>
      <c r="I338" s="8">
        <v>0.99999647507988798</v>
      </c>
      <c r="J338" s="4">
        <f t="shared" si="18"/>
        <v>0.84104210374360455</v>
      </c>
      <c r="K338" s="16">
        <f t="shared" si="17"/>
        <v>8.82373178866451E-2</v>
      </c>
      <c r="L338" s="16"/>
      <c r="N338" s="10"/>
      <c r="O338" s="10"/>
      <c r="P338" s="1"/>
      <c r="Q338" s="3"/>
      <c r="R338" s="3"/>
      <c r="S338" s="3"/>
      <c r="W338" s="15"/>
    </row>
    <row r="339" spans="1:23">
      <c r="A339" s="6">
        <f t="shared" si="16"/>
        <v>0.30000000000000004</v>
      </c>
      <c r="B339" s="6">
        <v>0.7</v>
      </c>
      <c r="C339" s="5">
        <v>2</v>
      </c>
      <c r="D339" s="8">
        <v>11.332339919773201</v>
      </c>
      <c r="E339" s="10">
        <v>4.1431043578517999</v>
      </c>
      <c r="F339" s="8">
        <v>0.99997387543223404</v>
      </c>
      <c r="G339" s="10"/>
      <c r="H339" s="8">
        <v>9.5403768004895397</v>
      </c>
      <c r="I339" s="8">
        <v>0.99999661859251898</v>
      </c>
      <c r="J339" s="4">
        <f t="shared" si="18"/>
        <v>0.84187174652633223</v>
      </c>
      <c r="K339" s="16">
        <f t="shared" si="17"/>
        <v>8.8243028984257066E-2</v>
      </c>
      <c r="L339" s="16"/>
      <c r="N339" s="10"/>
      <c r="O339" s="10"/>
      <c r="P339" s="1"/>
      <c r="Q339" s="3"/>
      <c r="R339" s="3"/>
      <c r="S339" s="3"/>
      <c r="W339" s="15"/>
    </row>
    <row r="340" spans="1:23">
      <c r="A340" s="6">
        <f t="shared" si="16"/>
        <v>0.30000000000000004</v>
      </c>
      <c r="B340" s="6">
        <v>0.7</v>
      </c>
      <c r="C340" s="5">
        <v>2.5</v>
      </c>
      <c r="D340" s="8">
        <v>11.3314608443597</v>
      </c>
      <c r="E340" s="10">
        <v>5.1787598921325904</v>
      </c>
      <c r="F340" s="8">
        <v>0.99997267360671604</v>
      </c>
      <c r="G340" s="10"/>
      <c r="H340" s="8">
        <v>9.5457397796286401</v>
      </c>
      <c r="I340" s="8">
        <v>0.99999672889004099</v>
      </c>
      <c r="J340" s="4">
        <f t="shared" si="18"/>
        <v>0.84241033973833013</v>
      </c>
      <c r="K340" s="16">
        <f t="shared" si="17"/>
        <v>8.8249874728001707E-2</v>
      </c>
      <c r="L340" s="16"/>
      <c r="N340" s="10"/>
      <c r="O340" s="10"/>
      <c r="P340" s="1"/>
      <c r="Q340" s="3"/>
      <c r="R340" s="3"/>
      <c r="S340" s="3"/>
      <c r="W340" s="15"/>
    </row>
    <row r="341" spans="1:23">
      <c r="A341" s="6">
        <f t="shared" si="16"/>
        <v>0.30000000000000004</v>
      </c>
      <c r="B341" s="6">
        <v>0.7</v>
      </c>
      <c r="C341" s="5">
        <v>3</v>
      </c>
      <c r="D341" s="8">
        <v>11.3304356603717</v>
      </c>
      <c r="E341" s="10">
        <v>6.2143432437109203</v>
      </c>
      <c r="F341" s="8">
        <v>0.99997149811578301</v>
      </c>
      <c r="G341" s="10"/>
      <c r="H341" s="8">
        <v>9.5492229842078906</v>
      </c>
      <c r="I341" s="8">
        <v>0.99999682600078799</v>
      </c>
      <c r="J341" s="4">
        <f t="shared" si="18"/>
        <v>0.84279398166536379</v>
      </c>
      <c r="K341" s="16">
        <f t="shared" si="17"/>
        <v>8.8257859624719368E-2</v>
      </c>
      <c r="L341" s="16"/>
      <c r="N341" s="10"/>
      <c r="O341" s="10"/>
      <c r="P341" s="1"/>
      <c r="Q341" s="3"/>
      <c r="R341" s="3"/>
      <c r="S341" s="3"/>
      <c r="W341" s="15"/>
    </row>
    <row r="342" spans="1:23">
      <c r="A342" s="6">
        <f t="shared" si="16"/>
        <v>0.19999999999999996</v>
      </c>
      <c r="B342" s="6">
        <v>0.8</v>
      </c>
      <c r="C342" s="5">
        <v>1</v>
      </c>
      <c r="D342" s="8">
        <v>10.662899100651799</v>
      </c>
      <c r="E342" s="10">
        <v>1.6053696929639001</v>
      </c>
      <c r="F342" s="8">
        <v>0.99998899449524004</v>
      </c>
      <c r="G342" s="10"/>
      <c r="H342" s="8">
        <v>10.1442148432798</v>
      </c>
      <c r="I342" s="8">
        <v>0.99999502320136902</v>
      </c>
      <c r="J342" s="4">
        <f t="shared" si="18"/>
        <v>0.9513561694173498</v>
      </c>
      <c r="K342" s="16">
        <f t="shared" si="17"/>
        <v>9.3783125073261947E-2</v>
      </c>
      <c r="L342" s="16"/>
      <c r="N342" s="10"/>
      <c r="O342" s="10"/>
      <c r="P342" s="1"/>
      <c r="Q342" s="3"/>
      <c r="R342" s="3"/>
      <c r="S342" s="3"/>
      <c r="W342" s="15"/>
    </row>
    <row r="343" spans="1:23">
      <c r="A343" s="6">
        <f t="shared" si="16"/>
        <v>0.19999999999999996</v>
      </c>
      <c r="B343" s="6">
        <v>0.8</v>
      </c>
      <c r="C343" s="5">
        <v>1.5</v>
      </c>
      <c r="D343" s="8">
        <v>10.656200619063799</v>
      </c>
      <c r="E343" s="10">
        <v>2.4077519136147401</v>
      </c>
      <c r="F343" s="8">
        <v>0.99998809472139605</v>
      </c>
      <c r="G343" s="10"/>
      <c r="H343" s="8">
        <v>10.1273191733681</v>
      </c>
      <c r="I343" s="8">
        <v>0.99999709930425196</v>
      </c>
      <c r="J343" s="4">
        <f t="shared" si="18"/>
        <v>0.95036866660059516</v>
      </c>
      <c r="K343" s="16">
        <f t="shared" si="17"/>
        <v>9.3842077091812012E-2</v>
      </c>
      <c r="L343" s="16"/>
      <c r="N343" s="10"/>
      <c r="O343" s="10"/>
      <c r="P343" s="1"/>
      <c r="Q343" s="3"/>
      <c r="R343" s="3"/>
      <c r="S343" s="3"/>
      <c r="W343" s="15"/>
    </row>
    <row r="344" spans="1:23">
      <c r="A344" s="6">
        <f t="shared" si="16"/>
        <v>0.19999999999999996</v>
      </c>
      <c r="B344" s="6">
        <v>0.8</v>
      </c>
      <c r="C344" s="5">
        <v>2</v>
      </c>
      <c r="D344" s="8">
        <v>10.6491750768957</v>
      </c>
      <c r="E344" s="10">
        <v>3.2099124635040299</v>
      </c>
      <c r="F344" s="8">
        <v>0.99998721953587399</v>
      </c>
      <c r="G344" s="10"/>
      <c r="H344" s="8">
        <v>10.124777505396001</v>
      </c>
      <c r="I344" s="8">
        <v>0.99999802181768505</v>
      </c>
      <c r="J344" s="4">
        <f t="shared" si="18"/>
        <v>0.95075697716366547</v>
      </c>
      <c r="K344" s="16">
        <f t="shared" si="17"/>
        <v>9.3903987189541641E-2</v>
      </c>
      <c r="L344" s="16"/>
      <c r="N344" s="10"/>
      <c r="O344" s="10"/>
      <c r="P344" s="1"/>
      <c r="Q344" s="3"/>
      <c r="R344" s="3"/>
      <c r="S344" s="3"/>
      <c r="W344" s="15"/>
    </row>
    <row r="345" spans="1:23">
      <c r="A345" s="6">
        <f t="shared" si="16"/>
        <v>0.19999999999999996</v>
      </c>
      <c r="B345" s="6">
        <v>0.8</v>
      </c>
      <c r="C345" s="5">
        <v>2.5</v>
      </c>
      <c r="D345" s="8">
        <v>10.6415309949091</v>
      </c>
      <c r="E345" s="10">
        <v>4.0118143858722002</v>
      </c>
      <c r="F345" s="8">
        <v>0.99998638760311798</v>
      </c>
      <c r="G345" s="10"/>
      <c r="H345" s="8">
        <v>10.1269769470907</v>
      </c>
      <c r="I345" s="8">
        <v>0.99999849277277097</v>
      </c>
      <c r="J345" s="4">
        <f t="shared" si="18"/>
        <v>0.95164661475265522</v>
      </c>
      <c r="K345" s="16">
        <f t="shared" si="17"/>
        <v>9.3971440808507639E-2</v>
      </c>
      <c r="L345" s="16"/>
      <c r="N345" s="10"/>
      <c r="O345" s="10"/>
      <c r="P345" s="1"/>
      <c r="Q345" s="3"/>
      <c r="R345" s="3"/>
      <c r="S345" s="3"/>
      <c r="W345" s="15"/>
    </row>
    <row r="346" spans="1:23">
      <c r="A346" s="6">
        <f t="shared" si="16"/>
        <v>0.19999999999999996</v>
      </c>
      <c r="B346" s="6">
        <v>0.8</v>
      </c>
      <c r="C346" s="5">
        <v>3</v>
      </c>
      <c r="D346" s="8">
        <v>10.633325856750201</v>
      </c>
      <c r="E346" s="10">
        <v>4.8134346379127102</v>
      </c>
      <c r="F346" s="8">
        <v>0.99998560258930602</v>
      </c>
      <c r="G346" s="10"/>
      <c r="H346" s="8">
        <v>10.130807010117699</v>
      </c>
      <c r="I346" s="8">
        <v>0.99999875168157204</v>
      </c>
      <c r="J346" s="4">
        <f t="shared" si="18"/>
        <v>0.95274114106890706</v>
      </c>
      <c r="K346" s="16">
        <f t="shared" si="17"/>
        <v>9.4043953272172548E-2</v>
      </c>
      <c r="L346" s="16"/>
      <c r="N346" s="10"/>
      <c r="O346" s="10"/>
      <c r="P346" s="1"/>
      <c r="Q346" s="3"/>
      <c r="R346" s="3"/>
      <c r="S346" s="3"/>
      <c r="W346" s="15"/>
    </row>
    <row r="347" spans="1:23">
      <c r="A347" s="6">
        <f t="shared" si="16"/>
        <v>9.9999999999999978E-2</v>
      </c>
      <c r="B347" s="6">
        <v>0.9</v>
      </c>
      <c r="C347" s="5">
        <v>1</v>
      </c>
      <c r="D347" s="8">
        <v>10.0316263067511</v>
      </c>
      <c r="E347" s="10">
        <v>1.2593229979523699</v>
      </c>
      <c r="F347" s="8">
        <v>0.999997944956592</v>
      </c>
      <c r="G347" s="10"/>
      <c r="H347" s="8">
        <v>10.985388487324601</v>
      </c>
      <c r="I347" s="8">
        <v>0.99999709311016205</v>
      </c>
      <c r="J347" s="4">
        <f t="shared" si="18"/>
        <v>1.095075529272022</v>
      </c>
      <c r="K347" s="16">
        <f t="shared" si="17"/>
        <v>9.968473400240381E-2</v>
      </c>
      <c r="L347" s="16"/>
      <c r="N347" s="10"/>
      <c r="O347" s="10"/>
      <c r="P347" s="1"/>
      <c r="Q347" s="3"/>
      <c r="R347" s="3"/>
      <c r="S347" s="3"/>
      <c r="W347" s="15"/>
    </row>
    <row r="348" spans="1:23">
      <c r="A348" s="6">
        <f t="shared" si="16"/>
        <v>9.9999999999999978E-2</v>
      </c>
      <c r="B348" s="6">
        <v>0.9</v>
      </c>
      <c r="C348" s="5">
        <v>1.5</v>
      </c>
      <c r="D348" s="8">
        <v>10.000697087478899</v>
      </c>
      <c r="E348" s="10">
        <v>1.88840128118907</v>
      </c>
      <c r="F348" s="8">
        <v>0.99999779077052198</v>
      </c>
      <c r="G348" s="10"/>
      <c r="H348" s="8">
        <v>10.9137240188325</v>
      </c>
      <c r="I348" s="8">
        <v>0.999997903129065</v>
      </c>
      <c r="J348" s="4">
        <f t="shared" si="18"/>
        <v>1.0912963289825797</v>
      </c>
      <c r="K348" s="16">
        <f t="shared" si="17"/>
        <v>9.9993029611108092E-2</v>
      </c>
      <c r="L348" s="16"/>
      <c r="N348" s="10"/>
      <c r="O348" s="10"/>
      <c r="P348" s="1"/>
      <c r="Q348" s="3"/>
      <c r="R348" s="3"/>
      <c r="S348" s="3"/>
      <c r="W348" s="15"/>
    </row>
    <row r="349" spans="1:23">
      <c r="A349" s="6">
        <f t="shared" si="16"/>
        <v>9.9999999999999978E-2</v>
      </c>
      <c r="B349" s="6">
        <v>0.9</v>
      </c>
      <c r="C349" s="5">
        <v>2</v>
      </c>
      <c r="D349" s="8">
        <v>9.9751264203907599</v>
      </c>
      <c r="E349" s="10">
        <v>2.5172238421361599</v>
      </c>
      <c r="F349" s="8">
        <v>0.99999772404151899</v>
      </c>
      <c r="G349" s="10"/>
      <c r="H349" s="8">
        <v>10.8745909263546</v>
      </c>
      <c r="I349" s="8">
        <v>0.99999843436671898</v>
      </c>
      <c r="J349" s="4">
        <f t="shared" si="18"/>
        <v>1.0901707374981424</v>
      </c>
      <c r="K349" s="16">
        <f t="shared" si="17"/>
        <v>0.1002493560338082</v>
      </c>
      <c r="L349" s="16"/>
      <c r="N349" s="10"/>
      <c r="O349" s="10"/>
      <c r="P349" s="1"/>
      <c r="Q349" s="3"/>
      <c r="R349" s="3"/>
      <c r="S349" s="3"/>
      <c r="W349" s="15"/>
    </row>
    <row r="350" spans="1:23">
      <c r="A350" s="6">
        <f t="shared" si="16"/>
        <v>9.9999999999999978E-2</v>
      </c>
      <c r="B350" s="6">
        <v>0.9</v>
      </c>
      <c r="C350" s="5">
        <v>2.5</v>
      </c>
      <c r="D350" s="8">
        <v>9.9524686157943201</v>
      </c>
      <c r="E350" s="10">
        <v>3.1458143583948899</v>
      </c>
      <c r="F350" s="8">
        <v>0.99999769903691305</v>
      </c>
      <c r="G350" s="10"/>
      <c r="H350" s="8">
        <v>10.8504505040325</v>
      </c>
      <c r="I350" s="8">
        <v>0.99999879361261901</v>
      </c>
      <c r="J350" s="4">
        <f t="shared" si="18"/>
        <v>1.0902270504840481</v>
      </c>
      <c r="K350" s="16">
        <f t="shared" si="17"/>
        <v>0.10047758386427111</v>
      </c>
      <c r="L350" s="16"/>
      <c r="N350" s="10"/>
      <c r="O350" s="10"/>
      <c r="P350" s="1"/>
      <c r="Q350" s="3"/>
      <c r="R350" s="3"/>
      <c r="S350" s="3"/>
      <c r="W350" s="15"/>
    </row>
    <row r="351" spans="1:23">
      <c r="A351" s="6">
        <f t="shared" si="16"/>
        <v>9.9999999999999978E-2</v>
      </c>
      <c r="B351" s="6">
        <v>0.9</v>
      </c>
      <c r="C351" s="5">
        <v>3</v>
      </c>
      <c r="D351" s="8">
        <v>9.9319470784167105</v>
      </c>
      <c r="E351" s="10">
        <v>3.7741981238753302</v>
      </c>
      <c r="F351" s="8">
        <v>0.99999769618951295</v>
      </c>
      <c r="G351" s="10"/>
      <c r="H351" s="8">
        <v>10.8344490973268</v>
      </c>
      <c r="I351" s="8">
        <v>0.99999904687714802</v>
      </c>
      <c r="J351" s="4">
        <f t="shared" si="18"/>
        <v>1.0908685891884515</v>
      </c>
      <c r="K351" s="16">
        <f t="shared" si="17"/>
        <v>0.10068519214858863</v>
      </c>
      <c r="L351" s="16"/>
      <c r="N351" s="10"/>
      <c r="O351" s="10"/>
      <c r="P351" s="1"/>
      <c r="Q351" s="3"/>
      <c r="R351" s="3"/>
      <c r="S351" s="3"/>
      <c r="W351" s="15"/>
    </row>
    <row r="352" spans="1:23">
      <c r="A352" s="6">
        <f t="shared" si="16"/>
        <v>0.5</v>
      </c>
      <c r="B352" s="6">
        <v>0.5</v>
      </c>
      <c r="C352" s="5">
        <v>1</v>
      </c>
      <c r="D352" s="8">
        <v>12.771269546131901</v>
      </c>
      <c r="E352" s="10">
        <v>3.57369129638673</v>
      </c>
      <c r="F352" s="8">
        <v>0.99995187745274505</v>
      </c>
      <c r="G352" s="10"/>
      <c r="H352" s="8">
        <v>8.3815195586676694</v>
      </c>
      <c r="I352" s="8">
        <v>0.99998836985358797</v>
      </c>
      <c r="J352" s="4">
        <f t="shared" si="18"/>
        <v>0.65627927814006737</v>
      </c>
      <c r="K352" s="16">
        <f t="shared" si="17"/>
        <v>7.8300751259523377E-2</v>
      </c>
      <c r="L352" s="16"/>
      <c r="N352" s="10"/>
      <c r="O352" s="10"/>
      <c r="P352" s="1"/>
      <c r="Q352" s="3"/>
      <c r="R352" s="3"/>
      <c r="S352" s="3"/>
      <c r="W352" s="15"/>
    </row>
    <row r="353" spans="1:23">
      <c r="A353" s="6">
        <f t="shared" si="16"/>
        <v>0.5</v>
      </c>
      <c r="B353" s="6">
        <v>0.5</v>
      </c>
      <c r="C353" s="5">
        <v>1.5</v>
      </c>
      <c r="D353" s="8">
        <v>12.771267190908301</v>
      </c>
      <c r="E353" s="10">
        <v>5.3605364764165397</v>
      </c>
      <c r="F353" s="8">
        <v>0.99995069996459096</v>
      </c>
      <c r="G353" s="10"/>
      <c r="H353" s="8">
        <v>8.3816242581218194</v>
      </c>
      <c r="I353" s="8">
        <v>0.99998914085919</v>
      </c>
      <c r="J353" s="4">
        <f t="shared" si="18"/>
        <v>0.65628759721577112</v>
      </c>
      <c r="K353" s="16">
        <f t="shared" si="17"/>
        <v>7.8300765699419947E-2</v>
      </c>
      <c r="L353" s="16"/>
      <c r="N353" s="10"/>
      <c r="O353" s="10"/>
      <c r="P353" s="1"/>
      <c r="Q353" s="3"/>
      <c r="R353" s="3"/>
      <c r="S353" s="3"/>
      <c r="W353" s="15"/>
    </row>
    <row r="354" spans="1:23">
      <c r="A354" s="6">
        <f t="shared" si="16"/>
        <v>0.5</v>
      </c>
      <c r="B354" s="6">
        <v>0.5</v>
      </c>
      <c r="C354" s="5">
        <v>2</v>
      </c>
      <c r="D354" s="8">
        <v>12.7712640651414</v>
      </c>
      <c r="E354" s="10">
        <v>7.1473810861745601</v>
      </c>
      <c r="F354" s="8">
        <v>0.99994961998916998</v>
      </c>
      <c r="G354" s="10"/>
      <c r="H354" s="8">
        <v>8.3816614530298903</v>
      </c>
      <c r="I354" s="8">
        <v>0.99998958832845097</v>
      </c>
      <c r="J354" s="4">
        <f t="shared" si="18"/>
        <v>0.65629067023265641</v>
      </c>
      <c r="K354" s="16">
        <f t="shared" si="17"/>
        <v>7.830078486353248E-2</v>
      </c>
      <c r="L354" s="16"/>
      <c r="N354" s="10"/>
      <c r="O354" s="10"/>
      <c r="P354" s="1"/>
      <c r="Q354" s="3"/>
      <c r="R354" s="3"/>
      <c r="S354" s="3"/>
      <c r="W354" s="15"/>
    </row>
    <row r="355" spans="1:23">
      <c r="A355" s="6">
        <f t="shared" si="16"/>
        <v>0.5</v>
      </c>
      <c r="B355" s="6">
        <v>0.5</v>
      </c>
      <c r="C355" s="5">
        <v>2.5</v>
      </c>
      <c r="D355" s="8">
        <v>12.771260092060601</v>
      </c>
      <c r="E355" s="10">
        <v>8.9342249563247105</v>
      </c>
      <c r="F355" s="8">
        <v>0.99994862551368202</v>
      </c>
      <c r="G355" s="10"/>
      <c r="H355" s="8">
        <v>8.3816788058188205</v>
      </c>
      <c r="I355" s="8">
        <v>0.99998988745900197</v>
      </c>
      <c r="J355" s="4">
        <f t="shared" si="18"/>
        <v>0.65629223313910789</v>
      </c>
      <c r="K355" s="16">
        <f t="shared" si="17"/>
        <v>7.8300809222549728E-2</v>
      </c>
      <c r="L355" s="16"/>
      <c r="N355" s="10"/>
      <c r="O355" s="10"/>
      <c r="P355" s="1"/>
      <c r="Q355" s="3"/>
      <c r="R355" s="3"/>
      <c r="S355" s="3"/>
      <c r="W355" s="15"/>
    </row>
    <row r="356" spans="1:23">
      <c r="A356" s="6">
        <f t="shared" si="16"/>
        <v>0.5</v>
      </c>
      <c r="B356" s="6">
        <v>0.5</v>
      </c>
      <c r="C356" s="5">
        <v>3</v>
      </c>
      <c r="D356" s="8">
        <v>12.7712552666513</v>
      </c>
      <c r="E356" s="10">
        <v>10.7210678937821</v>
      </c>
      <c r="F356" s="8">
        <v>0.999947700749097</v>
      </c>
      <c r="G356" s="10"/>
      <c r="H356" s="8">
        <v>8.3816882808780608</v>
      </c>
      <c r="I356" s="8">
        <v>0.999990104393226</v>
      </c>
      <c r="J356" s="4">
        <f t="shared" si="18"/>
        <v>0.6562932230134485</v>
      </c>
      <c r="K356" s="16">
        <f t="shared" si="17"/>
        <v>7.8300838807226034E-2</v>
      </c>
      <c r="L356" s="16"/>
      <c r="N356" s="10"/>
      <c r="O356" s="10"/>
      <c r="P356" s="1"/>
      <c r="Q356" s="3"/>
      <c r="R356" s="3"/>
      <c r="S356" s="3"/>
      <c r="W356" s="15"/>
    </row>
    <row r="357" spans="1:23">
      <c r="A357" s="6">
        <f t="shared" si="16"/>
        <v>0.4</v>
      </c>
      <c r="B357" s="6">
        <v>0.6</v>
      </c>
      <c r="C357" s="5">
        <v>1</v>
      </c>
      <c r="D357" s="8">
        <v>12.047380264088901</v>
      </c>
      <c r="E357" s="10">
        <v>2.7061822902325701</v>
      </c>
      <c r="F357" s="8">
        <v>0.99996397027682005</v>
      </c>
      <c r="G357" s="10"/>
      <c r="H357" s="8">
        <v>8.9443726242845703</v>
      </c>
      <c r="I357" s="8">
        <v>0.99999248769923399</v>
      </c>
      <c r="J357" s="4">
        <f t="shared" si="18"/>
        <v>0.7424329960718643</v>
      </c>
      <c r="K357" s="16">
        <f t="shared" si="17"/>
        <v>8.3005597738192285E-2</v>
      </c>
      <c r="L357" s="16"/>
      <c r="N357" s="10"/>
      <c r="O357" s="10"/>
      <c r="P357" s="1"/>
      <c r="Q357" s="3"/>
      <c r="R357" s="3"/>
      <c r="S357" s="3"/>
      <c r="W357" s="15"/>
    </row>
    <row r="358" spans="1:23">
      <c r="A358" s="6">
        <f t="shared" si="16"/>
        <v>0.4</v>
      </c>
      <c r="B358" s="6">
        <v>0.6</v>
      </c>
      <c r="C358" s="5">
        <v>1.5</v>
      </c>
      <c r="D358" s="8">
        <v>12.0473397414539</v>
      </c>
      <c r="E358" s="10">
        <v>4.0592679516025196</v>
      </c>
      <c r="F358" s="8">
        <v>0.99996276834716802</v>
      </c>
      <c r="G358" s="10"/>
      <c r="H358" s="8">
        <v>8.9470855806041705</v>
      </c>
      <c r="I358" s="8">
        <v>0.99999321143211894</v>
      </c>
      <c r="J358" s="4">
        <f t="shared" si="18"/>
        <v>0.74266068465040369</v>
      </c>
      <c r="K358" s="16">
        <f t="shared" si="17"/>
        <v>8.3005876937219808E-2</v>
      </c>
      <c r="L358" s="16"/>
      <c r="N358" s="10"/>
      <c r="O358" s="10"/>
      <c r="P358" s="1"/>
      <c r="Q358" s="3"/>
      <c r="R358" s="3"/>
      <c r="S358" s="3"/>
      <c r="W358" s="15"/>
    </row>
    <row r="359" spans="1:23">
      <c r="A359" s="6">
        <f t="shared" si="16"/>
        <v>0.4</v>
      </c>
      <c r="B359" s="6">
        <v>0.6</v>
      </c>
      <c r="C359" s="5">
        <v>2</v>
      </c>
      <c r="D359" s="8">
        <v>12.047288228342399</v>
      </c>
      <c r="E359" s="10">
        <v>5.4123480440349203</v>
      </c>
      <c r="F359" s="8">
        <v>0.99996160527147504</v>
      </c>
      <c r="G359" s="10"/>
      <c r="H359" s="8">
        <v>8.9481435918892505</v>
      </c>
      <c r="I359" s="8">
        <v>0.99999366281564805</v>
      </c>
      <c r="J359" s="4">
        <f t="shared" si="18"/>
        <v>0.74275168173015782</v>
      </c>
      <c r="K359" s="16">
        <f t="shared" si="17"/>
        <v>8.300623186281908E-2</v>
      </c>
      <c r="L359" s="16"/>
      <c r="N359" s="10"/>
      <c r="O359" s="10"/>
      <c r="P359" s="1"/>
      <c r="Q359" s="3"/>
      <c r="R359" s="3"/>
      <c r="S359" s="3"/>
      <c r="W359" s="15"/>
    </row>
    <row r="360" spans="1:23">
      <c r="A360" s="6">
        <f t="shared" si="16"/>
        <v>0.4</v>
      </c>
      <c r="B360" s="6">
        <v>0.6</v>
      </c>
      <c r="C360" s="5">
        <v>2.5</v>
      </c>
      <c r="D360" s="8">
        <v>12.0472239271138</v>
      </c>
      <c r="E360" s="10">
        <v>6.7654206096620504</v>
      </c>
      <c r="F360" s="8">
        <v>0.99996049724535196</v>
      </c>
      <c r="G360" s="10"/>
      <c r="H360" s="8">
        <v>8.9486623557520595</v>
      </c>
      <c r="I360" s="8">
        <v>0.99999397189736805</v>
      </c>
      <c r="J360" s="4">
        <f t="shared" si="18"/>
        <v>0.74279870697945305</v>
      </c>
      <c r="K360" s="16">
        <f t="shared" si="17"/>
        <v>8.3006674902869004E-2</v>
      </c>
      <c r="L360" s="16"/>
      <c r="N360" s="10"/>
      <c r="O360" s="10"/>
      <c r="P360" s="1"/>
      <c r="Q360" s="3"/>
      <c r="R360" s="3"/>
      <c r="S360" s="3"/>
      <c r="W360" s="15"/>
    </row>
    <row r="361" spans="1:23">
      <c r="A361" s="6">
        <f t="shared" si="16"/>
        <v>0.4</v>
      </c>
      <c r="B361" s="6">
        <v>0.6</v>
      </c>
      <c r="C361" s="5">
        <v>3</v>
      </c>
      <c r="D361" s="8">
        <v>12.047146622943901</v>
      </c>
      <c r="E361" s="10">
        <v>8.1184838890607196</v>
      </c>
      <c r="F361" s="8">
        <v>0.99995944013095395</v>
      </c>
      <c r="G361" s="10"/>
      <c r="H361" s="8">
        <v>8.9489544800982195</v>
      </c>
      <c r="I361" s="8">
        <v>0.999994197878874</v>
      </c>
      <c r="J361" s="4">
        <f t="shared" si="18"/>
        <v>0.7428277217988577</v>
      </c>
      <c r="K361" s="16">
        <f t="shared" si="17"/>
        <v>8.300720754037233E-2</v>
      </c>
      <c r="L361" s="16"/>
      <c r="N361" s="10"/>
      <c r="O361" s="10"/>
      <c r="P361" s="1"/>
      <c r="Q361" s="3"/>
      <c r="R361" s="3"/>
      <c r="S361" s="3"/>
      <c r="W361" s="15"/>
    </row>
    <row r="362" spans="1:23">
      <c r="A362" s="6">
        <f t="shared" si="16"/>
        <v>0.30000000000000004</v>
      </c>
      <c r="B362" s="6">
        <v>0.7</v>
      </c>
      <c r="C362" s="5">
        <v>1</v>
      </c>
      <c r="D362" s="8">
        <v>11.3422688825558</v>
      </c>
      <c r="E362" s="10">
        <v>2.0720965048891502</v>
      </c>
      <c r="F362" s="8">
        <v>0.99997735940217902</v>
      </c>
      <c r="G362" s="10"/>
      <c r="H362" s="8">
        <v>9.4984422930244303</v>
      </c>
      <c r="I362" s="8">
        <v>0.99999646713927903</v>
      </c>
      <c r="J362" s="4">
        <f t="shared" si="18"/>
        <v>0.83743758778570832</v>
      </c>
      <c r="K362" s="16">
        <f t="shared" si="17"/>
        <v>8.8165781498795323E-2</v>
      </c>
      <c r="L362" s="16"/>
      <c r="N362" s="10"/>
      <c r="O362" s="10"/>
      <c r="P362" s="1"/>
      <c r="Q362" s="3"/>
      <c r="R362" s="3"/>
      <c r="S362" s="3"/>
      <c r="W362" s="15"/>
    </row>
    <row r="363" spans="1:23">
      <c r="A363" s="6">
        <f t="shared" si="16"/>
        <v>0.30000000000000004</v>
      </c>
      <c r="B363" s="6">
        <v>0.7</v>
      </c>
      <c r="C363" s="5">
        <v>1.5</v>
      </c>
      <c r="D363" s="8">
        <v>11.341656206735999</v>
      </c>
      <c r="E363" s="10">
        <v>3.10809440999041</v>
      </c>
      <c r="F363" s="8">
        <v>0.99997621602906905</v>
      </c>
      <c r="G363" s="10"/>
      <c r="H363" s="8">
        <v>9.5153703198608195</v>
      </c>
      <c r="I363" s="8">
        <v>0.99999671921537403</v>
      </c>
      <c r="J363" s="4">
        <f t="shared" si="18"/>
        <v>0.83897537946966527</v>
      </c>
      <c r="K363" s="16">
        <f t="shared" si="17"/>
        <v>8.8170544210825513E-2</v>
      </c>
      <c r="L363" s="16"/>
      <c r="N363" s="10"/>
      <c r="O363" s="10"/>
      <c r="P363" s="1"/>
      <c r="Q363" s="3"/>
      <c r="R363" s="3"/>
      <c r="S363" s="3"/>
      <c r="W363" s="15"/>
    </row>
    <row r="364" spans="1:23">
      <c r="A364" s="6">
        <f t="shared" si="16"/>
        <v>0.30000000000000004</v>
      </c>
      <c r="B364" s="6">
        <v>0.7</v>
      </c>
      <c r="C364" s="5">
        <v>2</v>
      </c>
      <c r="D364" s="8">
        <v>11.3409318862034</v>
      </c>
      <c r="E364" s="10">
        <v>4.1440464747335097</v>
      </c>
      <c r="F364" s="8">
        <v>0.99997505150931798</v>
      </c>
      <c r="G364" s="10"/>
      <c r="H364" s="8">
        <v>9.52563466888334</v>
      </c>
      <c r="I364" s="8">
        <v>0.99999677953673705</v>
      </c>
      <c r="J364" s="4">
        <f t="shared" si="18"/>
        <v>0.83993403403397338</v>
      </c>
      <c r="K364" s="16">
        <f t="shared" si="17"/>
        <v>8.8176175470776913E-2</v>
      </c>
      <c r="L364" s="16"/>
      <c r="N364" s="10"/>
      <c r="O364" s="10"/>
      <c r="P364" s="1"/>
      <c r="Q364" s="3"/>
      <c r="R364" s="3"/>
      <c r="S364" s="3"/>
      <c r="W364" s="15"/>
    </row>
    <row r="365" spans="1:23">
      <c r="A365" s="6">
        <f t="shared" si="16"/>
        <v>0.30000000000000004</v>
      </c>
      <c r="B365" s="6">
        <v>0.7</v>
      </c>
      <c r="C365" s="5">
        <v>2.5</v>
      </c>
      <c r="D365" s="8">
        <v>11.3400635430951</v>
      </c>
      <c r="E365" s="10">
        <v>5.1799390746698997</v>
      </c>
      <c r="F365" s="8">
        <v>0.99997390448087298</v>
      </c>
      <c r="G365" s="10"/>
      <c r="H365" s="8">
        <v>9.5321060600384602</v>
      </c>
      <c r="I365" s="8">
        <v>0.99999683223407398</v>
      </c>
      <c r="J365" s="4">
        <f t="shared" si="18"/>
        <v>0.84056901655039706</v>
      </c>
      <c r="K365" s="16">
        <f t="shared" si="17"/>
        <v>8.8182927388347335E-2</v>
      </c>
      <c r="L365" s="16"/>
      <c r="N365" s="10"/>
      <c r="O365" s="10"/>
      <c r="P365" s="1"/>
      <c r="Q365" s="3"/>
      <c r="R365" s="3"/>
      <c r="S365" s="3"/>
      <c r="W365" s="15"/>
    </row>
    <row r="366" spans="1:23">
      <c r="A366" s="6">
        <f t="shared" si="16"/>
        <v>0.30000000000000004</v>
      </c>
      <c r="B366" s="6">
        <v>0.7</v>
      </c>
      <c r="C366" s="5">
        <v>3</v>
      </c>
      <c r="D366" s="8">
        <v>11.3390508746135</v>
      </c>
      <c r="E366" s="10">
        <v>6.2157604082694</v>
      </c>
      <c r="F366" s="8">
        <v>0.99997278288736902</v>
      </c>
      <c r="G366" s="10"/>
      <c r="H366" s="8">
        <v>9.5364019752266405</v>
      </c>
      <c r="I366" s="8">
        <v>0.99999689122578495</v>
      </c>
      <c r="J366" s="4">
        <f t="shared" si="18"/>
        <v>0.84102294633647601</v>
      </c>
      <c r="K366" s="16">
        <f t="shared" si="17"/>
        <v>8.8190802833317899E-2</v>
      </c>
      <c r="L366" s="16"/>
      <c r="N366" s="10"/>
      <c r="O366" s="10"/>
      <c r="P366" s="1"/>
      <c r="Q366" s="3"/>
      <c r="R366" s="3"/>
      <c r="S366" s="3"/>
      <c r="W366" s="15"/>
    </row>
    <row r="367" spans="1:23">
      <c r="A367" s="6">
        <f t="shared" si="16"/>
        <v>0.19999999999999996</v>
      </c>
      <c r="B367" s="6">
        <v>0.8</v>
      </c>
      <c r="C367" s="5">
        <v>1</v>
      </c>
      <c r="D367" s="8">
        <v>10.668627054689599</v>
      </c>
      <c r="E367" s="10">
        <v>1.60554213236229</v>
      </c>
      <c r="F367" s="8">
        <v>0.99998941449824197</v>
      </c>
      <c r="G367" s="10"/>
      <c r="H367" s="8">
        <v>10.135139681095801</v>
      </c>
      <c r="I367" s="8">
        <v>0.99999505431370606</v>
      </c>
      <c r="J367" s="4">
        <f t="shared" si="18"/>
        <v>0.94999474900949943</v>
      </c>
      <c r="K367" s="16">
        <f t="shared" si="17"/>
        <v>9.3732773193194605E-2</v>
      </c>
      <c r="L367" s="16"/>
      <c r="N367" s="10"/>
      <c r="O367" s="10"/>
      <c r="P367" s="1"/>
      <c r="Q367" s="3"/>
      <c r="R367" s="3"/>
      <c r="S367" s="3"/>
      <c r="W367" s="15"/>
    </row>
    <row r="368" spans="1:23">
      <c r="A368" s="6">
        <f t="shared" si="16"/>
        <v>0.19999999999999996</v>
      </c>
      <c r="B368" s="6">
        <v>0.8</v>
      </c>
      <c r="C368" s="5">
        <v>1.5</v>
      </c>
      <c r="D368" s="8">
        <v>10.6620537205966</v>
      </c>
      <c r="E368" s="10">
        <v>2.4080163554546901</v>
      </c>
      <c r="F368" s="8">
        <v>0.99998856636450895</v>
      </c>
      <c r="G368" s="10"/>
      <c r="H368" s="8">
        <v>10.116028935293899</v>
      </c>
      <c r="I368" s="8">
        <v>0.99999713725843697</v>
      </c>
      <c r="J368" s="4">
        <f t="shared" si="18"/>
        <v>0.94878802905973847</v>
      </c>
      <c r="K368" s="16">
        <f t="shared" si="17"/>
        <v>9.3790561012484244E-2</v>
      </c>
      <c r="L368" s="16"/>
      <c r="N368" s="10"/>
      <c r="O368" s="10"/>
      <c r="P368" s="1"/>
      <c r="Q368" s="3"/>
      <c r="R368" s="3"/>
      <c r="S368" s="3"/>
      <c r="W368" s="15"/>
    </row>
    <row r="369" spans="1:23">
      <c r="A369" s="6">
        <f t="shared" si="16"/>
        <v>0.19999999999999996</v>
      </c>
      <c r="B369" s="6">
        <v>0.8</v>
      </c>
      <c r="C369" s="5">
        <v>2</v>
      </c>
      <c r="D369" s="8">
        <v>10.655126188855601</v>
      </c>
      <c r="E369" s="10">
        <v>3.2102711442781402</v>
      </c>
      <c r="F369" s="8">
        <v>0.99998773770854499</v>
      </c>
      <c r="G369" s="10"/>
      <c r="H369" s="8">
        <v>10.1120415611224</v>
      </c>
      <c r="I369" s="8">
        <v>0.99999807359748105</v>
      </c>
      <c r="J369" s="4">
        <f t="shared" si="18"/>
        <v>0.94903067142449959</v>
      </c>
      <c r="K369" s="16">
        <f t="shared" si="17"/>
        <v>9.3851539838722797E-2</v>
      </c>
      <c r="L369" s="16"/>
      <c r="N369" s="10"/>
      <c r="O369" s="10"/>
      <c r="P369" s="1"/>
      <c r="Q369" s="3"/>
      <c r="R369" s="3"/>
      <c r="S369" s="3"/>
      <c r="W369" s="15"/>
    </row>
    <row r="370" spans="1:23">
      <c r="A370" s="6">
        <f t="shared" si="16"/>
        <v>0.19999999999999996</v>
      </c>
      <c r="B370" s="6">
        <v>0.8</v>
      </c>
      <c r="C370" s="5">
        <v>2.5</v>
      </c>
      <c r="D370" s="8">
        <v>10.647577278979201</v>
      </c>
      <c r="E370" s="10">
        <v>4.0122701676368404</v>
      </c>
      <c r="F370" s="8">
        <v>0.99998694963394696</v>
      </c>
      <c r="G370" s="10"/>
      <c r="H370" s="8">
        <v>10.113360874555299</v>
      </c>
      <c r="I370" s="8">
        <v>0.99999855762121803</v>
      </c>
      <c r="J370" s="4">
        <f t="shared" si="18"/>
        <v>0.94982742172920698</v>
      </c>
      <c r="K370" s="16">
        <f t="shared" si="17"/>
        <v>9.3918078620028711E-2</v>
      </c>
      <c r="L370" s="16"/>
      <c r="N370" s="10"/>
      <c r="O370" s="10"/>
      <c r="P370" s="1"/>
      <c r="Q370" s="3"/>
      <c r="R370" s="3"/>
      <c r="S370" s="3"/>
      <c r="W370" s="15"/>
    </row>
    <row r="371" spans="1:23">
      <c r="A371" s="6">
        <f t="shared" si="16"/>
        <v>0.19999999999999996</v>
      </c>
      <c r="B371" s="6">
        <v>0.8</v>
      </c>
      <c r="C371" s="5">
        <v>3</v>
      </c>
      <c r="D371" s="8">
        <v>10.639470607702901</v>
      </c>
      <c r="E371" s="10">
        <v>4.8139908237636897</v>
      </c>
      <c r="F371" s="8">
        <v>0.99998620671360205</v>
      </c>
      <c r="G371" s="10"/>
      <c r="H371" s="8">
        <v>10.116706833421199</v>
      </c>
      <c r="I371" s="8">
        <v>0.99999882600489298</v>
      </c>
      <c r="J371" s="4">
        <f t="shared" si="18"/>
        <v>0.95086562165008248</v>
      </c>
      <c r="K371" s="16">
        <f t="shared" si="17"/>
        <v>9.3989638852520277E-2</v>
      </c>
      <c r="L371" s="16"/>
      <c r="N371" s="10"/>
      <c r="O371" s="10"/>
      <c r="P371" s="1"/>
      <c r="Q371" s="3"/>
      <c r="R371" s="3"/>
      <c r="S371" s="3"/>
      <c r="W371" s="15"/>
    </row>
    <row r="372" spans="1:23">
      <c r="A372" s="6">
        <f t="shared" si="16"/>
        <v>9.9999999999999978E-2</v>
      </c>
      <c r="B372" s="6">
        <v>0.9</v>
      </c>
      <c r="C372" s="5">
        <v>1</v>
      </c>
      <c r="D372" s="8">
        <v>10.0340446611386</v>
      </c>
      <c r="E372" s="10">
        <v>1.2593533534452499</v>
      </c>
      <c r="F372" s="8">
        <v>0.99999799820550295</v>
      </c>
      <c r="G372" s="10"/>
      <c r="H372" s="8">
        <v>10.983179021220099</v>
      </c>
      <c r="I372" s="8">
        <v>0.99999708588117897</v>
      </c>
      <c r="J372" s="4">
        <f t="shared" si="18"/>
        <v>1.0945914027827137</v>
      </c>
      <c r="K372" s="16">
        <f t="shared" si="17"/>
        <v>9.9660708495045339E-2</v>
      </c>
      <c r="L372" s="16"/>
      <c r="N372" s="10"/>
      <c r="O372" s="10"/>
      <c r="P372" s="1"/>
      <c r="Q372" s="3"/>
      <c r="R372" s="3"/>
      <c r="S372" s="3"/>
      <c r="W372" s="15"/>
    </row>
    <row r="373" spans="1:23">
      <c r="A373" s="6">
        <f t="shared" si="16"/>
        <v>9.9999999999999978E-2</v>
      </c>
      <c r="B373" s="6">
        <v>0.9</v>
      </c>
      <c r="C373" s="5">
        <v>1.5</v>
      </c>
      <c r="D373" s="8">
        <v>10.0035700860216</v>
      </c>
      <c r="E373" s="10">
        <v>1.88845552396418</v>
      </c>
      <c r="F373" s="8">
        <v>0.99999786102681598</v>
      </c>
      <c r="G373" s="10"/>
      <c r="H373" s="8">
        <v>10.910791206971099</v>
      </c>
      <c r="I373" s="8">
        <v>0.99999789668606098</v>
      </c>
      <c r="J373" s="4">
        <f t="shared" si="18"/>
        <v>1.0906897350793989</v>
      </c>
      <c r="K373" s="16">
        <f t="shared" si="17"/>
        <v>9.9964311880749571E-2</v>
      </c>
      <c r="L373" s="16"/>
      <c r="N373" s="10"/>
      <c r="O373" s="10"/>
      <c r="P373" s="1"/>
      <c r="Q373" s="3"/>
      <c r="R373" s="3"/>
      <c r="S373" s="3"/>
      <c r="W373" s="15"/>
    </row>
    <row r="374" spans="1:23" ht="16.5" thickBot="1">
      <c r="A374" s="6">
        <f t="shared" si="16"/>
        <v>9.9999999999999978E-2</v>
      </c>
      <c r="B374" s="6">
        <v>0.9</v>
      </c>
      <c r="C374" s="5">
        <v>2</v>
      </c>
      <c r="D374" s="8">
        <v>9.9783849638159499</v>
      </c>
      <c r="E374" s="10">
        <v>2.5173060590798002</v>
      </c>
      <c r="F374" s="8">
        <v>0.99999780837262597</v>
      </c>
      <c r="G374" s="10"/>
      <c r="H374" s="8">
        <v>10.8710478994574</v>
      </c>
      <c r="I374" s="8">
        <v>0.99999842820776497</v>
      </c>
      <c r="J374" s="4">
        <f t="shared" si="18"/>
        <v>1.0894596609449789</v>
      </c>
      <c r="K374" s="16">
        <f t="shared" si="17"/>
        <v>0.10021661858369296</v>
      </c>
      <c r="L374" s="16"/>
      <c r="N374" s="10"/>
      <c r="O374" s="10"/>
      <c r="P374" s="1"/>
      <c r="Q374" s="3"/>
      <c r="R374" s="3"/>
      <c r="S374" s="3"/>
      <c r="W374" s="15"/>
    </row>
    <row r="375" spans="1:23" ht="17.25" thickTop="1" thickBot="1">
      <c r="A375" s="6">
        <f t="shared" si="16"/>
        <v>9.9999999999999978E-2</v>
      </c>
      <c r="B375" s="6">
        <v>0.9</v>
      </c>
      <c r="C375" s="5">
        <v>2.5</v>
      </c>
      <c r="D375" s="8">
        <v>9.9560827297664805</v>
      </c>
      <c r="E375" s="10">
        <v>3.1459285759764102</v>
      </c>
      <c r="F375" s="8">
        <v>0.99999779560407198</v>
      </c>
      <c r="G375" s="10"/>
      <c r="H375" s="8">
        <v>10.8463751475634</v>
      </c>
      <c r="I375" s="8">
        <v>0.99999878750108295</v>
      </c>
      <c r="J375" s="4">
        <f t="shared" si="18"/>
        <v>1.0894219586118086</v>
      </c>
      <c r="K375" s="16">
        <f t="shared" si="17"/>
        <v>0.10044110993676475</v>
      </c>
      <c r="L375" s="16"/>
      <c r="N375" s="10"/>
      <c r="O375" s="17"/>
      <c r="P375" s="1"/>
      <c r="Q375" s="3"/>
      <c r="R375" s="3"/>
      <c r="S375" s="3"/>
      <c r="W375" s="15"/>
    </row>
    <row r="376" spans="1:23" ht="16.5" thickTop="1">
      <c r="A376" s="6">
        <f t="shared" si="16"/>
        <v>9.9999999999999978E-2</v>
      </c>
      <c r="B376" s="6">
        <v>0.9</v>
      </c>
      <c r="C376" s="5">
        <v>3</v>
      </c>
      <c r="D376" s="8">
        <v>9.9359009251468695</v>
      </c>
      <c r="E376" s="10">
        <v>3.7743483454544999</v>
      </c>
      <c r="F376" s="8">
        <v>0.99999780370792601</v>
      </c>
      <c r="G376" s="10"/>
      <c r="H376" s="8">
        <v>10.8299012771976</v>
      </c>
      <c r="I376" s="8">
        <v>0.999999040753483</v>
      </c>
      <c r="J376" s="4">
        <f t="shared" si="18"/>
        <v>1.0899767780280594</v>
      </c>
      <c r="K376" s="16">
        <f t="shared" si="17"/>
        <v>0.10064512594616258</v>
      </c>
      <c r="L376" s="16"/>
      <c r="N376" s="10"/>
      <c r="O376" s="10"/>
      <c r="P376" s="1"/>
      <c r="Q376" s="3"/>
      <c r="R376" s="3"/>
      <c r="S376" s="3"/>
      <c r="W376" s="15"/>
    </row>
    <row r="377" spans="1:23">
      <c r="A377" s="6">
        <f t="shared" si="16"/>
        <v>0.5</v>
      </c>
      <c r="B377" s="6">
        <v>0.5</v>
      </c>
      <c r="C377" s="5">
        <v>1</v>
      </c>
      <c r="D377" s="8">
        <v>12.781034064027599</v>
      </c>
      <c r="E377" s="10">
        <v>3.5750572041680599</v>
      </c>
      <c r="F377" s="8">
        <v>0.99995412479261003</v>
      </c>
      <c r="G377" s="10"/>
      <c r="H377" s="8">
        <v>8.3709354670448999</v>
      </c>
      <c r="I377" s="8">
        <v>0.99998856793279001</v>
      </c>
      <c r="J377" s="4">
        <f t="shared" si="18"/>
        <v>0.6549497814582167</v>
      </c>
      <c r="K377" s="16">
        <f t="shared" si="17"/>
        <v>7.8240930662606872E-2</v>
      </c>
      <c r="L377" s="16"/>
      <c r="N377" s="10"/>
      <c r="O377" s="10"/>
      <c r="P377" s="1"/>
      <c r="Q377" s="3"/>
      <c r="R377" s="3"/>
      <c r="S377" s="3"/>
      <c r="W377" s="15"/>
    </row>
    <row r="378" spans="1:23">
      <c r="A378" s="6">
        <f t="shared" si="16"/>
        <v>0.5</v>
      </c>
      <c r="B378" s="6">
        <v>0.5</v>
      </c>
      <c r="C378" s="5">
        <v>1.5</v>
      </c>
      <c r="D378" s="8">
        <v>12.7810317431365</v>
      </c>
      <c r="E378" s="10">
        <v>5.3625853422996004</v>
      </c>
      <c r="F378" s="8">
        <v>0.99995300183324098</v>
      </c>
      <c r="G378" s="10"/>
      <c r="H378" s="8">
        <v>8.3710736464903306</v>
      </c>
      <c r="I378" s="8">
        <v>0.999989364665957</v>
      </c>
      <c r="J378" s="4">
        <f t="shared" si="18"/>
        <v>0.65496071168007652</v>
      </c>
      <c r="K378" s="16">
        <f t="shared" si="17"/>
        <v>7.8240944870276746E-2</v>
      </c>
      <c r="L378" s="16"/>
      <c r="N378" s="10"/>
      <c r="O378" s="10"/>
      <c r="P378" s="1"/>
      <c r="Q378" s="3"/>
      <c r="R378" s="3"/>
      <c r="S378" s="3"/>
      <c r="W378" s="15"/>
    </row>
    <row r="379" spans="1:23">
      <c r="A379" s="6">
        <f t="shared" si="16"/>
        <v>0.5</v>
      </c>
      <c r="B379" s="6">
        <v>0.5</v>
      </c>
      <c r="C379" s="5">
        <v>2</v>
      </c>
      <c r="D379" s="8">
        <v>12.781028659553099</v>
      </c>
      <c r="E379" s="10">
        <v>7.1501129223265902</v>
      </c>
      <c r="F379" s="8">
        <v>0.99995197196997199</v>
      </c>
      <c r="G379" s="10"/>
      <c r="H379" s="8">
        <v>8.3711228369187101</v>
      </c>
      <c r="I379" s="8">
        <v>0.99998982762047495</v>
      </c>
      <c r="J379" s="4">
        <f t="shared" si="18"/>
        <v>0.65496471840408299</v>
      </c>
      <c r="K379" s="16">
        <f t="shared" si="17"/>
        <v>7.8240963746885606E-2</v>
      </c>
      <c r="L379" s="16"/>
      <c r="N379" s="10"/>
      <c r="O379" s="10"/>
      <c r="P379" s="1"/>
      <c r="Q379" s="3"/>
      <c r="R379" s="3"/>
      <c r="S379" s="3"/>
      <c r="W379" s="15"/>
    </row>
    <row r="380" spans="1:23">
      <c r="A380" s="6">
        <f t="shared" si="16"/>
        <v>0.5</v>
      </c>
      <c r="B380" s="6">
        <v>0.5</v>
      </c>
      <c r="C380" s="5">
        <v>2.5</v>
      </c>
      <c r="D380" s="8">
        <v>12.781024751014799</v>
      </c>
      <c r="E380" s="10">
        <v>8.9376397706841093</v>
      </c>
      <c r="F380" s="8">
        <v>0.99995102368377997</v>
      </c>
      <c r="G380" s="10"/>
      <c r="H380" s="8">
        <v>8.3711458046781697</v>
      </c>
      <c r="I380" s="8">
        <v>0.99999013741258302</v>
      </c>
      <c r="J380" s="4">
        <f t="shared" si="18"/>
        <v>0.65496671571765086</v>
      </c>
      <c r="K380" s="16">
        <f t="shared" si="17"/>
        <v>7.8240987673590182E-2</v>
      </c>
      <c r="L380" s="16"/>
      <c r="N380" s="10"/>
      <c r="O380" s="10"/>
      <c r="P380" s="1"/>
      <c r="Q380" s="3"/>
      <c r="R380" s="3"/>
      <c r="S380" s="3"/>
      <c r="W380" s="15"/>
    </row>
    <row r="381" spans="1:23">
      <c r="A381" s="6">
        <f t="shared" si="16"/>
        <v>0.5</v>
      </c>
      <c r="B381" s="6">
        <v>0.5</v>
      </c>
      <c r="C381" s="5">
        <v>3</v>
      </c>
      <c r="D381" s="8">
        <v>12.781019989894199</v>
      </c>
      <c r="E381" s="10">
        <v>10.725165704283601</v>
      </c>
      <c r="F381" s="8">
        <v>0.99995014189567899</v>
      </c>
      <c r="G381" s="10"/>
      <c r="H381" s="8">
        <v>8.3711583573254291</v>
      </c>
      <c r="I381" s="8">
        <v>0.99999036233273297</v>
      </c>
      <c r="J381" s="4">
        <f t="shared" si="18"/>
        <v>0.65496794183440799</v>
      </c>
      <c r="K381" s="16">
        <f t="shared" si="17"/>
        <v>7.8241016819525208E-2</v>
      </c>
      <c r="L381" s="16"/>
      <c r="N381" s="10"/>
      <c r="O381" s="10"/>
      <c r="P381" s="1"/>
      <c r="Q381" s="3"/>
      <c r="R381" s="3"/>
      <c r="S381" s="3"/>
      <c r="W381" s="15"/>
    </row>
    <row r="382" spans="1:23">
      <c r="A382" s="6">
        <f t="shared" si="16"/>
        <v>0.4</v>
      </c>
      <c r="B382" s="6">
        <v>0.6</v>
      </c>
      <c r="C382" s="5">
        <v>1</v>
      </c>
      <c r="D382" s="8">
        <v>12.055721506605</v>
      </c>
      <c r="E382" s="10">
        <v>2.7069316053441499</v>
      </c>
      <c r="F382" s="8">
        <v>0.99996543633892898</v>
      </c>
      <c r="G382" s="10"/>
      <c r="H382" s="8">
        <v>8.9337974271700205</v>
      </c>
      <c r="I382" s="8">
        <v>0.99999252015808204</v>
      </c>
      <c r="J382" s="4">
        <f t="shared" si="18"/>
        <v>0.74104212031402994</v>
      </c>
      <c r="K382" s="16">
        <f t="shared" si="17"/>
        <v>8.2948166930708153E-2</v>
      </c>
      <c r="L382" s="16"/>
      <c r="N382" s="10"/>
      <c r="O382" s="10"/>
      <c r="P382" s="1"/>
      <c r="Q382" s="3"/>
      <c r="R382" s="3"/>
      <c r="S382" s="3"/>
      <c r="W382" s="15"/>
    </row>
    <row r="383" spans="1:23">
      <c r="A383" s="6">
        <f t="shared" si="16"/>
        <v>0.4</v>
      </c>
      <c r="B383" s="6">
        <v>0.6</v>
      </c>
      <c r="C383" s="5">
        <v>1.5</v>
      </c>
      <c r="D383" s="8">
        <v>12.0556814120038</v>
      </c>
      <c r="E383" s="10">
        <v>4.0603919846328802</v>
      </c>
      <c r="F383" s="8">
        <v>0.99996428285350403</v>
      </c>
      <c r="G383" s="10"/>
      <c r="H383" s="8">
        <v>8.9372317354484796</v>
      </c>
      <c r="I383" s="8">
        <v>0.99999321382122797</v>
      </c>
      <c r="J383" s="4">
        <f t="shared" si="18"/>
        <v>0.7413294553843891</v>
      </c>
      <c r="K383" s="16">
        <f t="shared" si="17"/>
        <v>8.2948442798455466E-2</v>
      </c>
      <c r="L383" s="16"/>
      <c r="N383" s="10"/>
      <c r="O383" s="10"/>
      <c r="P383" s="1"/>
      <c r="Q383" s="3"/>
      <c r="R383" s="3"/>
      <c r="S383" s="3"/>
      <c r="W383" s="15"/>
    </row>
    <row r="384" spans="1:23">
      <c r="A384" s="6">
        <f t="shared" si="16"/>
        <v>0.4</v>
      </c>
      <c r="B384" s="6">
        <v>0.6</v>
      </c>
      <c r="C384" s="5">
        <v>2</v>
      </c>
      <c r="D384" s="8">
        <v>12.055630452930799</v>
      </c>
      <c r="E384" s="10">
        <v>5.4138468579328496</v>
      </c>
      <c r="F384" s="8">
        <v>0.99996316682737096</v>
      </c>
      <c r="G384" s="10"/>
      <c r="H384" s="8">
        <v>8.9385898699852504</v>
      </c>
      <c r="I384" s="8">
        <v>0.99999366610342799</v>
      </c>
      <c r="J384" s="4">
        <f t="shared" si="18"/>
        <v>0.74144524460039529</v>
      </c>
      <c r="K384" s="16">
        <f t="shared" si="17"/>
        <v>8.2948793420993899E-2</v>
      </c>
      <c r="L384" s="16"/>
      <c r="N384" s="10"/>
      <c r="O384" s="10"/>
      <c r="P384" s="1"/>
      <c r="Q384" s="3"/>
      <c r="R384" s="3"/>
      <c r="S384" s="3"/>
      <c r="W384" s="15"/>
    </row>
    <row r="385" spans="1:23">
      <c r="A385" s="6">
        <f t="shared" si="16"/>
        <v>0.4</v>
      </c>
      <c r="B385" s="6">
        <v>0.6</v>
      </c>
      <c r="C385" s="5">
        <v>2.5</v>
      </c>
      <c r="D385" s="8">
        <v>12.055566864572899</v>
      </c>
      <c r="E385" s="10">
        <v>6.7672942940956498</v>
      </c>
      <c r="F385" s="8">
        <v>0.99996210370305905</v>
      </c>
      <c r="G385" s="10"/>
      <c r="H385" s="8">
        <v>8.9392608644325993</v>
      </c>
      <c r="I385" s="8">
        <v>0.99999398199943901</v>
      </c>
      <c r="J385" s="4">
        <f t="shared" si="18"/>
        <v>0.74150481390484968</v>
      </c>
      <c r="K385" s="16">
        <f t="shared" si="17"/>
        <v>8.2949230943146338E-2</v>
      </c>
      <c r="L385" s="16"/>
      <c r="N385" s="10"/>
      <c r="O385" s="10"/>
      <c r="P385" s="1"/>
      <c r="Q385" s="3"/>
      <c r="R385" s="3"/>
      <c r="S385" s="3"/>
      <c r="W385" s="15"/>
    </row>
    <row r="386" spans="1:23">
      <c r="A386" s="6">
        <f t="shared" si="16"/>
        <v>0.4</v>
      </c>
      <c r="B386" s="6">
        <v>0.6</v>
      </c>
      <c r="C386" s="5">
        <v>3</v>
      </c>
      <c r="D386" s="8">
        <v>12.055490426997199</v>
      </c>
      <c r="E386" s="10">
        <v>8.1207325517498408</v>
      </c>
      <c r="F386" s="8">
        <v>0.99996108947748596</v>
      </c>
      <c r="G386" s="10"/>
      <c r="H386" s="8">
        <v>8.9396405394323804</v>
      </c>
      <c r="I386" s="8">
        <v>0.99999421552131396</v>
      </c>
      <c r="J386" s="4">
        <f t="shared" si="18"/>
        <v>0.7415410093489726</v>
      </c>
      <c r="K386" s="16">
        <f t="shared" si="17"/>
        <v>8.294975688094687E-2</v>
      </c>
      <c r="L386" s="16"/>
      <c r="N386" s="10"/>
      <c r="O386" s="10"/>
      <c r="P386" s="1"/>
      <c r="Q386" s="3"/>
      <c r="R386" s="3"/>
      <c r="S386" s="3"/>
      <c r="W386" s="15"/>
    </row>
    <row r="387" spans="1:23">
      <c r="A387" s="6">
        <f t="shared" ref="A387:A401" si="19">1-B387</f>
        <v>0.30000000000000004</v>
      </c>
      <c r="B387" s="6">
        <v>0.7</v>
      </c>
      <c r="C387" s="5">
        <v>1</v>
      </c>
      <c r="D387" s="8">
        <v>11.348781554140199</v>
      </c>
      <c r="E387" s="10">
        <v>2.0724533700840899</v>
      </c>
      <c r="F387" s="8">
        <v>0.99997816374805204</v>
      </c>
      <c r="G387" s="10"/>
      <c r="H387" s="8">
        <v>9.4835874719128999</v>
      </c>
      <c r="I387" s="8">
        <v>0.99999674696686403</v>
      </c>
      <c r="J387" s="4">
        <f t="shared" si="18"/>
        <v>0.83564807611026315</v>
      </c>
      <c r="K387" s="16">
        <f t="shared" ref="K387:K401" si="20">1/D387</f>
        <v>8.8115186218839986E-2</v>
      </c>
      <c r="L387" s="16"/>
      <c r="N387" s="10"/>
      <c r="O387" s="10"/>
      <c r="P387" s="1"/>
      <c r="Q387" s="3"/>
      <c r="R387" s="3"/>
      <c r="S387" s="3"/>
      <c r="W387" s="15"/>
    </row>
    <row r="388" spans="1:23">
      <c r="A388" s="6">
        <f t="shared" si="19"/>
        <v>0.30000000000000004</v>
      </c>
      <c r="B388" s="6">
        <v>0.7</v>
      </c>
      <c r="C388" s="5">
        <v>1.5</v>
      </c>
      <c r="D388" s="8">
        <v>11.3481762127432</v>
      </c>
      <c r="E388" s="10">
        <v>3.1086303320195001</v>
      </c>
      <c r="F388" s="8">
        <v>0.99997706195972103</v>
      </c>
      <c r="G388" s="10"/>
      <c r="H388" s="8">
        <v>9.5016388112296593</v>
      </c>
      <c r="I388" s="8">
        <v>0.99999693934068401</v>
      </c>
      <c r="J388" s="4">
        <f t="shared" ref="J388:J401" si="21">H388/D388</f>
        <v>0.83728333373604036</v>
      </c>
      <c r="K388" s="16">
        <f t="shared" si="20"/>
        <v>8.8119886513312221E-2</v>
      </c>
      <c r="L388" s="16"/>
      <c r="N388" s="10"/>
      <c r="O388" s="10"/>
      <c r="P388" s="1"/>
      <c r="Q388" s="3"/>
      <c r="R388" s="3"/>
      <c r="S388" s="3"/>
      <c r="W388" s="15"/>
    </row>
    <row r="389" spans="1:23">
      <c r="A389" s="6">
        <f t="shared" si="19"/>
        <v>0.30000000000000004</v>
      </c>
      <c r="B389" s="6">
        <v>0.7</v>
      </c>
      <c r="C389" s="5">
        <v>2</v>
      </c>
      <c r="D389" s="8">
        <v>11.3474590616292</v>
      </c>
      <c r="E389" s="10">
        <v>4.1447618520406602</v>
      </c>
      <c r="F389" s="8">
        <v>0.99997593941209695</v>
      </c>
      <c r="G389" s="10"/>
      <c r="H389" s="8">
        <v>9.5131558476516407</v>
      </c>
      <c r="I389" s="8">
        <v>0.99999692792610495</v>
      </c>
      <c r="J389" s="4">
        <f t="shared" si="21"/>
        <v>0.83835119351255005</v>
      </c>
      <c r="K389" s="16">
        <f t="shared" si="20"/>
        <v>8.8125455625695473E-2</v>
      </c>
      <c r="L389" s="16"/>
      <c r="N389" s="10"/>
      <c r="O389" s="10"/>
      <c r="P389" s="1"/>
      <c r="Q389" s="3"/>
      <c r="R389" s="3"/>
      <c r="S389" s="3"/>
      <c r="W389" s="15"/>
    </row>
    <row r="390" spans="1:23">
      <c r="A390" s="6">
        <f t="shared" si="19"/>
        <v>0.30000000000000004</v>
      </c>
      <c r="B390" s="6">
        <v>0.7</v>
      </c>
      <c r="C390" s="5">
        <v>2.5</v>
      </c>
      <c r="D390" s="8">
        <v>11.346598937247601</v>
      </c>
      <c r="E390" s="10">
        <v>5.1808344729259197</v>
      </c>
      <c r="F390" s="8">
        <v>0.99997483384318198</v>
      </c>
      <c r="G390" s="10"/>
      <c r="H390" s="8">
        <v>9.5206410061847908</v>
      </c>
      <c r="I390" s="8">
        <v>0.99999692557157205</v>
      </c>
      <c r="J390" s="4">
        <f t="shared" si="21"/>
        <v>0.83907442739791227</v>
      </c>
      <c r="K390" s="16">
        <f t="shared" si="20"/>
        <v>8.813213594051425E-2</v>
      </c>
      <c r="L390" s="16"/>
      <c r="N390" s="10"/>
      <c r="O390" s="10"/>
      <c r="P390" s="1"/>
      <c r="Q390" s="3"/>
      <c r="R390" s="3"/>
      <c r="S390" s="3"/>
      <c r="W390" s="15"/>
    </row>
    <row r="391" spans="1:23">
      <c r="A391" s="6">
        <f t="shared" si="19"/>
        <v>0.30000000000000004</v>
      </c>
      <c r="B391" s="6">
        <v>0.7</v>
      </c>
      <c r="C391" s="5">
        <v>3</v>
      </c>
      <c r="D391" s="8">
        <v>11.345595827629101</v>
      </c>
      <c r="E391" s="10">
        <v>6.2168365223119402</v>
      </c>
      <c r="F391" s="8">
        <v>0.99997375300012203</v>
      </c>
      <c r="G391" s="10"/>
      <c r="H391" s="8">
        <v>9.5257137951744006</v>
      </c>
      <c r="I391" s="8">
        <v>0.99999694580161003</v>
      </c>
      <c r="J391" s="4">
        <f t="shared" si="21"/>
        <v>0.83959572858898479</v>
      </c>
      <c r="K391" s="16">
        <f t="shared" si="20"/>
        <v>8.8139928056027966E-2</v>
      </c>
      <c r="L391" s="16"/>
      <c r="N391" s="10"/>
      <c r="O391" s="10"/>
      <c r="P391" s="1"/>
      <c r="Q391" s="3"/>
      <c r="R391" s="3"/>
      <c r="S391" s="3"/>
      <c r="W391" s="15"/>
    </row>
    <row r="392" spans="1:23">
      <c r="A392" s="6">
        <f t="shared" si="19"/>
        <v>0.19999999999999996</v>
      </c>
      <c r="B392" s="6">
        <v>0.8</v>
      </c>
      <c r="C392" s="5">
        <v>1</v>
      </c>
      <c r="D392" s="8">
        <v>10.672972718269399</v>
      </c>
      <c r="E392" s="10">
        <v>1.6056729086646799</v>
      </c>
      <c r="F392" s="8">
        <v>0.99998972962480004</v>
      </c>
      <c r="G392" s="10"/>
      <c r="H392" s="8">
        <v>10.1283117005393</v>
      </c>
      <c r="I392" s="8">
        <v>0.99999507814573696</v>
      </c>
      <c r="J392" s="4">
        <f t="shared" si="21"/>
        <v>0.94896819919741959</v>
      </c>
      <c r="K392" s="16">
        <f t="shared" si="20"/>
        <v>9.36946084653862E-2</v>
      </c>
      <c r="L392" s="16"/>
      <c r="N392" s="10"/>
      <c r="O392" s="10"/>
      <c r="P392" s="1"/>
      <c r="Q392" s="3"/>
      <c r="R392" s="3"/>
      <c r="S392" s="3"/>
      <c r="W392" s="15"/>
    </row>
    <row r="393" spans="1:23">
      <c r="A393" s="6">
        <f t="shared" si="19"/>
        <v>0.19999999999999996</v>
      </c>
      <c r="B393" s="6">
        <v>0.8</v>
      </c>
      <c r="C393" s="5">
        <v>1.5</v>
      </c>
      <c r="D393" s="8">
        <v>10.6664985403823</v>
      </c>
      <c r="E393" s="10">
        <v>2.4082170932675502</v>
      </c>
      <c r="F393" s="8">
        <v>0.99998892091582603</v>
      </c>
      <c r="G393" s="10"/>
      <c r="H393" s="8">
        <v>10.1073665680396</v>
      </c>
      <c r="I393" s="8">
        <v>0.99999716238926195</v>
      </c>
      <c r="J393" s="4">
        <f t="shared" si="21"/>
        <v>0.94758055136595376</v>
      </c>
      <c r="K393" s="16">
        <f t="shared" si="20"/>
        <v>9.375147769571239E-2</v>
      </c>
      <c r="L393" s="16"/>
      <c r="N393" s="10"/>
      <c r="O393" s="10"/>
      <c r="P393" s="1"/>
      <c r="Q393" s="3"/>
      <c r="R393" s="3"/>
      <c r="S393" s="3"/>
      <c r="W393" s="15"/>
    </row>
    <row r="394" spans="1:23">
      <c r="A394" s="6">
        <f t="shared" si="19"/>
        <v>0.19999999999999996</v>
      </c>
      <c r="B394" s="6">
        <v>0.8</v>
      </c>
      <c r="C394" s="5">
        <v>2</v>
      </c>
      <c r="D394" s="8">
        <v>10.6596477657235</v>
      </c>
      <c r="E394" s="10">
        <v>3.2105435579760702</v>
      </c>
      <c r="F394" s="8">
        <v>0.99998812777347701</v>
      </c>
      <c r="G394" s="10"/>
      <c r="H394" s="8">
        <v>10.102080415818</v>
      </c>
      <c r="I394" s="8">
        <v>0.99999810784096199</v>
      </c>
      <c r="J394" s="4">
        <f t="shared" si="21"/>
        <v>0.94769364221410957</v>
      </c>
      <c r="K394" s="16">
        <f t="shared" si="20"/>
        <v>9.3811730178884306E-2</v>
      </c>
      <c r="L394" s="16"/>
      <c r="N394" s="10"/>
      <c r="O394" s="10"/>
      <c r="P394" s="1"/>
      <c r="Q394" s="3"/>
      <c r="R394" s="3"/>
      <c r="S394" s="3"/>
      <c r="W394" s="15"/>
    </row>
    <row r="395" spans="1:23">
      <c r="A395" s="6">
        <f t="shared" si="19"/>
        <v>0.19999999999999996</v>
      </c>
      <c r="B395" s="6">
        <v>0.8</v>
      </c>
      <c r="C395" s="5">
        <v>2.5</v>
      </c>
      <c r="D395" s="8">
        <v>10.652172649745401</v>
      </c>
      <c r="E395" s="10">
        <v>4.0126164373847901</v>
      </c>
      <c r="F395" s="8">
        <v>0.99998737313851405</v>
      </c>
      <c r="G395" s="10"/>
      <c r="H395" s="8">
        <v>10.102528778800201</v>
      </c>
      <c r="I395" s="8">
        <v>0.99999860253528505</v>
      </c>
      <c r="J395" s="4">
        <f t="shared" si="21"/>
        <v>0.94840077334285999</v>
      </c>
      <c r="K395" s="16">
        <f t="shared" si="20"/>
        <v>9.3877562153848598E-2</v>
      </c>
      <c r="L395" s="16"/>
      <c r="N395" s="10"/>
      <c r="O395" s="10"/>
      <c r="P395" s="1"/>
      <c r="Q395" s="3"/>
      <c r="R395" s="3"/>
      <c r="S395" s="3"/>
      <c r="W395" s="15"/>
    </row>
    <row r="396" spans="1:23">
      <c r="A396" s="6">
        <f t="shared" si="19"/>
        <v>0.19999999999999996</v>
      </c>
      <c r="B396" s="6">
        <v>0.8</v>
      </c>
      <c r="C396" s="5">
        <v>3</v>
      </c>
      <c r="D396" s="8">
        <v>10.644141824258099</v>
      </c>
      <c r="E396" s="10">
        <v>4.8144134628723299</v>
      </c>
      <c r="F396" s="8">
        <v>0.99998666227958399</v>
      </c>
      <c r="G396" s="10"/>
      <c r="H396" s="8">
        <v>10.1053256385228</v>
      </c>
      <c r="I396" s="8">
        <v>0.99999888004607995</v>
      </c>
      <c r="J396" s="4">
        <f t="shared" si="21"/>
        <v>0.94937908620239042</v>
      </c>
      <c r="K396" s="16">
        <f t="shared" si="20"/>
        <v>9.3948391191198771E-2</v>
      </c>
      <c r="L396" s="16"/>
      <c r="N396" s="10"/>
      <c r="O396" s="10"/>
      <c r="P396" s="1"/>
      <c r="Q396" s="3"/>
      <c r="R396" s="3"/>
      <c r="S396" s="3"/>
      <c r="W396" s="15"/>
    </row>
    <row r="397" spans="1:23">
      <c r="A397" s="6">
        <f t="shared" si="19"/>
        <v>9.9999999999999978E-2</v>
      </c>
      <c r="B397" s="6">
        <v>0.9</v>
      </c>
      <c r="C397" s="5">
        <v>1</v>
      </c>
      <c r="D397" s="8">
        <v>10.0358693164429</v>
      </c>
      <c r="E397" s="10">
        <v>1.2593762524596299</v>
      </c>
      <c r="F397" s="8">
        <v>0.99999803802366105</v>
      </c>
      <c r="G397" s="10"/>
      <c r="H397" s="8">
        <v>10.981512055865901</v>
      </c>
      <c r="I397" s="8">
        <v>0.99999708037734703</v>
      </c>
      <c r="J397" s="4">
        <f t="shared" si="21"/>
        <v>1.0942262906785412</v>
      </c>
      <c r="K397" s="16">
        <f t="shared" si="20"/>
        <v>9.9642588844953056E-2</v>
      </c>
      <c r="L397" s="16"/>
      <c r="N397" s="10"/>
      <c r="O397" s="10"/>
      <c r="P397" s="1"/>
      <c r="Q397" s="3"/>
      <c r="R397" s="3"/>
      <c r="S397" s="3"/>
      <c r="W397" s="15"/>
    </row>
    <row r="398" spans="1:23">
      <c r="A398" s="6">
        <f t="shared" si="19"/>
        <v>9.9999999999999978E-2</v>
      </c>
      <c r="B398" s="6">
        <v>0.9</v>
      </c>
      <c r="C398" s="5">
        <v>1.5</v>
      </c>
      <c r="D398" s="8">
        <v>10.0057411164161</v>
      </c>
      <c r="E398" s="10">
        <v>1.8884965042006601</v>
      </c>
      <c r="F398" s="8">
        <v>0.99999791355126599</v>
      </c>
      <c r="G398" s="10"/>
      <c r="H398" s="8">
        <v>10.9085715199693</v>
      </c>
      <c r="I398" s="8">
        <v>0.99999789170408104</v>
      </c>
      <c r="J398" s="4">
        <f t="shared" si="21"/>
        <v>1.0902312375514047</v>
      </c>
      <c r="K398" s="16">
        <f t="shared" si="20"/>
        <v>9.9942621777344601E-2</v>
      </c>
      <c r="L398" s="16"/>
      <c r="N398" s="10"/>
      <c r="O398" s="10"/>
      <c r="P398" s="1"/>
      <c r="Q398" s="3"/>
      <c r="R398" s="3"/>
      <c r="S398" s="3"/>
      <c r="W398" s="15"/>
    </row>
    <row r="399" spans="1:23">
      <c r="A399" s="6">
        <f t="shared" si="19"/>
        <v>9.9999999999999978E-2</v>
      </c>
      <c r="B399" s="6">
        <v>0.9</v>
      </c>
      <c r="C399" s="5">
        <v>2</v>
      </c>
      <c r="D399" s="8">
        <v>9.9808503800185697</v>
      </c>
      <c r="E399" s="10">
        <v>2.5173682490369602</v>
      </c>
      <c r="F399" s="8">
        <v>0.99999787140820495</v>
      </c>
      <c r="G399" s="10"/>
      <c r="H399" s="8">
        <v>10.8683572709856</v>
      </c>
      <c r="I399" s="8">
        <v>0.99999842335641098</v>
      </c>
      <c r="J399" s="4">
        <f t="shared" si="21"/>
        <v>1.0889209693738922</v>
      </c>
      <c r="K399" s="16">
        <f t="shared" si="20"/>
        <v>0.10019186361133885</v>
      </c>
      <c r="L399" s="16"/>
      <c r="N399" s="10"/>
      <c r="O399" s="10"/>
      <c r="P399" s="1"/>
      <c r="Q399" s="3"/>
      <c r="R399" s="3"/>
      <c r="S399" s="3"/>
      <c r="W399" s="15"/>
    </row>
    <row r="400" spans="1:23">
      <c r="A400" s="6">
        <f t="shared" si="19"/>
        <v>9.9999999999999978E-2</v>
      </c>
      <c r="B400" s="6">
        <v>0.9</v>
      </c>
      <c r="C400" s="5">
        <v>2.5</v>
      </c>
      <c r="D400" s="8">
        <v>9.9588201088907393</v>
      </c>
      <c r="E400" s="10">
        <v>3.1460150614215201</v>
      </c>
      <c r="F400" s="8">
        <v>0.99999786777604505</v>
      </c>
      <c r="G400" s="10"/>
      <c r="H400" s="8">
        <v>10.843269219201</v>
      </c>
      <c r="I400" s="8">
        <v>0.99999878259576902</v>
      </c>
      <c r="J400" s="4">
        <f t="shared" si="21"/>
        <v>1.0888106322475559</v>
      </c>
      <c r="K400" s="16">
        <f t="shared" si="20"/>
        <v>0.10041350170661781</v>
      </c>
      <c r="L400" s="16"/>
      <c r="N400" s="10"/>
      <c r="O400" s="10"/>
      <c r="P400" s="1"/>
      <c r="Q400" s="3"/>
      <c r="R400" s="3"/>
      <c r="S400" s="3"/>
      <c r="W400" s="15"/>
    </row>
    <row r="401" spans="1:23">
      <c r="A401" s="6">
        <f t="shared" si="19"/>
        <v>9.9999999999999978E-2</v>
      </c>
      <c r="B401" s="6">
        <v>0.9</v>
      </c>
      <c r="C401" s="5">
        <v>3</v>
      </c>
      <c r="D401" s="8">
        <v>9.9388984907845401</v>
      </c>
      <c r="E401" s="10">
        <v>3.7744621986697902</v>
      </c>
      <c r="F401" s="8">
        <v>0.99999788405786705</v>
      </c>
      <c r="G401" s="10"/>
      <c r="H401" s="8">
        <v>10.826422532285999</v>
      </c>
      <c r="I401" s="8">
        <v>0.99999903574874505</v>
      </c>
      <c r="J401" s="4">
        <f t="shared" si="21"/>
        <v>1.089298028581777</v>
      </c>
      <c r="K401" s="16">
        <f t="shared" si="20"/>
        <v>0.10061477143842563</v>
      </c>
      <c r="L401" s="16"/>
      <c r="N401" s="10"/>
      <c r="O401" s="10"/>
      <c r="P401" s="1"/>
      <c r="Q401" s="3"/>
      <c r="R401" s="3"/>
      <c r="S401" s="3"/>
      <c r="W401" s="15"/>
    </row>
    <row r="402" spans="1:23">
      <c r="L402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BA56-01B0-5D4E-A555-75831CFC73DE}">
  <dimension ref="A1:D400"/>
  <sheetViews>
    <sheetView zoomScaleNormal="100" workbookViewId="0">
      <selection activeCell="E14" sqref="E14"/>
    </sheetView>
  </sheetViews>
  <sheetFormatPr defaultColWidth="11" defaultRowHeight="15.75"/>
  <sheetData>
    <row r="1" spans="1:4">
      <c r="A1">
        <v>0.5</v>
      </c>
      <c r="B1">
        <v>1</v>
      </c>
      <c r="C1">
        <v>0.12049498267223401</v>
      </c>
      <c r="D1">
        <v>0.99999956179825999</v>
      </c>
    </row>
    <row r="2" spans="1:4">
      <c r="A2">
        <v>0.5</v>
      </c>
      <c r="B2">
        <v>1.5</v>
      </c>
      <c r="C2">
        <v>0.12068649008123</v>
      </c>
      <c r="D2">
        <v>0.99999919258493997</v>
      </c>
    </row>
    <row r="3" spans="1:4">
      <c r="A3">
        <v>0.5</v>
      </c>
      <c r="B3">
        <v>2</v>
      </c>
      <c r="C3">
        <v>0.120862656488229</v>
      </c>
      <c r="D3">
        <v>0.99999874806672195</v>
      </c>
    </row>
    <row r="4" spans="1:4">
      <c r="A4">
        <v>0.5</v>
      </c>
      <c r="B4">
        <v>2.5</v>
      </c>
      <c r="C4">
        <v>0.121025589117067</v>
      </c>
      <c r="D4">
        <v>0.99999826490441901</v>
      </c>
    </row>
    <row r="5" spans="1:4">
      <c r="A5">
        <v>0.5</v>
      </c>
      <c r="B5">
        <v>3</v>
      </c>
      <c r="C5">
        <v>0.121176431014746</v>
      </c>
      <c r="D5">
        <v>0.99999777029609305</v>
      </c>
    </row>
    <row r="6" spans="1:4">
      <c r="A6">
        <v>0.6</v>
      </c>
      <c r="B6">
        <v>1</v>
      </c>
      <c r="C6">
        <v>0.113433282636836</v>
      </c>
      <c r="D6">
        <v>0.99999982245276398</v>
      </c>
    </row>
    <row r="7" spans="1:4">
      <c r="A7">
        <v>0.6</v>
      </c>
      <c r="B7">
        <v>1.5</v>
      </c>
      <c r="C7">
        <v>0.113474674941602</v>
      </c>
      <c r="D7">
        <v>0.99999989995766303</v>
      </c>
    </row>
    <row r="8" spans="1:4">
      <c r="A8">
        <v>0.6</v>
      </c>
      <c r="B8">
        <v>2</v>
      </c>
      <c r="C8">
        <v>0.113504326680869</v>
      </c>
      <c r="D8">
        <v>0.99999992672729299</v>
      </c>
    </row>
    <row r="9" spans="1:4">
      <c r="A9">
        <v>0.6</v>
      </c>
      <c r="B9">
        <v>2.5</v>
      </c>
      <c r="C9">
        <v>0.113529118767955</v>
      </c>
      <c r="D9">
        <v>0.99999993694759304</v>
      </c>
    </row>
    <row r="10" spans="1:4">
      <c r="A10">
        <v>0.6</v>
      </c>
      <c r="B10">
        <v>3</v>
      </c>
      <c r="C10">
        <v>0.113551352936631</v>
      </c>
      <c r="D10">
        <v>0.99999993978085699</v>
      </c>
    </row>
    <row r="11" spans="1:4">
      <c r="A11">
        <v>0.7</v>
      </c>
      <c r="B11">
        <v>1</v>
      </c>
      <c r="C11">
        <v>0.10658034469630601</v>
      </c>
      <c r="D11">
        <v>0.99999875373508496</v>
      </c>
    </row>
    <row r="12" spans="1:4">
      <c r="A12">
        <v>0.7</v>
      </c>
      <c r="B12">
        <v>1.5</v>
      </c>
      <c r="C12">
        <v>0.106681159984406</v>
      </c>
      <c r="D12">
        <v>0.99999936367836695</v>
      </c>
    </row>
    <row r="13" spans="1:4">
      <c r="A13">
        <v>0.7</v>
      </c>
      <c r="B13">
        <v>2</v>
      </c>
      <c r="C13">
        <v>0.10673255483911701</v>
      </c>
      <c r="D13">
        <v>0.99999960787733</v>
      </c>
    </row>
    <row r="14" spans="1:4">
      <c r="A14">
        <v>0.7</v>
      </c>
      <c r="B14">
        <v>2.5</v>
      </c>
      <c r="C14">
        <v>0.106763951599897</v>
      </c>
      <c r="D14">
        <v>0.99999973142640397</v>
      </c>
    </row>
    <row r="15" spans="1:4">
      <c r="A15">
        <v>0.7</v>
      </c>
      <c r="B15">
        <v>3</v>
      </c>
      <c r="C15">
        <v>0.106785280158866</v>
      </c>
      <c r="D15">
        <v>0.99999980309685299</v>
      </c>
    </row>
    <row r="16" spans="1:4">
      <c r="A16">
        <v>0.8</v>
      </c>
      <c r="B16">
        <v>1</v>
      </c>
      <c r="C16">
        <v>9.91677487044621E-2</v>
      </c>
      <c r="D16">
        <v>0.99999539812228699</v>
      </c>
    </row>
    <row r="17" spans="1:4">
      <c r="A17">
        <v>0.8</v>
      </c>
      <c r="B17">
        <v>1.5</v>
      </c>
      <c r="C17">
        <v>9.9515067955297201E-2</v>
      </c>
      <c r="D17">
        <v>0.99999738368026303</v>
      </c>
    </row>
    <row r="18" spans="1:4">
      <c r="A18">
        <v>0.8</v>
      </c>
      <c r="B18">
        <v>2</v>
      </c>
      <c r="C18">
        <v>9.9695952550530195E-2</v>
      </c>
      <c r="D18">
        <v>0.99999828405339097</v>
      </c>
    </row>
    <row r="19" spans="1:4">
      <c r="A19">
        <v>0.8</v>
      </c>
      <c r="B19">
        <v>2.5</v>
      </c>
      <c r="C19">
        <v>9.9807058262702197E-2</v>
      </c>
      <c r="D19">
        <v>0.999998775812171</v>
      </c>
    </row>
    <row r="20" spans="1:4">
      <c r="A20">
        <v>0.8</v>
      </c>
      <c r="B20">
        <v>3</v>
      </c>
      <c r="C20">
        <v>9.9882279619687597E-2</v>
      </c>
      <c r="D20">
        <v>0.99999907671310595</v>
      </c>
    </row>
    <row r="21" spans="1:4">
      <c r="A21">
        <v>0.9</v>
      </c>
      <c r="B21">
        <v>1</v>
      </c>
      <c r="C21">
        <v>9.1160943542151901E-2</v>
      </c>
      <c r="D21">
        <v>0.99999703989320199</v>
      </c>
    </row>
    <row r="22" spans="1:4">
      <c r="A22">
        <v>0.9</v>
      </c>
      <c r="B22">
        <v>1.5</v>
      </c>
      <c r="C22">
        <v>9.1805867499228894E-2</v>
      </c>
      <c r="D22">
        <v>0.99999785316530498</v>
      </c>
    </row>
    <row r="23" spans="1:4">
      <c r="A23">
        <v>0.9</v>
      </c>
      <c r="B23">
        <v>2</v>
      </c>
      <c r="C23">
        <v>9.2176894978280202E-2</v>
      </c>
      <c r="D23">
        <v>0.99999838352824999</v>
      </c>
    </row>
    <row r="24" spans="1:4">
      <c r="A24">
        <v>0.9</v>
      </c>
      <c r="B24">
        <v>2.5</v>
      </c>
      <c r="C24">
        <v>9.2418901841341605E-2</v>
      </c>
      <c r="D24">
        <v>0.99999873982778698</v>
      </c>
    </row>
    <row r="25" spans="1:4">
      <c r="A25">
        <v>0.9</v>
      </c>
      <c r="B25">
        <v>3</v>
      </c>
      <c r="C25">
        <v>9.2589570631214105E-2</v>
      </c>
      <c r="D25">
        <v>0.99999898948945398</v>
      </c>
    </row>
    <row r="26" spans="1:4">
      <c r="A26">
        <v>0.5</v>
      </c>
      <c r="B26">
        <v>1</v>
      </c>
      <c r="C26">
        <v>0.12042985882346099</v>
      </c>
      <c r="D26">
        <v>0.99999967429330705</v>
      </c>
    </row>
    <row r="27" spans="1:4">
      <c r="A27">
        <v>0.5</v>
      </c>
      <c r="B27">
        <v>1.5</v>
      </c>
      <c r="C27">
        <v>0.120594894315228</v>
      </c>
      <c r="D27">
        <v>0.99999940150936795</v>
      </c>
    </row>
    <row r="28" spans="1:4">
      <c r="A28">
        <v>0.5</v>
      </c>
      <c r="B28">
        <v>2</v>
      </c>
      <c r="C28">
        <v>0.120748312341999</v>
      </c>
      <c r="D28">
        <v>0.999999061478826</v>
      </c>
    </row>
    <row r="29" spans="1:4">
      <c r="A29">
        <v>0.5</v>
      </c>
      <c r="B29">
        <v>2.5</v>
      </c>
      <c r="C29">
        <v>0.120891939488429</v>
      </c>
      <c r="D29">
        <v>0.99999867938084297</v>
      </c>
    </row>
    <row r="30" spans="1:4">
      <c r="A30">
        <v>0.5</v>
      </c>
      <c r="B30">
        <v>3</v>
      </c>
      <c r="C30">
        <v>0.12102664090774801</v>
      </c>
      <c r="D30">
        <v>0.99999827434464394</v>
      </c>
    </row>
    <row r="31" spans="1:4">
      <c r="A31">
        <v>0.6</v>
      </c>
      <c r="B31">
        <v>1</v>
      </c>
      <c r="C31">
        <v>0.11342715879115001</v>
      </c>
      <c r="D31">
        <v>0.99999982643114305</v>
      </c>
    </row>
    <row r="32" spans="1:4">
      <c r="A32">
        <v>0.6</v>
      </c>
      <c r="B32">
        <v>1.5</v>
      </c>
      <c r="C32">
        <v>0.113465578543514</v>
      </c>
      <c r="D32">
        <v>0.99999990471703903</v>
      </c>
    </row>
    <row r="33" spans="1:4">
      <c r="A33">
        <v>0.6</v>
      </c>
      <c r="B33">
        <v>2</v>
      </c>
      <c r="C33">
        <v>0.11349233554688599</v>
      </c>
      <c r="D33">
        <v>0.99999993257649999</v>
      </c>
    </row>
    <row r="34" spans="1:4">
      <c r="A34">
        <v>0.6</v>
      </c>
      <c r="B34">
        <v>2.5</v>
      </c>
      <c r="C34">
        <v>0.11351430954990301</v>
      </c>
      <c r="D34">
        <v>0.99999994415841198</v>
      </c>
    </row>
    <row r="35" spans="1:4">
      <c r="A35">
        <v>0.6</v>
      </c>
      <c r="B35">
        <v>3</v>
      </c>
      <c r="C35">
        <v>0.11353380107872101</v>
      </c>
      <c r="D35">
        <v>0.99999994859488694</v>
      </c>
    </row>
    <row r="36" spans="1:4">
      <c r="A36">
        <v>0.7</v>
      </c>
      <c r="B36">
        <v>1</v>
      </c>
      <c r="C36">
        <v>0.106580053866032</v>
      </c>
      <c r="D36">
        <v>0.99999875442373998</v>
      </c>
    </row>
    <row r="37" spans="1:4">
      <c r="A37">
        <v>0.7</v>
      </c>
      <c r="B37">
        <v>1.5</v>
      </c>
      <c r="C37">
        <v>0.106680706533076</v>
      </c>
      <c r="D37">
        <v>0.99999936433178205</v>
      </c>
    </row>
    <row r="38" spans="1:4">
      <c r="A38">
        <v>0.7</v>
      </c>
      <c r="B38">
        <v>2</v>
      </c>
      <c r="C38">
        <v>0.106731939500705</v>
      </c>
      <c r="D38">
        <v>0.99999960850852798</v>
      </c>
    </row>
    <row r="39" spans="1:4">
      <c r="A39">
        <v>0.7</v>
      </c>
      <c r="B39">
        <v>2.5</v>
      </c>
      <c r="C39">
        <v>0.10676317527557801</v>
      </c>
      <c r="D39">
        <v>0.99999973204274895</v>
      </c>
    </row>
    <row r="40" spans="1:4">
      <c r="A40">
        <v>0.7</v>
      </c>
      <c r="B40">
        <v>3</v>
      </c>
      <c r="C40">
        <v>0.106784343817586</v>
      </c>
      <c r="D40">
        <v>0.99999980370304498</v>
      </c>
    </row>
    <row r="41" spans="1:4">
      <c r="A41">
        <v>0.8</v>
      </c>
      <c r="B41">
        <v>1</v>
      </c>
      <c r="C41">
        <v>9.9167780300574201E-2</v>
      </c>
      <c r="D41">
        <v>0.99999539818159999</v>
      </c>
    </row>
    <row r="42" spans="1:4">
      <c r="A42">
        <v>0.8</v>
      </c>
      <c r="B42">
        <v>1.5</v>
      </c>
      <c r="C42">
        <v>9.9515107210893294E-2</v>
      </c>
      <c r="D42">
        <v>0.99999738373278002</v>
      </c>
    </row>
    <row r="43" spans="1:4">
      <c r="A43">
        <v>0.8</v>
      </c>
      <c r="B43">
        <v>2</v>
      </c>
      <c r="C43">
        <v>9.9695999055014903E-2</v>
      </c>
      <c r="D43">
        <v>0.99999828409842595</v>
      </c>
    </row>
    <row r="44" spans="1:4">
      <c r="A44">
        <v>0.8</v>
      </c>
      <c r="B44">
        <v>2.5</v>
      </c>
      <c r="C44">
        <v>9.9807111678167804E-2</v>
      </c>
      <c r="D44">
        <v>0.99999877585047403</v>
      </c>
    </row>
    <row r="45" spans="1:4">
      <c r="A45">
        <v>0.8</v>
      </c>
      <c r="B45">
        <v>3</v>
      </c>
      <c r="C45">
        <v>9.9882339810488996E-2</v>
      </c>
      <c r="D45">
        <v>0.99999907674556598</v>
      </c>
    </row>
    <row r="46" spans="1:4">
      <c r="A46">
        <v>0.9</v>
      </c>
      <c r="B46">
        <v>1</v>
      </c>
      <c r="C46">
        <v>9.1160952546992205E-2</v>
      </c>
      <c r="D46">
        <v>0.99999703988944799</v>
      </c>
    </row>
    <row r="47" spans="1:4">
      <c r="A47">
        <v>0.9</v>
      </c>
      <c r="B47">
        <v>1.5</v>
      </c>
      <c r="C47">
        <v>9.1805879831179799E-2</v>
      </c>
      <c r="D47">
        <v>0.99999785316158796</v>
      </c>
    </row>
    <row r="48" spans="1:4">
      <c r="A48">
        <v>0.9</v>
      </c>
      <c r="B48">
        <v>2</v>
      </c>
      <c r="C48">
        <v>9.2176910443772103E-2</v>
      </c>
      <c r="D48">
        <v>0.99999838352423498</v>
      </c>
    </row>
    <row r="49" spans="1:4">
      <c r="A49">
        <v>0.9</v>
      </c>
      <c r="B49">
        <v>2.5</v>
      </c>
      <c r="C49">
        <v>9.2418920210977196E-2</v>
      </c>
      <c r="D49">
        <v>0.99999873982328602</v>
      </c>
    </row>
    <row r="50" spans="1:4">
      <c r="A50">
        <v>0.9</v>
      </c>
      <c r="B50">
        <v>3</v>
      </c>
      <c r="C50">
        <v>9.2589591700027493E-2</v>
      </c>
      <c r="D50">
        <v>0.99999898948438504</v>
      </c>
    </row>
    <row r="51" spans="1:4">
      <c r="A51">
        <v>0.5</v>
      </c>
      <c r="B51">
        <v>1</v>
      </c>
      <c r="C51">
        <v>0.120382405929867</v>
      </c>
      <c r="D51">
        <v>0.99999974617674703</v>
      </c>
    </row>
    <row r="52" spans="1:4">
      <c r="A52">
        <v>0.5</v>
      </c>
      <c r="B52">
        <v>1.5</v>
      </c>
      <c r="C52">
        <v>0.120527445490128</v>
      </c>
      <c r="D52">
        <v>0.99999953744010195</v>
      </c>
    </row>
    <row r="53" spans="1:4">
      <c r="A53">
        <v>0.5</v>
      </c>
      <c r="B53">
        <v>2</v>
      </c>
      <c r="C53">
        <v>0.12066319182051399</v>
      </c>
      <c r="D53">
        <v>0.99999927031184799</v>
      </c>
    </row>
    <row r="54" spans="1:4">
      <c r="A54">
        <v>0.5</v>
      </c>
      <c r="B54">
        <v>2.5</v>
      </c>
      <c r="C54">
        <v>0.120791329203847</v>
      </c>
      <c r="D54">
        <v>0.99999896305218805</v>
      </c>
    </row>
    <row r="55" spans="1:4">
      <c r="A55">
        <v>0.5</v>
      </c>
      <c r="B55">
        <v>3</v>
      </c>
      <c r="C55">
        <v>0.12091258003656399</v>
      </c>
      <c r="D55">
        <v>0.99999862950644303</v>
      </c>
    </row>
    <row r="56" spans="1:4">
      <c r="A56">
        <v>0.6</v>
      </c>
      <c r="B56">
        <v>1</v>
      </c>
      <c r="C56">
        <v>0.113422766766796</v>
      </c>
      <c r="D56">
        <v>0.99999982920546004</v>
      </c>
    </row>
    <row r="57" spans="1:4">
      <c r="A57">
        <v>0.6</v>
      </c>
      <c r="B57">
        <v>1.5</v>
      </c>
      <c r="C57">
        <v>0.11345904134908</v>
      </c>
      <c r="D57">
        <v>0.99999990796723204</v>
      </c>
    </row>
    <row r="58" spans="1:4">
      <c r="A58">
        <v>0.6</v>
      </c>
      <c r="B58">
        <v>2</v>
      </c>
      <c r="C58">
        <v>0.113483700449042</v>
      </c>
      <c r="D58">
        <v>0.999999936498841</v>
      </c>
    </row>
    <row r="59" spans="1:4">
      <c r="A59">
        <v>0.6</v>
      </c>
      <c r="B59">
        <v>2.5</v>
      </c>
      <c r="C59">
        <v>0.113503623218723</v>
      </c>
      <c r="D59">
        <v>0.99999994892810395</v>
      </c>
    </row>
    <row r="60" spans="1:4">
      <c r="A60">
        <v>0.6</v>
      </c>
      <c r="B60">
        <v>3</v>
      </c>
      <c r="C60">
        <v>0.11352110958518</v>
      </c>
      <c r="D60">
        <v>0.99999995437057199</v>
      </c>
    </row>
    <row r="61" spans="1:4">
      <c r="A61">
        <v>0.7</v>
      </c>
      <c r="B61">
        <v>1</v>
      </c>
      <c r="C61">
        <v>0.106579845895762</v>
      </c>
      <c r="D61">
        <v>0.99999875491587698</v>
      </c>
    </row>
    <row r="62" spans="1:4">
      <c r="A62">
        <v>0.7</v>
      </c>
      <c r="B62">
        <v>1.5</v>
      </c>
      <c r="C62">
        <v>0.10668038211527001</v>
      </c>
      <c r="D62">
        <v>0.99999936479875895</v>
      </c>
    </row>
    <row r="63" spans="1:4">
      <c r="A63">
        <v>0.7</v>
      </c>
      <c r="B63">
        <v>2</v>
      </c>
      <c r="C63">
        <v>0.106731499039305</v>
      </c>
      <c r="D63">
        <v>0.99999960895957396</v>
      </c>
    </row>
    <row r="64" spans="1:4">
      <c r="A64">
        <v>0.7</v>
      </c>
      <c r="B64">
        <v>2.5</v>
      </c>
      <c r="C64">
        <v>0.106762619304026</v>
      </c>
      <c r="D64">
        <v>0.99999973248305696</v>
      </c>
    </row>
    <row r="65" spans="1:4">
      <c r="A65">
        <v>0.7</v>
      </c>
      <c r="B65">
        <v>3</v>
      </c>
      <c r="C65">
        <v>0.10678367290752799</v>
      </c>
      <c r="D65">
        <v>0.99999980413590805</v>
      </c>
    </row>
    <row r="66" spans="1:4">
      <c r="A66">
        <v>0.8</v>
      </c>
      <c r="B66">
        <v>1</v>
      </c>
      <c r="C66">
        <v>9.9167802881945502E-2</v>
      </c>
      <c r="D66">
        <v>0.99999539822397199</v>
      </c>
    </row>
    <row r="67" spans="1:4">
      <c r="A67">
        <v>0.8</v>
      </c>
      <c r="B67">
        <v>1.5</v>
      </c>
      <c r="C67">
        <v>9.95151353640258E-2</v>
      </c>
      <c r="D67">
        <v>0.99999738377030101</v>
      </c>
    </row>
    <row r="68" spans="1:4">
      <c r="A68">
        <v>0.8</v>
      </c>
      <c r="B68">
        <v>2</v>
      </c>
      <c r="C68">
        <v>9.9696032269987994E-2</v>
      </c>
      <c r="D68">
        <v>0.99999828413060599</v>
      </c>
    </row>
    <row r="69" spans="1:4">
      <c r="A69">
        <v>0.8</v>
      </c>
      <c r="B69">
        <v>2.5</v>
      </c>
      <c r="C69">
        <v>9.9807149823104596E-2</v>
      </c>
      <c r="D69">
        <v>0.99999877587785002</v>
      </c>
    </row>
    <row r="70" spans="1:4">
      <c r="A70">
        <v>0.8</v>
      </c>
      <c r="B70">
        <v>3</v>
      </c>
      <c r="C70">
        <v>9.9882382788486504E-2</v>
      </c>
      <c r="D70">
        <v>0.99999907676877198</v>
      </c>
    </row>
    <row r="71" spans="1:4">
      <c r="A71">
        <v>0.9</v>
      </c>
      <c r="B71">
        <v>1</v>
      </c>
      <c r="C71">
        <v>9.1160958902836597E-2</v>
      </c>
      <c r="D71">
        <v>0.99999703988676603</v>
      </c>
    </row>
    <row r="72" spans="1:4">
      <c r="A72">
        <v>0.9</v>
      </c>
      <c r="B72">
        <v>1.5</v>
      </c>
      <c r="C72">
        <v>9.1805888666252999E-2</v>
      </c>
      <c r="D72">
        <v>0.99999785315893197</v>
      </c>
    </row>
    <row r="73" spans="1:4">
      <c r="A73">
        <v>0.9</v>
      </c>
      <c r="B73">
        <v>2</v>
      </c>
      <c r="C73">
        <v>9.2176921423042193E-2</v>
      </c>
      <c r="D73">
        <v>0.99999838352136705</v>
      </c>
    </row>
    <row r="74" spans="1:4">
      <c r="A74">
        <v>0.9</v>
      </c>
      <c r="B74">
        <v>2.5</v>
      </c>
      <c r="C74">
        <v>9.2418933297201702E-2</v>
      </c>
      <c r="D74">
        <v>0.99999873982007104</v>
      </c>
    </row>
    <row r="75" spans="1:4">
      <c r="A75">
        <v>0.9</v>
      </c>
      <c r="B75">
        <v>3</v>
      </c>
      <c r="C75">
        <v>9.2589606761354901E-2</v>
      </c>
      <c r="D75">
        <v>0.99999898948076404</v>
      </c>
    </row>
    <row r="76" spans="1:4">
      <c r="A76">
        <v>0.5</v>
      </c>
      <c r="B76">
        <v>1</v>
      </c>
      <c r="C76">
        <v>0.12034629873243299</v>
      </c>
      <c r="D76">
        <v>0.99999979499091196</v>
      </c>
    </row>
    <row r="77" spans="1:4">
      <c r="A77">
        <v>0.5</v>
      </c>
      <c r="B77">
        <v>1.5</v>
      </c>
      <c r="C77">
        <v>0.120475732272153</v>
      </c>
      <c r="D77">
        <v>0.99999963076993903</v>
      </c>
    </row>
    <row r="78" spans="1:4">
      <c r="A78">
        <v>0.5</v>
      </c>
      <c r="B78">
        <v>2</v>
      </c>
      <c r="C78">
        <v>0.120597418060982</v>
      </c>
      <c r="D78">
        <v>0.99999941602916897</v>
      </c>
    </row>
    <row r="79" spans="1:4">
      <c r="A79">
        <v>0.5</v>
      </c>
      <c r="B79">
        <v>2.5</v>
      </c>
      <c r="C79">
        <v>0.120712961132873</v>
      </c>
      <c r="D79">
        <v>0.99999916466890704</v>
      </c>
    </row>
    <row r="80" spans="1:4">
      <c r="A80">
        <v>0.5</v>
      </c>
      <c r="B80">
        <v>3</v>
      </c>
      <c r="C80">
        <v>0.12082300367351299</v>
      </c>
      <c r="D80">
        <v>0.99999888702900797</v>
      </c>
    </row>
    <row r="81" spans="1:4">
      <c r="A81">
        <v>0.6</v>
      </c>
      <c r="B81">
        <v>1</v>
      </c>
      <c r="C81">
        <v>0.11341946296498601</v>
      </c>
      <c r="D81">
        <v>0.99999983124866498</v>
      </c>
    </row>
    <row r="82" spans="1:4">
      <c r="A82">
        <v>0.6</v>
      </c>
      <c r="B82">
        <v>1.5</v>
      </c>
      <c r="C82">
        <v>0.113454116617107</v>
      </c>
      <c r="D82">
        <v>0.99999991032094604</v>
      </c>
    </row>
    <row r="83" spans="1:4">
      <c r="A83">
        <v>0.6</v>
      </c>
      <c r="B83">
        <v>2</v>
      </c>
      <c r="C83">
        <v>0.11347718562463199</v>
      </c>
      <c r="D83">
        <v>0.99999993929560604</v>
      </c>
    </row>
    <row r="84" spans="1:4">
      <c r="A84">
        <v>0.6</v>
      </c>
      <c r="B84">
        <v>2.5</v>
      </c>
      <c r="C84">
        <v>0.11349554881288999</v>
      </c>
      <c r="D84">
        <v>0.99999995228727401</v>
      </c>
    </row>
    <row r="85" spans="1:4">
      <c r="A85">
        <v>0.6</v>
      </c>
      <c r="B85">
        <v>3</v>
      </c>
      <c r="C85">
        <v>0.113511505765493</v>
      </c>
      <c r="D85">
        <v>0.99999995840153399</v>
      </c>
    </row>
    <row r="86" spans="1:4">
      <c r="A86">
        <v>0.7</v>
      </c>
      <c r="B86">
        <v>1</v>
      </c>
      <c r="C86">
        <v>0.106579689790259</v>
      </c>
      <c r="D86">
        <v>0.99999875528510995</v>
      </c>
    </row>
    <row r="87" spans="1:4">
      <c r="A87">
        <v>0.7</v>
      </c>
      <c r="B87">
        <v>1.5</v>
      </c>
      <c r="C87">
        <v>0.106680138511394</v>
      </c>
      <c r="D87">
        <v>0.99999936514912902</v>
      </c>
    </row>
    <row r="88" spans="1:4">
      <c r="A88">
        <v>0.7</v>
      </c>
      <c r="B88">
        <v>2</v>
      </c>
      <c r="C88">
        <v>0.106731168181919</v>
      </c>
      <c r="D88">
        <v>0.99999960929796206</v>
      </c>
    </row>
    <row r="89" spans="1:4">
      <c r="A89">
        <v>0.7</v>
      </c>
      <c r="B89">
        <v>2.5</v>
      </c>
      <c r="C89">
        <v>0.106762201527672</v>
      </c>
      <c r="D89">
        <v>0.999999732813319</v>
      </c>
    </row>
    <row r="90" spans="1:4">
      <c r="A90">
        <v>0.7</v>
      </c>
      <c r="B90">
        <v>3</v>
      </c>
      <c r="C90">
        <v>0.10678316857921499</v>
      </c>
      <c r="D90">
        <v>0.99999980446047498</v>
      </c>
    </row>
    <row r="91" spans="1:4">
      <c r="A91">
        <v>0.8</v>
      </c>
      <c r="B91">
        <v>1</v>
      </c>
      <c r="C91">
        <v>9.9167819820725506E-2</v>
      </c>
      <c r="D91">
        <v>0.99999539825575501</v>
      </c>
    </row>
    <row r="92" spans="1:4">
      <c r="A92">
        <v>0.8</v>
      </c>
      <c r="B92">
        <v>1.5</v>
      </c>
      <c r="C92">
        <v>9.9515156445643294E-2</v>
      </c>
      <c r="D92">
        <v>0.99999738379844805</v>
      </c>
    </row>
    <row r="93" spans="1:4">
      <c r="A93">
        <v>0.8</v>
      </c>
      <c r="B93">
        <v>2</v>
      </c>
      <c r="C93">
        <v>9.9696057171139996E-2</v>
      </c>
      <c r="D93">
        <v>0.99999828415474901</v>
      </c>
    </row>
    <row r="94" spans="1:4">
      <c r="A94">
        <v>0.8</v>
      </c>
      <c r="B94">
        <v>2.5</v>
      </c>
      <c r="C94">
        <v>9.9807178428090906E-2</v>
      </c>
      <c r="D94">
        <v>0.99999877589839103</v>
      </c>
    </row>
    <row r="95" spans="1:4">
      <c r="A95">
        <v>0.8</v>
      </c>
      <c r="B95">
        <v>3</v>
      </c>
      <c r="C95">
        <v>9.98824149211541E-2</v>
      </c>
      <c r="D95">
        <v>0.99999907678618705</v>
      </c>
    </row>
    <row r="96" spans="1:4">
      <c r="A96">
        <v>0.9</v>
      </c>
      <c r="B96">
        <v>1</v>
      </c>
      <c r="C96">
        <v>9.1160963692409905E-2</v>
      </c>
      <c r="D96">
        <v>0.99999703988475497</v>
      </c>
    </row>
    <row r="97" spans="1:4">
      <c r="A97">
        <v>0.9</v>
      </c>
      <c r="B97">
        <v>1.5</v>
      </c>
      <c r="C97">
        <v>9.1805895225861994E-2</v>
      </c>
      <c r="D97">
        <v>0.99999785315694101</v>
      </c>
    </row>
    <row r="98" spans="1:4">
      <c r="A98">
        <v>0.9</v>
      </c>
      <c r="B98">
        <v>2</v>
      </c>
      <c r="C98">
        <v>9.2176929704157404E-2</v>
      </c>
      <c r="D98">
        <v>0.99999838351921599</v>
      </c>
    </row>
    <row r="99" spans="1:4">
      <c r="A99">
        <v>0.9</v>
      </c>
      <c r="B99">
        <v>2.5</v>
      </c>
      <c r="C99">
        <v>9.2418943113026897E-2</v>
      </c>
      <c r="D99">
        <v>0.99999873981765997</v>
      </c>
    </row>
    <row r="100" spans="1:4">
      <c r="A100">
        <v>0.9</v>
      </c>
      <c r="B100">
        <v>3</v>
      </c>
      <c r="C100">
        <v>9.2589618062415793E-2</v>
      </c>
      <c r="D100">
        <v>0.99999898947804799</v>
      </c>
    </row>
    <row r="101" spans="1:4">
      <c r="A101">
        <v>0.5</v>
      </c>
      <c r="B101">
        <v>1</v>
      </c>
      <c r="C101">
        <v>0.119975695812703</v>
      </c>
      <c r="D101">
        <v>0.99998820745265604</v>
      </c>
    </row>
    <row r="102" spans="1:4">
      <c r="A102">
        <v>0.5</v>
      </c>
      <c r="B102">
        <v>1.5</v>
      </c>
      <c r="C102">
        <v>0.119968653989764</v>
      </c>
      <c r="D102">
        <v>0.99998921519712503</v>
      </c>
    </row>
    <row r="103" spans="1:4">
      <c r="A103">
        <v>0.5</v>
      </c>
      <c r="B103">
        <v>2</v>
      </c>
      <c r="C103">
        <v>0.119966109372892</v>
      </c>
      <c r="D103">
        <v>0.99998980813286897</v>
      </c>
    </row>
    <row r="104" spans="1:4">
      <c r="A104">
        <v>0.5</v>
      </c>
      <c r="B104">
        <v>2.5</v>
      </c>
      <c r="C104">
        <v>0.11996491163819301</v>
      </c>
      <c r="D104">
        <v>0.99999020703824104</v>
      </c>
    </row>
    <row r="105" spans="1:4">
      <c r="A105">
        <v>0.5</v>
      </c>
      <c r="B105">
        <v>3</v>
      </c>
      <c r="C105">
        <v>0.11996425431386</v>
      </c>
      <c r="D105">
        <v>0.99999049777120197</v>
      </c>
    </row>
    <row r="106" spans="1:4">
      <c r="A106">
        <v>0.6</v>
      </c>
      <c r="B106">
        <v>1</v>
      </c>
      <c r="C106">
        <v>0.112481053495567</v>
      </c>
      <c r="D106">
        <v>0.99999251162309</v>
      </c>
    </row>
    <row r="107" spans="1:4">
      <c r="A107">
        <v>0.6</v>
      </c>
      <c r="B107">
        <v>1.5</v>
      </c>
      <c r="C107">
        <v>0.112364633232371</v>
      </c>
      <c r="D107">
        <v>0.99999277450833401</v>
      </c>
    </row>
    <row r="108" spans="1:4">
      <c r="A108">
        <v>0.6</v>
      </c>
      <c r="B108">
        <v>2</v>
      </c>
      <c r="C108">
        <v>0.112314235582831</v>
      </c>
      <c r="D108">
        <v>0.999993131705322</v>
      </c>
    </row>
    <row r="109" spans="1:4">
      <c r="A109">
        <v>0.6</v>
      </c>
      <c r="B109">
        <v>2.5</v>
      </c>
      <c r="C109">
        <v>0.112288052576515</v>
      </c>
      <c r="D109">
        <v>0.99999344572732196</v>
      </c>
    </row>
    <row r="110" spans="1:4">
      <c r="A110">
        <v>0.6</v>
      </c>
      <c r="B110">
        <v>3</v>
      </c>
      <c r="C110">
        <v>0.11227275384143801</v>
      </c>
      <c r="D110">
        <v>0.99999370564093804</v>
      </c>
    </row>
    <row r="111" spans="1:4">
      <c r="A111">
        <v>0.7</v>
      </c>
      <c r="B111">
        <v>1</v>
      </c>
      <c r="C111">
        <v>0.10611792296518199</v>
      </c>
      <c r="D111">
        <v>0.99999777925252797</v>
      </c>
    </row>
    <row r="112" spans="1:4">
      <c r="A112">
        <v>0.7</v>
      </c>
      <c r="B112">
        <v>1.5</v>
      </c>
      <c r="C112">
        <v>0.105922227372908</v>
      </c>
      <c r="D112">
        <v>0.99999806036449801</v>
      </c>
    </row>
    <row r="113" spans="1:4">
      <c r="A113">
        <v>0.7</v>
      </c>
      <c r="B113">
        <v>2</v>
      </c>
      <c r="C113">
        <v>0.10575339008923899</v>
      </c>
      <c r="D113">
        <v>0.99999786325323303</v>
      </c>
    </row>
    <row r="114" spans="1:4">
      <c r="A114">
        <v>0.7</v>
      </c>
      <c r="B114">
        <v>2.5</v>
      </c>
      <c r="C114">
        <v>0.10562281077056</v>
      </c>
      <c r="D114">
        <v>0.99999762217076504</v>
      </c>
    </row>
    <row r="115" spans="1:4">
      <c r="A115">
        <v>0.7</v>
      </c>
      <c r="B115">
        <v>3</v>
      </c>
      <c r="C115">
        <v>0.105523125249656</v>
      </c>
      <c r="D115">
        <v>0.99999742553726001</v>
      </c>
    </row>
    <row r="116" spans="1:4">
      <c r="A116">
        <v>0.8</v>
      </c>
      <c r="B116">
        <v>1</v>
      </c>
      <c r="C116">
        <v>9.8948093295825906E-2</v>
      </c>
      <c r="D116">
        <v>0.99999517324063603</v>
      </c>
    </row>
    <row r="117" spans="1:4">
      <c r="A117">
        <v>0.8</v>
      </c>
      <c r="B117">
        <v>1.5</v>
      </c>
      <c r="C117">
        <v>9.9221306082428101E-2</v>
      </c>
      <c r="D117">
        <v>0.99999723063100099</v>
      </c>
    </row>
    <row r="118" spans="1:4">
      <c r="A118">
        <v>0.8</v>
      </c>
      <c r="B118">
        <v>2</v>
      </c>
      <c r="C118">
        <v>9.9329201845092294E-2</v>
      </c>
      <c r="D118">
        <v>0.99999818452367795</v>
      </c>
    </row>
    <row r="119" spans="1:4">
      <c r="A119">
        <v>0.8</v>
      </c>
      <c r="B119">
        <v>2.5</v>
      </c>
      <c r="C119">
        <v>9.9369112108937702E-2</v>
      </c>
      <c r="D119">
        <v>0.99999870742267405</v>
      </c>
    </row>
    <row r="120" spans="1:4">
      <c r="A120">
        <v>0.8</v>
      </c>
      <c r="B120">
        <v>3</v>
      </c>
      <c r="C120">
        <v>9.9375693231656806E-2</v>
      </c>
      <c r="D120">
        <v>0.99999902039395105</v>
      </c>
    </row>
    <row r="121" spans="1:4">
      <c r="A121">
        <v>0.9</v>
      </c>
      <c r="B121">
        <v>1</v>
      </c>
      <c r="C121">
        <v>9.1107811629162094E-2</v>
      </c>
      <c r="D121">
        <v>0.99999706190553195</v>
      </c>
    </row>
    <row r="122" spans="1:4">
      <c r="A122">
        <v>0.9</v>
      </c>
      <c r="B122">
        <v>1.5</v>
      </c>
      <c r="C122">
        <v>9.1733029262198895E-2</v>
      </c>
      <c r="D122">
        <v>0.99999787451866795</v>
      </c>
    </row>
    <row r="123" spans="1:4">
      <c r="A123">
        <v>0.9</v>
      </c>
      <c r="B123">
        <v>2</v>
      </c>
      <c r="C123">
        <v>9.2086422273335494E-2</v>
      </c>
      <c r="D123">
        <v>0.99999840606916002</v>
      </c>
    </row>
    <row r="124" spans="1:4">
      <c r="A124">
        <v>0.9</v>
      </c>
      <c r="B124">
        <v>2.5</v>
      </c>
      <c r="C124">
        <v>9.2312075535190094E-2</v>
      </c>
      <c r="D124">
        <v>0.99999876453358305</v>
      </c>
    </row>
    <row r="125" spans="1:4">
      <c r="A125">
        <v>0.9</v>
      </c>
      <c r="B125">
        <v>3</v>
      </c>
      <c r="C125">
        <v>9.2467276503293297E-2</v>
      </c>
      <c r="D125">
        <v>0.99999901672831704</v>
      </c>
    </row>
    <row r="126" spans="1:4">
      <c r="A126">
        <v>0.5</v>
      </c>
      <c r="B126">
        <v>1</v>
      </c>
      <c r="C126">
        <v>0.120080593939908</v>
      </c>
      <c r="D126">
        <v>0.99998780971939705</v>
      </c>
    </row>
    <row r="127" spans="1:4">
      <c r="A127">
        <v>0.5</v>
      </c>
      <c r="B127">
        <v>1.5</v>
      </c>
      <c r="C127">
        <v>0.120070541787669</v>
      </c>
      <c r="D127">
        <v>0.99998890027696796</v>
      </c>
    </row>
    <row r="128" spans="1:4">
      <c r="A128">
        <v>0.5</v>
      </c>
      <c r="B128">
        <v>2</v>
      </c>
      <c r="C128">
        <v>0.12006688564582101</v>
      </c>
      <c r="D128">
        <v>0.99998954734592205</v>
      </c>
    </row>
    <row r="129" spans="1:4">
      <c r="A129">
        <v>0.5</v>
      </c>
      <c r="B129">
        <v>2.5</v>
      </c>
      <c r="C129">
        <v>0.12006515902852199</v>
      </c>
      <c r="D129">
        <v>0.99998998400069805</v>
      </c>
    </row>
    <row r="130" spans="1:4">
      <c r="A130">
        <v>0.5</v>
      </c>
      <c r="B130">
        <v>3</v>
      </c>
      <c r="C130">
        <v>0.12006420938887501</v>
      </c>
      <c r="D130">
        <v>0.99999030271700295</v>
      </c>
    </row>
    <row r="131" spans="1:4">
      <c r="A131">
        <v>0.6</v>
      </c>
      <c r="B131">
        <v>1</v>
      </c>
      <c r="C131">
        <v>0.11263568725876701</v>
      </c>
      <c r="D131">
        <v>0.999992648396548</v>
      </c>
    </row>
    <row r="132" spans="1:4">
      <c r="A132">
        <v>0.6</v>
      </c>
      <c r="B132">
        <v>1.5</v>
      </c>
      <c r="C132">
        <v>0.112487117094256</v>
      </c>
      <c r="D132">
        <v>0.99999264571675806</v>
      </c>
    </row>
    <row r="133" spans="1:4">
      <c r="A133">
        <v>0.6</v>
      </c>
      <c r="B133">
        <v>2</v>
      </c>
      <c r="C133">
        <v>0.112420433421245</v>
      </c>
      <c r="D133">
        <v>0.99999290993915102</v>
      </c>
    </row>
    <row r="134" spans="1:4">
      <c r="A134">
        <v>0.6</v>
      </c>
      <c r="B134">
        <v>2.5</v>
      </c>
      <c r="C134">
        <v>0.112385072452521</v>
      </c>
      <c r="D134">
        <v>0.99999319275032295</v>
      </c>
    </row>
    <row r="135" spans="1:4">
      <c r="A135">
        <v>0.6</v>
      </c>
      <c r="B135">
        <v>3</v>
      </c>
      <c r="C135">
        <v>0.11236413487916</v>
      </c>
      <c r="D135">
        <v>0.99999344549401503</v>
      </c>
    </row>
    <row r="136" spans="1:4">
      <c r="A136">
        <v>0.7</v>
      </c>
      <c r="B136">
        <v>1</v>
      </c>
      <c r="C136">
        <v>0.106269943247256</v>
      </c>
      <c r="D136">
        <v>0.999997949450388</v>
      </c>
    </row>
    <row r="137" spans="1:4">
      <c r="A137">
        <v>0.7</v>
      </c>
      <c r="B137">
        <v>1.5</v>
      </c>
      <c r="C137">
        <v>0.106099036112655</v>
      </c>
      <c r="D137">
        <v>0.99999835469167497</v>
      </c>
    </row>
    <row r="138" spans="1:4">
      <c r="A138">
        <v>0.7</v>
      </c>
      <c r="B138">
        <v>2</v>
      </c>
      <c r="C138">
        <v>0.105932546644743</v>
      </c>
      <c r="D138">
        <v>0.99999818860573597</v>
      </c>
    </row>
    <row r="139" spans="1:4">
      <c r="A139">
        <v>0.7</v>
      </c>
      <c r="B139">
        <v>2.5</v>
      </c>
      <c r="C139">
        <v>0.10579532599198101</v>
      </c>
      <c r="D139">
        <v>0.99999792253963204</v>
      </c>
    </row>
    <row r="140" spans="1:4">
      <c r="A140">
        <v>0.7</v>
      </c>
      <c r="B140">
        <v>3</v>
      </c>
      <c r="C140">
        <v>0.105685969713436</v>
      </c>
      <c r="D140">
        <v>0.999997678515546</v>
      </c>
    </row>
    <row r="141" spans="1:4">
      <c r="A141">
        <v>0.8</v>
      </c>
      <c r="B141">
        <v>1</v>
      </c>
      <c r="C141">
        <v>9.8987676017375903E-2</v>
      </c>
      <c r="D141">
        <v>0.99999519793041003</v>
      </c>
    </row>
    <row r="142" spans="1:4">
      <c r="A142">
        <v>0.8</v>
      </c>
      <c r="B142">
        <v>1.5</v>
      </c>
      <c r="C142">
        <v>9.9274876706463996E-2</v>
      </c>
      <c r="D142">
        <v>0.99999724430894299</v>
      </c>
    </row>
    <row r="143" spans="1:4">
      <c r="A143">
        <v>0.8</v>
      </c>
      <c r="B143">
        <v>2</v>
      </c>
      <c r="C143">
        <v>9.9395730811163499E-2</v>
      </c>
      <c r="D143">
        <v>0.99999819358044195</v>
      </c>
    </row>
    <row r="144" spans="1:4">
      <c r="A144">
        <v>0.8</v>
      </c>
      <c r="B144">
        <v>2.5</v>
      </c>
      <c r="C144">
        <v>9.9447284091492394E-2</v>
      </c>
      <c r="D144">
        <v>0.99999871739851698</v>
      </c>
    </row>
    <row r="145" spans="1:4">
      <c r="A145">
        <v>0.8</v>
      </c>
      <c r="B145">
        <v>3</v>
      </c>
      <c r="C145">
        <v>9.9464072685943206E-2</v>
      </c>
      <c r="D145">
        <v>0.99999903509440002</v>
      </c>
    </row>
    <row r="146" spans="1:4">
      <c r="A146">
        <v>0.9</v>
      </c>
      <c r="B146">
        <v>1</v>
      </c>
      <c r="C146">
        <v>9.1116602081256506E-2</v>
      </c>
      <c r="D146">
        <v>0.99999705830141905</v>
      </c>
    </row>
    <row r="147" spans="1:4">
      <c r="A147">
        <v>0.9</v>
      </c>
      <c r="B147">
        <v>1.5</v>
      </c>
      <c r="C147">
        <v>9.17450276614558E-2</v>
      </c>
      <c r="D147">
        <v>0.99999787108518601</v>
      </c>
    </row>
    <row r="148" spans="1:4">
      <c r="A148">
        <v>0.9</v>
      </c>
      <c r="B148">
        <v>2</v>
      </c>
      <c r="C148">
        <v>9.2101255310343605E-2</v>
      </c>
      <c r="D148">
        <v>0.99999840251947802</v>
      </c>
    </row>
    <row r="149" spans="1:4">
      <c r="A149">
        <v>0.9</v>
      </c>
      <c r="B149">
        <v>2.5</v>
      </c>
      <c r="C149">
        <v>9.2329502057678398E-2</v>
      </c>
      <c r="D149">
        <v>0.99999876072289595</v>
      </c>
    </row>
    <row r="150" spans="1:4">
      <c r="A150">
        <v>0.9</v>
      </c>
      <c r="B150">
        <v>3</v>
      </c>
      <c r="C150">
        <v>9.2487121450768595E-2</v>
      </c>
      <c r="D150">
        <v>0.99999901261050805</v>
      </c>
    </row>
    <row r="151" spans="1:4">
      <c r="A151">
        <v>0.5</v>
      </c>
      <c r="B151">
        <v>1</v>
      </c>
      <c r="C151">
        <v>0.120158690671349</v>
      </c>
      <c r="D151">
        <v>0.99998739933094605</v>
      </c>
    </row>
    <row r="152" spans="1:4">
      <c r="A152">
        <v>0.5</v>
      </c>
      <c r="B152">
        <v>1.5</v>
      </c>
      <c r="C152">
        <v>0.12014517526963001</v>
      </c>
      <c r="D152">
        <v>0.99998856304345796</v>
      </c>
    </row>
    <row r="153" spans="1:4">
      <c r="A153">
        <v>0.5</v>
      </c>
      <c r="B153">
        <v>2</v>
      </c>
      <c r="C153">
        <v>0.120140227619808</v>
      </c>
      <c r="D153">
        <v>0.999989260602965</v>
      </c>
    </row>
    <row r="154" spans="1:4">
      <c r="A154">
        <v>0.5</v>
      </c>
      <c r="B154">
        <v>2.5</v>
      </c>
      <c r="C154">
        <v>0.120137883101506</v>
      </c>
      <c r="D154">
        <v>0.99998973310162398</v>
      </c>
    </row>
    <row r="155" spans="1:4">
      <c r="A155">
        <v>0.5</v>
      </c>
      <c r="B155">
        <v>3</v>
      </c>
      <c r="C155">
        <v>0.120136590789915</v>
      </c>
      <c r="D155">
        <v>0.999990078587362</v>
      </c>
    </row>
    <row r="156" spans="1:4">
      <c r="A156">
        <v>0.6</v>
      </c>
      <c r="B156">
        <v>1</v>
      </c>
      <c r="C156">
        <v>0.112770962290555</v>
      </c>
      <c r="D156">
        <v>0.99999287832037398</v>
      </c>
    </row>
    <row r="157" spans="1:4">
      <c r="A157">
        <v>0.6</v>
      </c>
      <c r="B157">
        <v>1.5</v>
      </c>
      <c r="C157">
        <v>0.11259177605731401</v>
      </c>
      <c r="D157">
        <v>0.99999259283721997</v>
      </c>
    </row>
    <row r="158" spans="1:4">
      <c r="A158">
        <v>0.6</v>
      </c>
      <c r="B158">
        <v>2</v>
      </c>
      <c r="C158">
        <v>0.112508511403888</v>
      </c>
      <c r="D158">
        <v>0.99999274142274697</v>
      </c>
    </row>
    <row r="159" spans="1:4">
      <c r="A159">
        <v>0.6</v>
      </c>
      <c r="B159">
        <v>2.5</v>
      </c>
      <c r="C159">
        <v>0.11246347406406</v>
      </c>
      <c r="D159">
        <v>0.999992977147517</v>
      </c>
    </row>
    <row r="160" spans="1:4">
      <c r="A160">
        <v>0.6</v>
      </c>
      <c r="B160">
        <v>3</v>
      </c>
      <c r="C160">
        <v>0.112436460318909</v>
      </c>
      <c r="D160">
        <v>0.99999321209931102</v>
      </c>
    </row>
    <row r="161" spans="1:4">
      <c r="A161">
        <v>0.7</v>
      </c>
      <c r="B161">
        <v>1</v>
      </c>
      <c r="C161">
        <v>0.10638016237279201</v>
      </c>
      <c r="D161">
        <v>0.99999804699245098</v>
      </c>
    </row>
    <row r="162" spans="1:4">
      <c r="A162">
        <v>0.7</v>
      </c>
      <c r="B162">
        <v>1.5</v>
      </c>
      <c r="C162">
        <v>0.10623699339680399</v>
      </c>
      <c r="D162">
        <v>0.99999856643822405</v>
      </c>
    </row>
    <row r="163" spans="1:4">
      <c r="A163">
        <v>0.7</v>
      </c>
      <c r="B163">
        <v>2</v>
      </c>
      <c r="C163">
        <v>0.106078775752158</v>
      </c>
      <c r="D163">
        <v>0.99999845723321101</v>
      </c>
    </row>
    <row r="164" spans="1:4">
      <c r="A164">
        <v>0.7</v>
      </c>
      <c r="B164">
        <v>2.5</v>
      </c>
      <c r="C164">
        <v>0.10594032596576999</v>
      </c>
      <c r="D164">
        <v>0.99999819669566803</v>
      </c>
    </row>
    <row r="165" spans="1:4">
      <c r="A165">
        <v>0.7</v>
      </c>
      <c r="B165">
        <v>3</v>
      </c>
      <c r="C165">
        <v>0.105825530653537</v>
      </c>
      <c r="D165">
        <v>0.99999792992942704</v>
      </c>
    </row>
    <row r="166" spans="1:4">
      <c r="A166">
        <v>0.8</v>
      </c>
      <c r="B166">
        <v>1</v>
      </c>
      <c r="C166">
        <v>9.9015451088492898E-2</v>
      </c>
      <c r="D166">
        <v>0.99999521777877898</v>
      </c>
    </row>
    <row r="167" spans="1:4">
      <c r="A167">
        <v>0.8</v>
      </c>
      <c r="B167">
        <v>1.5</v>
      </c>
      <c r="C167">
        <v>9.9312585649367E-2</v>
      </c>
      <c r="D167">
        <v>0.99999725534134898</v>
      </c>
    </row>
    <row r="168" spans="1:4">
      <c r="A168">
        <v>0.8</v>
      </c>
      <c r="B168">
        <v>2</v>
      </c>
      <c r="C168">
        <v>9.9442949190463495E-2</v>
      </c>
      <c r="D168">
        <v>0.999998199766577</v>
      </c>
    </row>
    <row r="169" spans="1:4">
      <c r="A169">
        <v>0.8</v>
      </c>
      <c r="B169">
        <v>2.5</v>
      </c>
      <c r="C169">
        <v>9.9503362832395401E-2</v>
      </c>
      <c r="D169">
        <v>0.99999872262849798</v>
      </c>
    </row>
    <row r="170" spans="1:4">
      <c r="A170">
        <v>0.8</v>
      </c>
      <c r="B170">
        <v>3</v>
      </c>
      <c r="C170">
        <v>9.9528220039013002E-2</v>
      </c>
      <c r="D170">
        <v>0.99999904235502202</v>
      </c>
    </row>
    <row r="171" spans="1:4">
      <c r="A171">
        <v>0.9</v>
      </c>
      <c r="B171">
        <v>1</v>
      </c>
      <c r="C171">
        <v>9.1122899020363496E-2</v>
      </c>
      <c r="D171">
        <v>0.99999705571027597</v>
      </c>
    </row>
    <row r="172" spans="1:4">
      <c r="A172">
        <v>0.9</v>
      </c>
      <c r="B172">
        <v>1.5</v>
      </c>
      <c r="C172">
        <v>9.1753635345228499E-2</v>
      </c>
      <c r="D172">
        <v>0.99999786860110995</v>
      </c>
    </row>
    <row r="173" spans="1:4">
      <c r="A173">
        <v>0.9</v>
      </c>
      <c r="B173">
        <v>2</v>
      </c>
      <c r="C173">
        <v>9.2111913832277306E-2</v>
      </c>
      <c r="D173">
        <v>0.99999839993266504</v>
      </c>
    </row>
    <row r="174" spans="1:4">
      <c r="A174">
        <v>0.9</v>
      </c>
      <c r="B174">
        <v>2.5</v>
      </c>
      <c r="C174">
        <v>9.2342045614479298E-2</v>
      </c>
      <c r="D174">
        <v>0.999998757925883</v>
      </c>
    </row>
    <row r="175" spans="1:4">
      <c r="A175">
        <v>0.9</v>
      </c>
      <c r="B175">
        <v>3</v>
      </c>
      <c r="C175">
        <v>9.2501431399120898E-2</v>
      </c>
      <c r="D175">
        <v>0.99999900956719701</v>
      </c>
    </row>
    <row r="176" spans="1:4">
      <c r="A176">
        <v>0.5</v>
      </c>
      <c r="B176">
        <v>1</v>
      </c>
      <c r="C176">
        <v>0.120220124013285</v>
      </c>
      <c r="D176">
        <v>0.99998699797595902</v>
      </c>
    </row>
    <row r="177" spans="1:4">
      <c r="A177">
        <v>0.5</v>
      </c>
      <c r="B177">
        <v>1.5</v>
      </c>
      <c r="C177">
        <v>0.120202725171257</v>
      </c>
      <c r="D177">
        <v>0.99998822437839396</v>
      </c>
    </row>
    <row r="178" spans="1:4">
      <c r="A178">
        <v>0.5</v>
      </c>
      <c r="B178">
        <v>2</v>
      </c>
      <c r="C178">
        <v>0.120196314345594</v>
      </c>
      <c r="D178">
        <v>0.99998896836876205</v>
      </c>
    </row>
    <row r="179" spans="1:4">
      <c r="A179">
        <v>0.5</v>
      </c>
      <c r="B179">
        <v>2.5</v>
      </c>
      <c r="C179">
        <v>0.12019326616645699</v>
      </c>
      <c r="D179">
        <v>0.99998947457777398</v>
      </c>
    </row>
    <row r="180" spans="1:4">
      <c r="A180">
        <v>0.5</v>
      </c>
      <c r="B180">
        <v>3</v>
      </c>
      <c r="C180">
        <v>0.120191582529633</v>
      </c>
      <c r="D180">
        <v>0.99998984548737502</v>
      </c>
    </row>
    <row r="181" spans="1:4">
      <c r="A181">
        <v>0.6</v>
      </c>
      <c r="B181">
        <v>1</v>
      </c>
      <c r="C181">
        <v>0.112892876748201</v>
      </c>
      <c r="D181">
        <v>0.999993179213162</v>
      </c>
    </row>
    <row r="182" spans="1:4">
      <c r="A182">
        <v>0.6</v>
      </c>
      <c r="B182">
        <v>1.5</v>
      </c>
      <c r="C182">
        <v>0.112685307745757</v>
      </c>
      <c r="D182">
        <v>0.99999261095541103</v>
      </c>
    </row>
    <row r="183" spans="1:4">
      <c r="A183">
        <v>0.6</v>
      </c>
      <c r="B183">
        <v>2</v>
      </c>
      <c r="C183">
        <v>0.112585585571491</v>
      </c>
      <c r="D183">
        <v>0.99999262800392696</v>
      </c>
    </row>
    <row r="184" spans="1:4">
      <c r="A184">
        <v>0.6</v>
      </c>
      <c r="B184">
        <v>2.5</v>
      </c>
      <c r="C184">
        <v>0.112530598832551</v>
      </c>
      <c r="D184">
        <v>0.99999280346591801</v>
      </c>
    </row>
    <row r="185" spans="1:4">
      <c r="A185">
        <v>0.6</v>
      </c>
      <c r="B185">
        <v>3</v>
      </c>
      <c r="C185">
        <v>0.112497199975399</v>
      </c>
      <c r="D185">
        <v>0.99999301116500705</v>
      </c>
    </row>
    <row r="186" spans="1:4">
      <c r="A186">
        <v>0.7</v>
      </c>
      <c r="B186">
        <v>1</v>
      </c>
      <c r="C186">
        <v>0.10646168497403</v>
      </c>
      <c r="D186">
        <v>0.99999810277761003</v>
      </c>
    </row>
    <row r="187" spans="1:4">
      <c r="A187">
        <v>0.7</v>
      </c>
      <c r="B187">
        <v>1.5</v>
      </c>
      <c r="C187">
        <v>0.106346216741059</v>
      </c>
      <c r="D187">
        <v>0.99999871622418202</v>
      </c>
    </row>
    <row r="188" spans="1:4">
      <c r="A188">
        <v>0.7</v>
      </c>
      <c r="B188">
        <v>2</v>
      </c>
      <c r="C188">
        <v>0.106199621007802</v>
      </c>
      <c r="D188">
        <v>0.99999867310309498</v>
      </c>
    </row>
    <row r="189" spans="1:4">
      <c r="A189">
        <v>0.7</v>
      </c>
      <c r="B189">
        <v>2.5</v>
      </c>
      <c r="C189">
        <v>0.106063708409639</v>
      </c>
      <c r="D189">
        <v>0.99999843738540495</v>
      </c>
    </row>
    <row r="190" spans="1:4">
      <c r="A190">
        <v>0.7</v>
      </c>
      <c r="B190">
        <v>3</v>
      </c>
      <c r="C190">
        <v>0.10594675650343401</v>
      </c>
      <c r="D190">
        <v>0.99999816689352905</v>
      </c>
    </row>
    <row r="191" spans="1:4">
      <c r="A191">
        <v>0.8</v>
      </c>
      <c r="B191">
        <v>1</v>
      </c>
      <c r="C191">
        <v>9.9035955583346102E-2</v>
      </c>
      <c r="D191">
        <v>0.99999523410057201</v>
      </c>
    </row>
    <row r="192" spans="1:4">
      <c r="A192">
        <v>0.8</v>
      </c>
      <c r="B192">
        <v>1.5</v>
      </c>
      <c r="C192">
        <v>9.9340437591959097E-2</v>
      </c>
      <c r="D192">
        <v>0.99999726465290295</v>
      </c>
    </row>
    <row r="193" spans="1:4">
      <c r="A193">
        <v>0.8</v>
      </c>
      <c r="B193">
        <v>2</v>
      </c>
      <c r="C193">
        <v>9.94779936272365E-2</v>
      </c>
      <c r="D193">
        <v>0.999998204616518</v>
      </c>
    </row>
    <row r="194" spans="1:4">
      <c r="A194">
        <v>0.8</v>
      </c>
      <c r="B194">
        <v>2.5</v>
      </c>
      <c r="C194">
        <v>9.9545283650775404E-2</v>
      </c>
      <c r="D194">
        <v>0.99999872577412596</v>
      </c>
    </row>
    <row r="195" spans="1:4">
      <c r="A195">
        <v>0.8</v>
      </c>
      <c r="B195">
        <v>3</v>
      </c>
      <c r="C195">
        <v>9.9576575625165795E-2</v>
      </c>
      <c r="D195">
        <v>0.99999904607622303</v>
      </c>
    </row>
    <row r="196" spans="1:4">
      <c r="A196">
        <v>0.9</v>
      </c>
      <c r="B196">
        <v>1</v>
      </c>
      <c r="C196">
        <v>9.1127631586260499E-2</v>
      </c>
      <c r="D196">
        <v>0.99999705375775105</v>
      </c>
    </row>
    <row r="197" spans="1:4">
      <c r="A197">
        <v>0.9</v>
      </c>
      <c r="B197">
        <v>1.5</v>
      </c>
      <c r="C197">
        <v>9.1760111510579598E-2</v>
      </c>
      <c r="D197">
        <v>0.99999786672075597</v>
      </c>
    </row>
    <row r="198" spans="1:4">
      <c r="A198">
        <v>0.9</v>
      </c>
      <c r="B198">
        <v>2</v>
      </c>
      <c r="C198">
        <v>9.2119942587628803E-2</v>
      </c>
      <c r="D198">
        <v>0.99999839796434897</v>
      </c>
    </row>
    <row r="199" spans="1:4">
      <c r="A199">
        <v>0.9</v>
      </c>
      <c r="B199">
        <v>2.5</v>
      </c>
      <c r="C199">
        <v>9.2351506125679897E-2</v>
      </c>
      <c r="D199">
        <v>0.99999875578667097</v>
      </c>
    </row>
    <row r="200" spans="1:4">
      <c r="A200">
        <v>0.9</v>
      </c>
      <c r="B200">
        <v>3</v>
      </c>
      <c r="C200">
        <v>9.2512238279673698E-2</v>
      </c>
      <c r="D200">
        <v>0.99999900722811397</v>
      </c>
    </row>
    <row r="201" spans="1:4">
      <c r="A201">
        <v>0.5</v>
      </c>
      <c r="B201">
        <v>1</v>
      </c>
      <c r="C201">
        <v>0.119390262999486</v>
      </c>
      <c r="D201">
        <v>0.99998848719951805</v>
      </c>
    </row>
    <row r="202" spans="1:4">
      <c r="A202">
        <v>0.5</v>
      </c>
      <c r="B202">
        <v>1.5</v>
      </c>
      <c r="C202">
        <v>0.119388540030634</v>
      </c>
      <c r="D202">
        <v>0.99998927059284504</v>
      </c>
    </row>
    <row r="203" spans="1:4">
      <c r="A203">
        <v>0.5</v>
      </c>
      <c r="B203">
        <v>2</v>
      </c>
      <c r="C203">
        <v>0.119387927244929</v>
      </c>
      <c r="D203">
        <v>0.99998972552340903</v>
      </c>
    </row>
    <row r="204" spans="1:4">
      <c r="A204">
        <v>0.5</v>
      </c>
      <c r="B204">
        <v>2.5</v>
      </c>
      <c r="C204">
        <v>0.119387641230534</v>
      </c>
      <c r="D204">
        <v>0.99999002980419305</v>
      </c>
    </row>
    <row r="205" spans="1:4">
      <c r="A205">
        <v>0.5</v>
      </c>
      <c r="B205">
        <v>3</v>
      </c>
      <c r="C205">
        <v>0.119387485146843</v>
      </c>
      <c r="D205">
        <v>0.99999025060892499</v>
      </c>
    </row>
    <row r="206" spans="1:4">
      <c r="A206">
        <v>0.6</v>
      </c>
      <c r="B206">
        <v>1</v>
      </c>
      <c r="C206">
        <v>0.111871696398863</v>
      </c>
      <c r="D206">
        <v>0.99999250994359001</v>
      </c>
    </row>
    <row r="207" spans="1:4">
      <c r="A207">
        <v>0.6</v>
      </c>
      <c r="B207">
        <v>1.5</v>
      </c>
      <c r="C207">
        <v>0.111833317713737</v>
      </c>
      <c r="D207">
        <v>0.99999321964683596</v>
      </c>
    </row>
    <row r="208" spans="1:4">
      <c r="A208">
        <v>0.6</v>
      </c>
      <c r="B208">
        <v>2</v>
      </c>
      <c r="C208">
        <v>0.11181825252201801</v>
      </c>
      <c r="D208">
        <v>0.99999367181696697</v>
      </c>
    </row>
    <row r="209" spans="1:4">
      <c r="A209">
        <v>0.6</v>
      </c>
      <c r="B209">
        <v>2.5</v>
      </c>
      <c r="C209">
        <v>0.11181083925812101</v>
      </c>
      <c r="D209">
        <v>0.99999398442373899</v>
      </c>
    </row>
    <row r="210" spans="1:4">
      <c r="A210">
        <v>0.6</v>
      </c>
      <c r="B210">
        <v>3</v>
      </c>
      <c r="C210">
        <v>0.111806654918378</v>
      </c>
      <c r="D210">
        <v>0.99999421421325096</v>
      </c>
    </row>
    <row r="211" spans="1:4">
      <c r="A211">
        <v>0.7</v>
      </c>
      <c r="B211">
        <v>1</v>
      </c>
      <c r="C211">
        <v>0.105366378285673</v>
      </c>
      <c r="D211">
        <v>0.99999661322330002</v>
      </c>
    </row>
    <row r="212" spans="1:4">
      <c r="A212">
        <v>0.7</v>
      </c>
      <c r="B212">
        <v>1.5</v>
      </c>
      <c r="C212">
        <v>0.105171909115337</v>
      </c>
      <c r="D212">
        <v>0.99999683172193199</v>
      </c>
    </row>
    <row r="213" spans="1:4">
      <c r="A213">
        <v>0.7</v>
      </c>
      <c r="B213">
        <v>2</v>
      </c>
      <c r="C213">
        <v>0.105051270840764</v>
      </c>
      <c r="D213">
        <v>0.99999685464862498</v>
      </c>
    </row>
    <row r="214" spans="1:4">
      <c r="A214">
        <v>0.7</v>
      </c>
      <c r="B214">
        <v>2.5</v>
      </c>
      <c r="C214">
        <v>0.104974176115896</v>
      </c>
      <c r="D214">
        <v>0.99999687938845205</v>
      </c>
    </row>
    <row r="215" spans="1:4">
      <c r="A215">
        <v>0.7</v>
      </c>
      <c r="B215">
        <v>3</v>
      </c>
      <c r="C215">
        <v>0.104922522199018</v>
      </c>
      <c r="D215">
        <v>0.99999691899949295</v>
      </c>
    </row>
    <row r="216" spans="1:4">
      <c r="A216">
        <v>0.8</v>
      </c>
      <c r="B216">
        <v>1</v>
      </c>
      <c r="C216">
        <v>9.8702083070578303E-2</v>
      </c>
      <c r="D216">
        <v>0.99999506691183304</v>
      </c>
    </row>
    <row r="217" spans="1:4">
      <c r="A217">
        <v>0.8</v>
      </c>
      <c r="B217">
        <v>1.5</v>
      </c>
      <c r="C217">
        <v>9.8898002444286204E-2</v>
      </c>
      <c r="D217">
        <v>0.99999715101245001</v>
      </c>
    </row>
    <row r="218" spans="1:4">
      <c r="A218">
        <v>0.8</v>
      </c>
      <c r="B218">
        <v>2</v>
      </c>
      <c r="C218">
        <v>9.89435611926959E-2</v>
      </c>
      <c r="D218">
        <v>0.99999809241058302</v>
      </c>
    </row>
    <row r="219" spans="1:4">
      <c r="A219">
        <v>0.8</v>
      </c>
      <c r="B219">
        <v>2.5</v>
      </c>
      <c r="C219">
        <v>9.8934949752049403E-2</v>
      </c>
      <c r="D219">
        <v>0.99999858207225201</v>
      </c>
    </row>
    <row r="220" spans="1:4">
      <c r="A220">
        <v>0.8</v>
      </c>
      <c r="B220">
        <v>3</v>
      </c>
      <c r="C220">
        <v>9.8904851471752903E-2</v>
      </c>
      <c r="D220">
        <v>0.99999885511465203</v>
      </c>
    </row>
    <row r="221" spans="1:4">
      <c r="A221">
        <v>0.9</v>
      </c>
      <c r="B221">
        <v>1</v>
      </c>
      <c r="C221">
        <v>9.1055682079145397E-2</v>
      </c>
      <c r="D221">
        <v>0.99999708295457601</v>
      </c>
    </row>
    <row r="222" spans="1:4">
      <c r="A222">
        <v>0.9</v>
      </c>
      <c r="B222">
        <v>1.5</v>
      </c>
      <c r="C222">
        <v>9.1662309041246698E-2</v>
      </c>
      <c r="D222">
        <v>0.99999789404508699</v>
      </c>
    </row>
    <row r="223" spans="1:4">
      <c r="A223">
        <v>0.9</v>
      </c>
      <c r="B223">
        <v>2</v>
      </c>
      <c r="C223">
        <v>9.1999566082813705E-2</v>
      </c>
      <c r="D223">
        <v>0.99999842564547203</v>
      </c>
    </row>
    <row r="224" spans="1:4">
      <c r="A224">
        <v>0.9</v>
      </c>
      <c r="B224">
        <v>2.5</v>
      </c>
      <c r="C224">
        <v>9.2210737843797505E-2</v>
      </c>
      <c r="D224">
        <v>0.99999878491994099</v>
      </c>
    </row>
    <row r="225" spans="1:4">
      <c r="A225">
        <v>0.9</v>
      </c>
      <c r="B225">
        <v>3</v>
      </c>
      <c r="C225">
        <v>9.2352703992848395E-2</v>
      </c>
      <c r="D225">
        <v>0.99999903812949298</v>
      </c>
    </row>
    <row r="226" spans="1:4">
      <c r="A226">
        <v>0.5</v>
      </c>
      <c r="B226">
        <v>1</v>
      </c>
      <c r="C226">
        <v>0.119580057869116</v>
      </c>
      <c r="D226">
        <v>0.99998864891817496</v>
      </c>
    </row>
    <row r="227" spans="1:4">
      <c r="A227">
        <v>0.5</v>
      </c>
      <c r="B227">
        <v>1.5</v>
      </c>
      <c r="C227">
        <v>0.119577541081544</v>
      </c>
      <c r="D227">
        <v>0.99998947428649998</v>
      </c>
    </row>
    <row r="228" spans="1:4">
      <c r="A228">
        <v>0.5</v>
      </c>
      <c r="B228">
        <v>2</v>
      </c>
      <c r="C228">
        <v>0.119576643264644</v>
      </c>
      <c r="D228">
        <v>0.99998995448349903</v>
      </c>
    </row>
    <row r="229" spans="1:4">
      <c r="A229">
        <v>0.5</v>
      </c>
      <c r="B229">
        <v>2.5</v>
      </c>
      <c r="C229">
        <v>0.119576223677406</v>
      </c>
      <c r="D229">
        <v>0.99999027607286795</v>
      </c>
    </row>
    <row r="230" spans="1:4">
      <c r="A230">
        <v>0.5</v>
      </c>
      <c r="B230">
        <v>3</v>
      </c>
      <c r="C230">
        <v>0.11957599423121799</v>
      </c>
      <c r="D230">
        <v>0.99999050975100601</v>
      </c>
    </row>
    <row r="231" spans="1:4">
      <c r="A231">
        <v>0.6</v>
      </c>
      <c r="B231">
        <v>1</v>
      </c>
      <c r="C231">
        <v>0.11204422827921599</v>
      </c>
      <c r="D231">
        <v>0.99999251906578301</v>
      </c>
    </row>
    <row r="232" spans="1:4">
      <c r="A232">
        <v>0.6</v>
      </c>
      <c r="B232">
        <v>1.5</v>
      </c>
      <c r="C232">
        <v>0.111991544145017</v>
      </c>
      <c r="D232">
        <v>0.99999317426892198</v>
      </c>
    </row>
    <row r="233" spans="1:4">
      <c r="A233">
        <v>0.6</v>
      </c>
      <c r="B233">
        <v>2</v>
      </c>
      <c r="C233">
        <v>0.111970435648396</v>
      </c>
      <c r="D233">
        <v>0.99999362434132699</v>
      </c>
    </row>
    <row r="234" spans="1:4">
      <c r="A234">
        <v>0.6</v>
      </c>
      <c r="B234">
        <v>2.5</v>
      </c>
      <c r="C234">
        <v>0.11195993118637</v>
      </c>
      <c r="D234">
        <v>0.99999394580152601</v>
      </c>
    </row>
    <row r="235" spans="1:4">
      <c r="A235">
        <v>0.6</v>
      </c>
      <c r="B235">
        <v>3</v>
      </c>
      <c r="C235">
        <v>0.111953960198428</v>
      </c>
      <c r="D235">
        <v>0.999994186337826</v>
      </c>
    </row>
    <row r="236" spans="1:4">
      <c r="A236">
        <v>0.7</v>
      </c>
      <c r="B236">
        <v>1</v>
      </c>
      <c r="C236">
        <v>0.10558549669759699</v>
      </c>
      <c r="D236">
        <v>0.999996981972329</v>
      </c>
    </row>
    <row r="237" spans="1:4">
      <c r="A237">
        <v>0.7</v>
      </c>
      <c r="B237">
        <v>1.5</v>
      </c>
      <c r="C237">
        <v>0.105376986000914</v>
      </c>
      <c r="D237">
        <v>0.99999714198075396</v>
      </c>
    </row>
    <row r="238" spans="1:4">
      <c r="A238">
        <v>0.7</v>
      </c>
      <c r="B238">
        <v>2</v>
      </c>
      <c r="C238">
        <v>0.105237833530678</v>
      </c>
      <c r="D238">
        <v>0.99999707133627103</v>
      </c>
    </row>
    <row r="239" spans="1:4">
      <c r="A239">
        <v>0.7</v>
      </c>
      <c r="B239">
        <v>2.5</v>
      </c>
      <c r="C239">
        <v>0.105144961609575</v>
      </c>
      <c r="D239">
        <v>0.99999701806937003</v>
      </c>
    </row>
    <row r="240" spans="1:4">
      <c r="A240">
        <v>0.7</v>
      </c>
      <c r="B240">
        <v>3</v>
      </c>
      <c r="C240">
        <v>0.105080866465947</v>
      </c>
      <c r="D240">
        <v>0.99999700010042303</v>
      </c>
    </row>
    <row r="241" spans="1:4">
      <c r="A241">
        <v>0.8</v>
      </c>
      <c r="B241">
        <v>1</v>
      </c>
      <c r="C241">
        <v>9.8784866587854001E-2</v>
      </c>
      <c r="D241">
        <v>0.99999509759247296</v>
      </c>
    </row>
    <row r="242" spans="1:4">
      <c r="A242">
        <v>0.8</v>
      </c>
      <c r="B242">
        <v>1.5</v>
      </c>
      <c r="C242">
        <v>9.9004642263644999E-2</v>
      </c>
      <c r="D242">
        <v>0.99999718007352401</v>
      </c>
    </row>
    <row r="243" spans="1:4">
      <c r="A243">
        <v>0.8</v>
      </c>
      <c r="B243">
        <v>2</v>
      </c>
      <c r="C243">
        <v>9.9067757418417293E-2</v>
      </c>
      <c r="D243">
        <v>0.99999813120908898</v>
      </c>
    </row>
    <row r="244" spans="1:4">
      <c r="A244">
        <v>0.8</v>
      </c>
      <c r="B244">
        <v>2.5</v>
      </c>
      <c r="C244">
        <v>9.9071453626899494E-2</v>
      </c>
      <c r="D244">
        <v>0.99999863426873004</v>
      </c>
    </row>
    <row r="245" spans="1:4">
      <c r="A245">
        <v>0.8</v>
      </c>
      <c r="B245">
        <v>3</v>
      </c>
      <c r="C245">
        <v>9.9049564582985805E-2</v>
      </c>
      <c r="D245">
        <v>0.99999891994452095</v>
      </c>
    </row>
    <row r="246" spans="1:4">
      <c r="A246">
        <v>0.9</v>
      </c>
      <c r="B246">
        <v>1</v>
      </c>
      <c r="C246">
        <v>9.1072942280591804E-2</v>
      </c>
      <c r="D246">
        <v>0.99999707604778898</v>
      </c>
    </row>
    <row r="247" spans="1:4">
      <c r="A247">
        <v>0.9</v>
      </c>
      <c r="B247">
        <v>1.5</v>
      </c>
      <c r="C247">
        <v>9.1685642442310894E-2</v>
      </c>
      <c r="D247">
        <v>0.99999788773948795</v>
      </c>
    </row>
    <row r="248" spans="1:4">
      <c r="A248">
        <v>0.9</v>
      </c>
      <c r="B248">
        <v>2</v>
      </c>
      <c r="C248">
        <v>9.2028114805002101E-2</v>
      </c>
      <c r="D248">
        <v>0.99999841944252799</v>
      </c>
    </row>
    <row r="249" spans="1:4">
      <c r="A249">
        <v>0.9</v>
      </c>
      <c r="B249">
        <v>2.5</v>
      </c>
      <c r="C249">
        <v>9.2243913148571804E-2</v>
      </c>
      <c r="D249">
        <v>0.99999877858333497</v>
      </c>
    </row>
    <row r="250" spans="1:4">
      <c r="A250">
        <v>0.9</v>
      </c>
      <c r="B250">
        <v>3</v>
      </c>
      <c r="C250">
        <v>9.2390055766581394E-2</v>
      </c>
      <c r="D250">
        <v>0.99999903160036696</v>
      </c>
    </row>
    <row r="251" spans="1:4">
      <c r="A251">
        <v>0.5</v>
      </c>
      <c r="B251">
        <v>1</v>
      </c>
      <c r="C251">
        <v>0.119718384611452</v>
      </c>
      <c r="D251">
        <v>0.999988639330328</v>
      </c>
    </row>
    <row r="252" spans="1:4">
      <c r="A252">
        <v>0.5</v>
      </c>
      <c r="B252">
        <v>1.5</v>
      </c>
      <c r="C252">
        <v>0.119714934678802</v>
      </c>
      <c r="D252">
        <v>0.99998951027271699</v>
      </c>
    </row>
    <row r="253" spans="1:4">
      <c r="A253">
        <v>0.5</v>
      </c>
      <c r="B253">
        <v>2</v>
      </c>
      <c r="C253">
        <v>0.119713699918959</v>
      </c>
      <c r="D253">
        <v>0.99999001807736998</v>
      </c>
    </row>
    <row r="254" spans="1:4">
      <c r="A254">
        <v>0.5</v>
      </c>
      <c r="B254">
        <v>2.5</v>
      </c>
      <c r="C254">
        <v>0.11971312164600401</v>
      </c>
      <c r="D254">
        <v>0.99999035851942497</v>
      </c>
    </row>
    <row r="255" spans="1:4">
      <c r="A255">
        <v>0.5</v>
      </c>
      <c r="B255">
        <v>3</v>
      </c>
      <c r="C255">
        <v>0.11971280535659699</v>
      </c>
      <c r="D255">
        <v>0.999990606125301</v>
      </c>
    </row>
    <row r="256" spans="1:4">
      <c r="A256">
        <v>0.6</v>
      </c>
      <c r="B256">
        <v>1</v>
      </c>
      <c r="C256">
        <v>0.11218056284325401</v>
      </c>
      <c r="D256">
        <v>0.99999249712490101</v>
      </c>
    </row>
    <row r="257" spans="1:4">
      <c r="A257">
        <v>0.6</v>
      </c>
      <c r="B257">
        <v>1.5</v>
      </c>
      <c r="C257">
        <v>0.11211259399266101</v>
      </c>
      <c r="D257">
        <v>0.99999307859616804</v>
      </c>
    </row>
    <row r="258" spans="1:4">
      <c r="A258">
        <v>0.6</v>
      </c>
      <c r="B258">
        <v>2</v>
      </c>
      <c r="C258">
        <v>0.112084811225205</v>
      </c>
      <c r="D258">
        <v>0.99999351841951101</v>
      </c>
    </row>
    <row r="259" spans="1:4">
      <c r="A259">
        <v>0.6</v>
      </c>
      <c r="B259">
        <v>2.5</v>
      </c>
      <c r="C259">
        <v>0.11207083193193</v>
      </c>
      <c r="D259">
        <v>0.99999384496826704</v>
      </c>
    </row>
    <row r="260" spans="1:4">
      <c r="A260">
        <v>0.6</v>
      </c>
      <c r="B260">
        <v>3</v>
      </c>
      <c r="C260">
        <v>0.112062829077618</v>
      </c>
      <c r="D260">
        <v>0.99999409435140996</v>
      </c>
    </row>
    <row r="261" spans="1:4">
      <c r="A261">
        <v>0.7</v>
      </c>
      <c r="B261">
        <v>1</v>
      </c>
      <c r="C261">
        <v>0.105760327329381</v>
      </c>
      <c r="D261">
        <v>0.99999726619853202</v>
      </c>
    </row>
    <row r="262" spans="1:4">
      <c r="A262">
        <v>0.7</v>
      </c>
      <c r="B262">
        <v>1.5</v>
      </c>
      <c r="C262">
        <v>0.105546863144046</v>
      </c>
      <c r="D262">
        <v>0.99999741777506301</v>
      </c>
    </row>
    <row r="263" spans="1:4">
      <c r="A263">
        <v>0.7</v>
      </c>
      <c r="B263">
        <v>2</v>
      </c>
      <c r="C263">
        <v>0.105394333318255</v>
      </c>
      <c r="D263">
        <v>0.99999728155032197</v>
      </c>
    </row>
    <row r="264" spans="1:4">
      <c r="A264">
        <v>0.7</v>
      </c>
      <c r="B264">
        <v>2.5</v>
      </c>
      <c r="C264">
        <v>0.105288348782867</v>
      </c>
      <c r="D264">
        <v>0.99999716181329801</v>
      </c>
    </row>
    <row r="265" spans="1:4">
      <c r="A265">
        <v>0.7</v>
      </c>
      <c r="B265">
        <v>3</v>
      </c>
      <c r="C265">
        <v>0.10521315810081799</v>
      </c>
      <c r="D265">
        <v>0.99999708966185297</v>
      </c>
    </row>
    <row r="266" spans="1:4">
      <c r="A266">
        <v>0.8</v>
      </c>
      <c r="B266">
        <v>1</v>
      </c>
      <c r="C266">
        <v>9.8843747749170999E-2</v>
      </c>
      <c r="D266">
        <v>0.99999512158597603</v>
      </c>
    </row>
    <row r="267" spans="1:4">
      <c r="A267">
        <v>0.8</v>
      </c>
      <c r="B267">
        <v>1.5</v>
      </c>
      <c r="C267">
        <v>9.9081870322422397E-2</v>
      </c>
      <c r="D267">
        <v>0.99999719865910497</v>
      </c>
    </row>
    <row r="268" spans="1:4">
      <c r="A268">
        <v>0.8</v>
      </c>
      <c r="B268">
        <v>2</v>
      </c>
      <c r="C268">
        <v>9.9159514385470701E-2</v>
      </c>
      <c r="D268">
        <v>0.99999815401377701</v>
      </c>
    </row>
    <row r="269" spans="1:4">
      <c r="A269">
        <v>0.8</v>
      </c>
      <c r="B269">
        <v>2.5</v>
      </c>
      <c r="C269">
        <v>9.9174245016172002E-2</v>
      </c>
      <c r="D269">
        <v>0.99999866601354404</v>
      </c>
    </row>
    <row r="270" spans="1:4">
      <c r="A270">
        <v>0.8</v>
      </c>
      <c r="B270">
        <v>3</v>
      </c>
      <c r="C270">
        <v>9.91604375681122E-2</v>
      </c>
      <c r="D270">
        <v>0.99999896176934899</v>
      </c>
    </row>
    <row r="271" spans="1:4">
      <c r="A271">
        <v>0.9</v>
      </c>
      <c r="B271">
        <v>1</v>
      </c>
      <c r="C271">
        <v>9.10853420281246E-2</v>
      </c>
      <c r="D271">
        <v>0.99999707104733704</v>
      </c>
    </row>
    <row r="272" spans="1:4">
      <c r="A272">
        <v>0.9</v>
      </c>
      <c r="B272">
        <v>1.5</v>
      </c>
      <c r="C272">
        <v>9.1702455483290299E-2</v>
      </c>
      <c r="D272">
        <v>0.99999788311159699</v>
      </c>
    </row>
    <row r="273" spans="1:4">
      <c r="A273">
        <v>0.9</v>
      </c>
      <c r="B273">
        <v>2</v>
      </c>
      <c r="C273">
        <v>9.2048752168658501E-2</v>
      </c>
      <c r="D273">
        <v>0.99999841481624996</v>
      </c>
    </row>
    <row r="274" spans="1:4">
      <c r="A274">
        <v>0.9</v>
      </c>
      <c r="B274">
        <v>2.5</v>
      </c>
      <c r="C274">
        <v>9.2267976368833798E-2</v>
      </c>
      <c r="D274">
        <v>0.99999877378055702</v>
      </c>
    </row>
    <row r="275" spans="1:4">
      <c r="A275">
        <v>0.9</v>
      </c>
      <c r="B275">
        <v>3</v>
      </c>
      <c r="C275">
        <v>9.2417243627365697E-2</v>
      </c>
      <c r="D275">
        <v>0.99999902657460005</v>
      </c>
    </row>
    <row r="276" spans="1:4">
      <c r="A276">
        <v>0.5</v>
      </c>
      <c r="B276">
        <v>1</v>
      </c>
      <c r="C276">
        <v>0.119824024179268</v>
      </c>
      <c r="D276">
        <v>0.99998853850754099</v>
      </c>
    </row>
    <row r="277" spans="1:4">
      <c r="A277">
        <v>0.5</v>
      </c>
      <c r="B277">
        <v>1.5</v>
      </c>
      <c r="C277">
        <v>0.119819505956526</v>
      </c>
      <c r="D277">
        <v>0.99998945591320798</v>
      </c>
    </row>
    <row r="278" spans="1:4">
      <c r="A278">
        <v>0.5</v>
      </c>
      <c r="B278">
        <v>2</v>
      </c>
      <c r="C278">
        <v>0.11981788358182199</v>
      </c>
      <c r="D278">
        <v>0.99998999218481699</v>
      </c>
    </row>
    <row r="279" spans="1:4">
      <c r="A279">
        <v>0.5</v>
      </c>
      <c r="B279">
        <v>2.5</v>
      </c>
      <c r="C279">
        <v>0.11981712267413799</v>
      </c>
      <c r="D279">
        <v>0.99999035209337905</v>
      </c>
    </row>
    <row r="280" spans="1:4">
      <c r="A280">
        <v>0.5</v>
      </c>
      <c r="B280">
        <v>3</v>
      </c>
      <c r="C280">
        <v>0.119816705848101</v>
      </c>
      <c r="D280">
        <v>0.99999061405114198</v>
      </c>
    </row>
    <row r="281" spans="1:4">
      <c r="A281">
        <v>0.6</v>
      </c>
      <c r="B281">
        <v>1</v>
      </c>
      <c r="C281">
        <v>0.11229429402597001</v>
      </c>
      <c r="D281">
        <v>0.999992480020921</v>
      </c>
    </row>
    <row r="282" spans="1:4">
      <c r="A282">
        <v>0.6</v>
      </c>
      <c r="B282">
        <v>1.5</v>
      </c>
      <c r="C282">
        <v>0.11221042066975399</v>
      </c>
      <c r="D282">
        <v>0.99999296980950003</v>
      </c>
    </row>
    <row r="283" spans="1:4">
      <c r="A283">
        <v>0.6</v>
      </c>
      <c r="B283">
        <v>2</v>
      </c>
      <c r="C283">
        <v>0.112175459279066</v>
      </c>
      <c r="D283">
        <v>0.99999339057515502</v>
      </c>
    </row>
    <row r="284" spans="1:4">
      <c r="A284">
        <v>0.6</v>
      </c>
      <c r="B284">
        <v>2.5</v>
      </c>
      <c r="C284">
        <v>0.11215767689231</v>
      </c>
      <c r="D284">
        <v>0.99999371769574497</v>
      </c>
    </row>
    <row r="285" spans="1:4">
      <c r="A285">
        <v>0.6</v>
      </c>
      <c r="B285">
        <v>3</v>
      </c>
      <c r="C285">
        <v>0.112147425869942</v>
      </c>
      <c r="D285">
        <v>0.99999397340754004</v>
      </c>
    </row>
    <row r="286" spans="1:4">
      <c r="A286">
        <v>0.7</v>
      </c>
      <c r="B286">
        <v>1</v>
      </c>
      <c r="C286">
        <v>0.10590261390559901</v>
      </c>
      <c r="D286">
        <v>0.99999748466359695</v>
      </c>
    </row>
    <row r="287" spans="1:4">
      <c r="A287">
        <v>0.7</v>
      </c>
      <c r="B287">
        <v>1.5</v>
      </c>
      <c r="C287">
        <v>0.105690856710284</v>
      </c>
      <c r="D287">
        <v>0.999997661764913</v>
      </c>
    </row>
    <row r="288" spans="1:4">
      <c r="A288">
        <v>0.7</v>
      </c>
      <c r="B288">
        <v>2</v>
      </c>
      <c r="C288">
        <v>0.10552940600196301</v>
      </c>
      <c r="D288">
        <v>0.99999748538395905</v>
      </c>
    </row>
    <row r="289" spans="1:4">
      <c r="A289">
        <v>0.7</v>
      </c>
      <c r="B289">
        <v>2.5</v>
      </c>
      <c r="C289">
        <v>0.10541291210368101</v>
      </c>
      <c r="D289">
        <v>0.99999731233711397</v>
      </c>
    </row>
    <row r="290" spans="1:4">
      <c r="A290">
        <v>0.7</v>
      </c>
      <c r="B290">
        <v>3</v>
      </c>
      <c r="C290">
        <v>0.105328100978693</v>
      </c>
      <c r="D290">
        <v>0.99999719166586598</v>
      </c>
    </row>
    <row r="291" spans="1:4">
      <c r="A291">
        <v>0.8</v>
      </c>
      <c r="B291">
        <v>1</v>
      </c>
      <c r="C291">
        <v>9.8887567843237503E-2</v>
      </c>
      <c r="D291">
        <v>0.99999514145600799</v>
      </c>
    </row>
    <row r="292" spans="1:4">
      <c r="A292">
        <v>0.8</v>
      </c>
      <c r="B292">
        <v>1.5</v>
      </c>
      <c r="C292">
        <v>9.9140055088947701E-2</v>
      </c>
      <c r="D292">
        <v>0.99999721190506496</v>
      </c>
    </row>
    <row r="293" spans="1:4">
      <c r="A293">
        <v>0.8</v>
      </c>
      <c r="B293">
        <v>2</v>
      </c>
      <c r="C293">
        <v>9.9229692342629003E-2</v>
      </c>
      <c r="D293">
        <v>0.99999816828802202</v>
      </c>
    </row>
    <row r="294" spans="1:4">
      <c r="A294">
        <v>0.8</v>
      </c>
      <c r="B294">
        <v>2.5</v>
      </c>
      <c r="C294">
        <v>9.9254061223123996E-2</v>
      </c>
      <c r="D294">
        <v>0.999998685955936</v>
      </c>
    </row>
    <row r="295" spans="1:4">
      <c r="A295">
        <v>0.8</v>
      </c>
      <c r="B295">
        <v>3</v>
      </c>
      <c r="C295">
        <v>9.9247765004236002E-2</v>
      </c>
      <c r="D295">
        <v>0.99999898933426201</v>
      </c>
    </row>
    <row r="296" spans="1:4">
      <c r="A296">
        <v>0.9</v>
      </c>
      <c r="B296">
        <v>1</v>
      </c>
      <c r="C296">
        <v>9.1094680803245801E-2</v>
      </c>
      <c r="D296">
        <v>0.99999706726028903</v>
      </c>
    </row>
    <row r="297" spans="1:4">
      <c r="A297">
        <v>0.9</v>
      </c>
      <c r="B297">
        <v>1.5</v>
      </c>
      <c r="C297">
        <v>9.1715145874150902E-2</v>
      </c>
      <c r="D297">
        <v>0.99999787957240305</v>
      </c>
    </row>
    <row r="298" spans="1:4">
      <c r="A298">
        <v>0.9</v>
      </c>
      <c r="B298">
        <v>2</v>
      </c>
      <c r="C298">
        <v>9.2064365859059805E-2</v>
      </c>
      <c r="D298">
        <v>0.99999841123776301</v>
      </c>
    </row>
    <row r="299" spans="1:4">
      <c r="A299">
        <v>0.9</v>
      </c>
      <c r="B299">
        <v>2.5</v>
      </c>
      <c r="C299">
        <v>9.2286227374677704E-2</v>
      </c>
      <c r="D299">
        <v>0.99999877002301896</v>
      </c>
    </row>
    <row r="300" spans="1:4">
      <c r="A300">
        <v>0.9</v>
      </c>
      <c r="B300">
        <v>3</v>
      </c>
      <c r="C300">
        <v>9.2437917846706893E-2</v>
      </c>
      <c r="D300">
        <v>0.99999902259948303</v>
      </c>
    </row>
    <row r="301" spans="1:4">
      <c r="A301">
        <v>0.5</v>
      </c>
      <c r="B301">
        <v>1</v>
      </c>
      <c r="C301">
        <v>0.118841736954961</v>
      </c>
      <c r="D301">
        <v>0.99998725376588204</v>
      </c>
    </row>
    <row r="302" spans="1:4">
      <c r="A302">
        <v>0.5</v>
      </c>
      <c r="B302">
        <v>1.5</v>
      </c>
      <c r="C302">
        <v>0.11884101371867301</v>
      </c>
      <c r="D302">
        <v>0.99998799256909998</v>
      </c>
    </row>
    <row r="303" spans="1:4">
      <c r="A303">
        <v>0.5</v>
      </c>
      <c r="B303">
        <v>2</v>
      </c>
      <c r="C303">
        <v>0.11884075780905801</v>
      </c>
      <c r="D303">
        <v>0.99998842007603095</v>
      </c>
    </row>
    <row r="304" spans="1:4">
      <c r="A304">
        <v>0.5</v>
      </c>
      <c r="B304">
        <v>2.5</v>
      </c>
      <c r="C304">
        <v>0.11884063871784201</v>
      </c>
      <c r="D304">
        <v>0.99998870484843405</v>
      </c>
    </row>
    <row r="305" spans="1:4">
      <c r="A305">
        <v>0.5</v>
      </c>
      <c r="B305">
        <v>3</v>
      </c>
      <c r="C305">
        <v>0.118840573940452</v>
      </c>
      <c r="D305">
        <v>0.99998891049216898</v>
      </c>
    </row>
    <row r="306" spans="1:4">
      <c r="A306">
        <v>0.6</v>
      </c>
      <c r="B306">
        <v>1</v>
      </c>
      <c r="C306">
        <v>0.111416676512306</v>
      </c>
      <c r="D306">
        <v>0.99999213501800099</v>
      </c>
    </row>
    <row r="307" spans="1:4">
      <c r="A307">
        <v>0.6</v>
      </c>
      <c r="B307">
        <v>1.5</v>
      </c>
      <c r="C307">
        <v>0.11139873954160801</v>
      </c>
      <c r="D307">
        <v>0.99999290014687603</v>
      </c>
    </row>
    <row r="308" spans="1:4">
      <c r="A308">
        <v>0.6</v>
      </c>
      <c r="B308">
        <v>2</v>
      </c>
      <c r="C308">
        <v>0.11139194247698</v>
      </c>
      <c r="D308">
        <v>0.99999334567278098</v>
      </c>
    </row>
    <row r="309" spans="1:4">
      <c r="A309">
        <v>0.6</v>
      </c>
      <c r="B309">
        <v>2.5</v>
      </c>
      <c r="C309">
        <v>0.111388661094692</v>
      </c>
      <c r="D309">
        <v>0.99999364105023403</v>
      </c>
    </row>
    <row r="310" spans="1:4">
      <c r="A310">
        <v>0.6</v>
      </c>
      <c r="B310">
        <v>3</v>
      </c>
      <c r="C310">
        <v>0.111386831351935</v>
      </c>
      <c r="D310">
        <v>0.99999385297251397</v>
      </c>
    </row>
    <row r="311" spans="1:4">
      <c r="A311">
        <v>0.7</v>
      </c>
      <c r="B311">
        <v>1</v>
      </c>
      <c r="C311">
        <v>0.104839571456197</v>
      </c>
      <c r="D311">
        <v>0.99999571946753396</v>
      </c>
    </row>
    <row r="312" spans="1:4">
      <c r="A312">
        <v>0.7</v>
      </c>
      <c r="B312">
        <v>1.5</v>
      </c>
      <c r="C312">
        <v>0.104695981927913</v>
      </c>
      <c r="D312">
        <v>0.99999618918718802</v>
      </c>
    </row>
    <row r="313" spans="1:4">
      <c r="A313">
        <v>0.7</v>
      </c>
      <c r="B313">
        <v>2</v>
      </c>
      <c r="C313">
        <v>0.104618304155373</v>
      </c>
      <c r="D313">
        <v>0.99999642487941598</v>
      </c>
    </row>
    <row r="314" spans="1:4">
      <c r="A314">
        <v>0.7</v>
      </c>
      <c r="B314">
        <v>2.5</v>
      </c>
      <c r="C314">
        <v>0.104572538765102</v>
      </c>
      <c r="D314">
        <v>0.99999659319286405</v>
      </c>
    </row>
    <row r="315" spans="1:4">
      <c r="A315">
        <v>0.7</v>
      </c>
      <c r="B315">
        <v>3</v>
      </c>
      <c r="C315">
        <v>0.10454351476874001</v>
      </c>
      <c r="D315">
        <v>0.99999672644916904</v>
      </c>
    </row>
    <row r="316" spans="1:4">
      <c r="A316">
        <v>0.8</v>
      </c>
      <c r="B316">
        <v>1</v>
      </c>
      <c r="C316">
        <v>9.8456388289881194E-2</v>
      </c>
      <c r="D316">
        <v>0.99999497860941899</v>
      </c>
    </row>
    <row r="317" spans="1:4">
      <c r="A317">
        <v>0.8</v>
      </c>
      <c r="B317">
        <v>1.5</v>
      </c>
      <c r="C317">
        <v>9.8594475684062793E-2</v>
      </c>
      <c r="D317">
        <v>0.99999703806574902</v>
      </c>
    </row>
    <row r="318" spans="1:4">
      <c r="A318">
        <v>0.8</v>
      </c>
      <c r="B318">
        <v>2</v>
      </c>
      <c r="C318">
        <v>9.8604086095153795E-2</v>
      </c>
      <c r="D318">
        <v>0.999997940628782</v>
      </c>
    </row>
    <row r="319" spans="1:4">
      <c r="A319">
        <v>0.8</v>
      </c>
      <c r="B319">
        <v>2.5</v>
      </c>
      <c r="C319">
        <v>9.8574826131621898E-2</v>
      </c>
      <c r="D319">
        <v>0.999998396670708</v>
      </c>
    </row>
    <row r="320" spans="1:4">
      <c r="A320">
        <v>0.8</v>
      </c>
      <c r="B320">
        <v>3</v>
      </c>
      <c r="C320">
        <v>9.8534362590309899E-2</v>
      </c>
      <c r="D320">
        <v>0.99999864716581399</v>
      </c>
    </row>
    <row r="321" spans="1:4">
      <c r="A321">
        <v>0.9</v>
      </c>
      <c r="B321">
        <v>1</v>
      </c>
      <c r="C321">
        <v>9.1004590594588805E-2</v>
      </c>
      <c r="D321">
        <v>0.99999710302174305</v>
      </c>
    </row>
    <row r="322" spans="1:4">
      <c r="A322">
        <v>0.9</v>
      </c>
      <c r="B322">
        <v>1.5</v>
      </c>
      <c r="C322">
        <v>9.1593719172903196E-2</v>
      </c>
      <c r="D322">
        <v>0.99999791177248198</v>
      </c>
    </row>
    <row r="323" spans="1:4">
      <c r="A323">
        <v>0.9</v>
      </c>
      <c r="B323">
        <v>2</v>
      </c>
      <c r="C323">
        <v>9.1916265142691495E-2</v>
      </c>
      <c r="D323">
        <v>0.99999844241377001</v>
      </c>
    </row>
    <row r="324" spans="1:4">
      <c r="A324">
        <v>0.9</v>
      </c>
      <c r="B324">
        <v>2.5</v>
      </c>
      <c r="C324">
        <v>9.2114682574023096E-2</v>
      </c>
      <c r="D324">
        <v>0.99999880138434305</v>
      </c>
    </row>
    <row r="325" spans="1:4">
      <c r="A325">
        <v>0.9</v>
      </c>
      <c r="B325">
        <v>3</v>
      </c>
      <c r="C325">
        <v>9.2245410034765496E-2</v>
      </c>
      <c r="D325">
        <v>0.999999054462687</v>
      </c>
    </row>
    <row r="326" spans="1:4">
      <c r="A326">
        <v>0.5</v>
      </c>
      <c r="B326">
        <v>1</v>
      </c>
      <c r="C326">
        <v>0.11911246967608401</v>
      </c>
      <c r="D326">
        <v>0.99998797943273499</v>
      </c>
    </row>
    <row r="327" spans="1:4">
      <c r="A327">
        <v>0.5</v>
      </c>
      <c r="B327">
        <v>1.5</v>
      </c>
      <c r="C327">
        <v>0.11911139599418701</v>
      </c>
      <c r="D327">
        <v>0.99998872984550702</v>
      </c>
    </row>
    <row r="328" spans="1:4">
      <c r="A328">
        <v>0.5</v>
      </c>
      <c r="B328">
        <v>2</v>
      </c>
      <c r="C328">
        <v>0.119111015348844</v>
      </c>
      <c r="D328">
        <v>0.99998916480391398</v>
      </c>
    </row>
    <row r="329" spans="1:4">
      <c r="A329">
        <v>0.5</v>
      </c>
      <c r="B329">
        <v>2.5</v>
      </c>
      <c r="C329">
        <v>0.119110837975727</v>
      </c>
      <c r="D329">
        <v>0.99998945516717297</v>
      </c>
    </row>
    <row r="330" spans="1:4">
      <c r="A330">
        <v>0.5</v>
      </c>
      <c r="B330">
        <v>3</v>
      </c>
      <c r="C330">
        <v>0.11911074129749</v>
      </c>
      <c r="D330">
        <v>0.99998966539502798</v>
      </c>
    </row>
    <row r="331" spans="1:4">
      <c r="A331">
        <v>0.6</v>
      </c>
      <c r="B331">
        <v>1</v>
      </c>
      <c r="C331">
        <v>0.11163607427448401</v>
      </c>
      <c r="D331">
        <v>0.99999238382217903</v>
      </c>
    </row>
    <row r="332" spans="1:4">
      <c r="A332">
        <v>0.6</v>
      </c>
      <c r="B332">
        <v>1.5</v>
      </c>
      <c r="C332">
        <v>0.111610585735478</v>
      </c>
      <c r="D332">
        <v>0.99999313039886095</v>
      </c>
    </row>
    <row r="333" spans="1:4">
      <c r="A333">
        <v>0.6</v>
      </c>
      <c r="B333">
        <v>2</v>
      </c>
      <c r="C333">
        <v>0.111600788268405</v>
      </c>
      <c r="D333">
        <v>0.99999357885246598</v>
      </c>
    </row>
    <row r="334" spans="1:4">
      <c r="A334">
        <v>0.6</v>
      </c>
      <c r="B334">
        <v>2.5</v>
      </c>
      <c r="C334">
        <v>0.111596021616512</v>
      </c>
      <c r="D334">
        <v>0.999993880641877</v>
      </c>
    </row>
    <row r="335" spans="1:4">
      <c r="A335">
        <v>0.6</v>
      </c>
      <c r="B335">
        <v>3</v>
      </c>
      <c r="C335">
        <v>0.111593350666174</v>
      </c>
      <c r="D335">
        <v>0.99999409910971404</v>
      </c>
    </row>
    <row r="336" spans="1:4">
      <c r="A336">
        <v>0.7</v>
      </c>
      <c r="B336">
        <v>1</v>
      </c>
      <c r="C336">
        <v>0.105082872523084</v>
      </c>
      <c r="D336">
        <v>0.99999613143078303</v>
      </c>
    </row>
    <row r="337" spans="1:4">
      <c r="A337">
        <v>0.7</v>
      </c>
      <c r="B337">
        <v>1.5</v>
      </c>
      <c r="C337">
        <v>0.104914269475785</v>
      </c>
      <c r="D337">
        <v>0.99999647507988798</v>
      </c>
    </row>
    <row r="338" spans="1:4">
      <c r="A338">
        <v>0.7</v>
      </c>
      <c r="B338">
        <v>2</v>
      </c>
      <c r="C338">
        <v>0.10481766301504</v>
      </c>
      <c r="D338">
        <v>0.99999661859251898</v>
      </c>
    </row>
    <row r="339" spans="1:4">
      <c r="A339">
        <v>0.7</v>
      </c>
      <c r="B339">
        <v>2.5</v>
      </c>
      <c r="C339">
        <v>0.10475877444607901</v>
      </c>
      <c r="D339">
        <v>0.99999672889004099</v>
      </c>
    </row>
    <row r="340" spans="1:4">
      <c r="A340">
        <v>0.7</v>
      </c>
      <c r="B340">
        <v>3</v>
      </c>
      <c r="C340">
        <v>0.104720562231741</v>
      </c>
      <c r="D340">
        <v>0.99999682600078799</v>
      </c>
    </row>
    <row r="341" spans="1:4">
      <c r="A341">
        <v>0.8</v>
      </c>
      <c r="B341">
        <v>1</v>
      </c>
      <c r="C341">
        <v>9.8578353808819796E-2</v>
      </c>
      <c r="D341">
        <v>0.99999502320136902</v>
      </c>
    </row>
    <row r="342" spans="1:4">
      <c r="A342">
        <v>0.8</v>
      </c>
      <c r="B342">
        <v>1.5</v>
      </c>
      <c r="C342">
        <v>9.8742814643697094E-2</v>
      </c>
      <c r="D342">
        <v>0.99999709930425196</v>
      </c>
    </row>
    <row r="343" spans="1:4">
      <c r="A343">
        <v>0.8</v>
      </c>
      <c r="B343">
        <v>2</v>
      </c>
      <c r="C343">
        <v>9.87676024947126E-2</v>
      </c>
      <c r="D343">
        <v>0.99999802181768505</v>
      </c>
    </row>
    <row r="344" spans="1:4">
      <c r="A344">
        <v>0.8</v>
      </c>
      <c r="B344">
        <v>2.5</v>
      </c>
      <c r="C344">
        <v>9.8746151515018296E-2</v>
      </c>
      <c r="D344">
        <v>0.99999849277277097</v>
      </c>
    </row>
    <row r="345" spans="1:4">
      <c r="A345">
        <v>0.8</v>
      </c>
      <c r="B345">
        <v>3</v>
      </c>
      <c r="C345">
        <v>9.8708819448332902E-2</v>
      </c>
      <c r="D345">
        <v>0.99999875168157204</v>
      </c>
    </row>
    <row r="346" spans="1:4">
      <c r="A346">
        <v>0.9</v>
      </c>
      <c r="B346">
        <v>1</v>
      </c>
      <c r="C346">
        <v>9.10300078303765E-2</v>
      </c>
      <c r="D346">
        <v>0.99999709311016205</v>
      </c>
    </row>
    <row r="347" spans="1:4">
      <c r="A347">
        <v>0.9</v>
      </c>
      <c r="B347">
        <v>1.5</v>
      </c>
      <c r="C347">
        <v>9.1627752180444999E-2</v>
      </c>
      <c r="D347">
        <v>0.999997903129065</v>
      </c>
    </row>
    <row r="348" spans="1:4">
      <c r="A348">
        <v>0.9</v>
      </c>
      <c r="B348">
        <v>2</v>
      </c>
      <c r="C348">
        <v>9.1957482049281503E-2</v>
      </c>
      <c r="D348">
        <v>0.99999843436671898</v>
      </c>
    </row>
    <row r="349" spans="1:4">
      <c r="A349">
        <v>0.9</v>
      </c>
      <c r="B349">
        <v>2.5</v>
      </c>
      <c r="C349">
        <v>9.2162071933804005E-2</v>
      </c>
      <c r="D349">
        <v>0.99999879361261901</v>
      </c>
    </row>
    <row r="350" spans="1:4">
      <c r="A350">
        <v>0.9</v>
      </c>
      <c r="B350">
        <v>3</v>
      </c>
      <c r="C350">
        <v>9.2298186185949302E-2</v>
      </c>
      <c r="D350">
        <v>0.99999904687714802</v>
      </c>
    </row>
    <row r="351" spans="1:4">
      <c r="A351">
        <v>0.5</v>
      </c>
      <c r="B351">
        <v>1</v>
      </c>
      <c r="C351">
        <v>0.119310107187279</v>
      </c>
      <c r="D351">
        <v>0.99998836985358797</v>
      </c>
    </row>
    <row r="352" spans="1:4">
      <c r="A352">
        <v>0.5</v>
      </c>
      <c r="B352">
        <v>1.5</v>
      </c>
      <c r="C352">
        <v>0.11930861684838</v>
      </c>
      <c r="D352">
        <v>0.99998914085919</v>
      </c>
    </row>
    <row r="353" spans="1:4">
      <c r="A353">
        <v>0.5</v>
      </c>
      <c r="B353">
        <v>2</v>
      </c>
      <c r="C353">
        <v>0.11930808733025799</v>
      </c>
      <c r="D353">
        <v>0.99998958832845097</v>
      </c>
    </row>
    <row r="354" spans="1:4">
      <c r="A354">
        <v>0.5</v>
      </c>
      <c r="B354">
        <v>2.5</v>
      </c>
      <c r="C354">
        <v>0.11930784042645599</v>
      </c>
      <c r="D354">
        <v>0.99998988745900197</v>
      </c>
    </row>
    <row r="355" spans="1:4">
      <c r="A355">
        <v>0.5</v>
      </c>
      <c r="B355">
        <v>3</v>
      </c>
      <c r="C355">
        <v>0.119307705627358</v>
      </c>
      <c r="D355">
        <v>0.999990104393226</v>
      </c>
    </row>
    <row r="356" spans="1:4">
      <c r="A356">
        <v>0.6</v>
      </c>
      <c r="B356">
        <v>1</v>
      </c>
      <c r="C356">
        <v>0.111802139696633</v>
      </c>
      <c r="D356">
        <v>0.99999248769923399</v>
      </c>
    </row>
    <row r="357" spans="1:4">
      <c r="A357">
        <v>0.6</v>
      </c>
      <c r="B357">
        <v>1.5</v>
      </c>
      <c r="C357">
        <v>0.111768238754059</v>
      </c>
      <c r="D357">
        <v>0.99999321143211894</v>
      </c>
    </row>
    <row r="358" spans="1:4">
      <c r="A358">
        <v>0.6</v>
      </c>
      <c r="B358">
        <v>2</v>
      </c>
      <c r="C358">
        <v>0.11175502349278001</v>
      </c>
      <c r="D358">
        <v>0.99999366281564805</v>
      </c>
    </row>
    <row r="359" spans="1:4">
      <c r="A359">
        <v>0.6</v>
      </c>
      <c r="B359">
        <v>2.5</v>
      </c>
      <c r="C359">
        <v>0.11174854494078799</v>
      </c>
      <c r="D359">
        <v>0.99999397189736805</v>
      </c>
    </row>
    <row r="360" spans="1:4">
      <c r="A360">
        <v>0.6</v>
      </c>
      <c r="B360">
        <v>3</v>
      </c>
      <c r="C360">
        <v>0.111744897065352</v>
      </c>
      <c r="D360">
        <v>0.999994197878874</v>
      </c>
    </row>
    <row r="361" spans="1:4">
      <c r="A361">
        <v>0.7</v>
      </c>
      <c r="B361">
        <v>1</v>
      </c>
      <c r="C361">
        <v>0.10528042063038499</v>
      </c>
      <c r="D361">
        <v>0.99999646713927903</v>
      </c>
    </row>
    <row r="362" spans="1:4">
      <c r="A362">
        <v>0.7</v>
      </c>
      <c r="B362">
        <v>1.5</v>
      </c>
      <c r="C362">
        <v>0.105093124749882</v>
      </c>
      <c r="D362">
        <v>0.99999671921537403</v>
      </c>
    </row>
    <row r="363" spans="1:4">
      <c r="A363">
        <v>0.7</v>
      </c>
      <c r="B363">
        <v>2</v>
      </c>
      <c r="C363">
        <v>0.104979881619788</v>
      </c>
      <c r="D363">
        <v>0.99999677953673705</v>
      </c>
    </row>
    <row r="364" spans="1:4">
      <c r="A364">
        <v>0.7</v>
      </c>
      <c r="B364">
        <v>2.5</v>
      </c>
      <c r="C364">
        <v>0.104908610277619</v>
      </c>
      <c r="D364">
        <v>0.99999683223407398</v>
      </c>
    </row>
    <row r="365" spans="1:4">
      <c r="A365">
        <v>0.7</v>
      </c>
      <c r="B365">
        <v>3</v>
      </c>
      <c r="C365">
        <v>0.10486135162058199</v>
      </c>
      <c r="D365">
        <v>0.99999689122578495</v>
      </c>
    </row>
    <row r="366" spans="1:4">
      <c r="A366">
        <v>0.8</v>
      </c>
      <c r="B366">
        <v>1</v>
      </c>
      <c r="C366">
        <v>9.8666622411516705E-2</v>
      </c>
      <c r="D366">
        <v>0.99999505431370606</v>
      </c>
    </row>
    <row r="367" spans="1:4">
      <c r="A367">
        <v>0.8</v>
      </c>
      <c r="B367">
        <v>1.5</v>
      </c>
      <c r="C367">
        <v>9.8853018947750504E-2</v>
      </c>
      <c r="D367">
        <v>0.99999713725843697</v>
      </c>
    </row>
    <row r="368" spans="1:4">
      <c r="A368">
        <v>0.8</v>
      </c>
      <c r="B368">
        <v>2</v>
      </c>
      <c r="C368">
        <v>9.8891998605190004E-2</v>
      </c>
      <c r="D368">
        <v>0.99999807359748105</v>
      </c>
    </row>
    <row r="369" spans="1:4">
      <c r="A369">
        <v>0.8</v>
      </c>
      <c r="B369">
        <v>2.5</v>
      </c>
      <c r="C369">
        <v>9.8879097842030306E-2</v>
      </c>
      <c r="D369">
        <v>0.99999855762121803</v>
      </c>
    </row>
    <row r="370" spans="1:4">
      <c r="A370">
        <v>0.8</v>
      </c>
      <c r="B370">
        <v>3</v>
      </c>
      <c r="C370">
        <v>9.8846395017041302E-2</v>
      </c>
      <c r="D370">
        <v>0.99999882600489298</v>
      </c>
    </row>
    <row r="371" spans="1:4">
      <c r="A371">
        <v>0.9</v>
      </c>
      <c r="B371">
        <v>1</v>
      </c>
      <c r="C371">
        <v>9.1048320174053302E-2</v>
      </c>
      <c r="D371">
        <v>0.99999708588117897</v>
      </c>
    </row>
    <row r="372" spans="1:4">
      <c r="A372">
        <v>0.9</v>
      </c>
      <c r="B372">
        <v>1.5</v>
      </c>
      <c r="C372">
        <v>9.1652381700654303E-2</v>
      </c>
      <c r="D372">
        <v>0.99999789668606098</v>
      </c>
    </row>
    <row r="373" spans="1:4">
      <c r="A373">
        <v>0.9</v>
      </c>
      <c r="B373">
        <v>2</v>
      </c>
      <c r="C373">
        <v>9.1987452286480906E-2</v>
      </c>
      <c r="D373">
        <v>0.99999842820776497</v>
      </c>
    </row>
    <row r="374" spans="1:4">
      <c r="A374">
        <v>0.9</v>
      </c>
      <c r="B374">
        <v>2.5</v>
      </c>
      <c r="C374">
        <v>9.2196700382016994E-2</v>
      </c>
      <c r="D374">
        <v>0.99999878750108295</v>
      </c>
    </row>
    <row r="375" spans="1:4">
      <c r="A375">
        <v>0.9</v>
      </c>
      <c r="B375">
        <v>3</v>
      </c>
      <c r="C375">
        <v>9.2336945104107199E-2</v>
      </c>
      <c r="D375">
        <v>0.999999040753483</v>
      </c>
    </row>
    <row r="376" spans="1:4">
      <c r="A376">
        <v>0.5</v>
      </c>
      <c r="B376">
        <v>1</v>
      </c>
      <c r="C376">
        <v>0.119460960906973</v>
      </c>
      <c r="D376">
        <v>0.99998856793279001</v>
      </c>
    </row>
    <row r="377" spans="1:4">
      <c r="A377">
        <v>0.5</v>
      </c>
      <c r="B377">
        <v>1.5</v>
      </c>
      <c r="C377">
        <v>0.11945898913709201</v>
      </c>
      <c r="D377">
        <v>0.999989364665957</v>
      </c>
    </row>
    <row r="378" spans="1:4">
      <c r="A378">
        <v>0.5</v>
      </c>
      <c r="B378">
        <v>2</v>
      </c>
      <c r="C378">
        <v>0.119458287317499</v>
      </c>
      <c r="D378">
        <v>0.99998982762047495</v>
      </c>
    </row>
    <row r="379" spans="1:4">
      <c r="A379">
        <v>0.5</v>
      </c>
      <c r="B379">
        <v>2.5</v>
      </c>
      <c r="C379">
        <v>0.119457959488254</v>
      </c>
      <c r="D379">
        <v>0.99999013741258302</v>
      </c>
    </row>
    <row r="380" spans="1:4">
      <c r="A380">
        <v>0.5</v>
      </c>
      <c r="B380">
        <v>3</v>
      </c>
      <c r="C380">
        <v>0.119457780520799</v>
      </c>
      <c r="D380">
        <v>0.99999036233273297</v>
      </c>
    </row>
    <row r="381" spans="1:4">
      <c r="A381">
        <v>0.6</v>
      </c>
      <c r="B381">
        <v>1</v>
      </c>
      <c r="C381">
        <v>0.11193448330512</v>
      </c>
      <c r="D381">
        <v>0.99999252015808204</v>
      </c>
    </row>
    <row r="382" spans="1:4">
      <c r="A382">
        <v>0.6</v>
      </c>
      <c r="B382">
        <v>1.5</v>
      </c>
      <c r="C382">
        <v>0.11189147014036301</v>
      </c>
      <c r="D382">
        <v>0.99999321382122797</v>
      </c>
    </row>
    <row r="383" spans="1:4">
      <c r="A383">
        <v>0.6</v>
      </c>
      <c r="B383">
        <v>2</v>
      </c>
      <c r="C383">
        <v>0.111874469325458</v>
      </c>
      <c r="D383">
        <v>0.99999366610342799</v>
      </c>
    </row>
    <row r="384" spans="1:4">
      <c r="A384">
        <v>0.6</v>
      </c>
      <c r="B384">
        <v>2.5</v>
      </c>
      <c r="C384">
        <v>0.11186607210173601</v>
      </c>
      <c r="D384">
        <v>0.99999398199943901</v>
      </c>
    </row>
    <row r="385" spans="1:4">
      <c r="A385">
        <v>0.6</v>
      </c>
      <c r="B385">
        <v>3</v>
      </c>
      <c r="C385">
        <v>0.111861320762028</v>
      </c>
      <c r="D385">
        <v>0.99999421552131396</v>
      </c>
    </row>
    <row r="386" spans="1:4">
      <c r="A386">
        <v>0.7</v>
      </c>
      <c r="B386">
        <v>1</v>
      </c>
      <c r="C386">
        <v>0.105445328884962</v>
      </c>
      <c r="D386">
        <v>0.99999674696686403</v>
      </c>
    </row>
    <row r="387" spans="1:4">
      <c r="A387">
        <v>0.7</v>
      </c>
      <c r="B387">
        <v>1.5</v>
      </c>
      <c r="C387">
        <v>0.105245002481429</v>
      </c>
      <c r="D387">
        <v>0.99999693934068401</v>
      </c>
    </row>
    <row r="388" spans="1:4">
      <c r="A388">
        <v>0.7</v>
      </c>
      <c r="B388">
        <v>2</v>
      </c>
      <c r="C388">
        <v>0.105117588303679</v>
      </c>
      <c r="D388">
        <v>0.99999692792610495</v>
      </c>
    </row>
    <row r="389" spans="1:4">
      <c r="A389">
        <v>0.7</v>
      </c>
      <c r="B389">
        <v>2.5</v>
      </c>
      <c r="C389">
        <v>0.10503494453442801</v>
      </c>
      <c r="D389">
        <v>0.99999692557157205</v>
      </c>
    </row>
    <row r="390" spans="1:4">
      <c r="A390">
        <v>0.7</v>
      </c>
      <c r="B390">
        <v>3</v>
      </c>
      <c r="C390">
        <v>0.104979009547054</v>
      </c>
      <c r="D390">
        <v>0.99999694580161003</v>
      </c>
    </row>
    <row r="391" spans="1:4">
      <c r="A391">
        <v>0.8</v>
      </c>
      <c r="B391">
        <v>1</v>
      </c>
      <c r="C391">
        <v>9.8733138308156401E-2</v>
      </c>
      <c r="D391">
        <v>0.99999507814573696</v>
      </c>
    </row>
    <row r="392" spans="1:4">
      <c r="A392">
        <v>0.8</v>
      </c>
      <c r="B392">
        <v>1.5</v>
      </c>
      <c r="C392">
        <v>9.8937739433404406E-2</v>
      </c>
      <c r="D392">
        <v>0.99999716238926195</v>
      </c>
    </row>
    <row r="393" spans="1:4">
      <c r="A393">
        <v>0.8</v>
      </c>
      <c r="B393">
        <v>2</v>
      </c>
      <c r="C393">
        <v>9.8989510950540399E-2</v>
      </c>
      <c r="D393">
        <v>0.99999810784096199</v>
      </c>
    </row>
    <row r="394" spans="1:4">
      <c r="A394">
        <v>0.8</v>
      </c>
      <c r="B394">
        <v>2.5</v>
      </c>
      <c r="C394">
        <v>9.8985117680450194E-2</v>
      </c>
      <c r="D394">
        <v>0.99999860253528505</v>
      </c>
    </row>
    <row r="395" spans="1:4">
      <c r="A395">
        <v>0.8</v>
      </c>
      <c r="B395">
        <v>3</v>
      </c>
      <c r="C395">
        <v>9.8957721476959304E-2</v>
      </c>
      <c r="D395">
        <v>0.99999888004607995</v>
      </c>
    </row>
    <row r="396" spans="1:4">
      <c r="A396">
        <v>0.9</v>
      </c>
      <c r="B396">
        <v>1</v>
      </c>
      <c r="C396">
        <v>9.1062141085466397E-2</v>
      </c>
      <c r="D396">
        <v>0.99999708037734703</v>
      </c>
    </row>
    <row r="397" spans="1:4">
      <c r="A397">
        <v>0.9</v>
      </c>
      <c r="B397">
        <v>1.5</v>
      </c>
      <c r="C397">
        <v>9.16710311919786E-2</v>
      </c>
      <c r="D397">
        <v>0.99999789170408104</v>
      </c>
    </row>
    <row r="398" spans="1:4">
      <c r="A398">
        <v>0.9</v>
      </c>
      <c r="B398">
        <v>2</v>
      </c>
      <c r="C398">
        <v>9.2010225194913503E-2</v>
      </c>
      <c r="D398">
        <v>0.99999842335641098</v>
      </c>
    </row>
    <row r="399" spans="1:4">
      <c r="A399">
        <v>0.9</v>
      </c>
      <c r="B399">
        <v>2.5</v>
      </c>
      <c r="C399">
        <v>9.2223109081136095E-2</v>
      </c>
      <c r="D399">
        <v>0.99999878259576902</v>
      </c>
    </row>
    <row r="400" spans="1:4">
      <c r="A400">
        <v>0.9</v>
      </c>
      <c r="B400">
        <v>3</v>
      </c>
      <c r="C400">
        <v>9.2366614842921094E-2</v>
      </c>
      <c r="D400">
        <v>0.99999903574874505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FB64-69BA-334C-95E1-BF14BE7642D0}">
  <dimension ref="A1:I425"/>
  <sheetViews>
    <sheetView workbookViewId="0">
      <selection activeCell="F42" sqref="F42"/>
    </sheetView>
  </sheetViews>
  <sheetFormatPr defaultColWidth="11" defaultRowHeight="15.75"/>
  <sheetData>
    <row r="1" spans="1:9">
      <c r="A1" t="s">
        <v>2</v>
      </c>
    </row>
    <row r="2" spans="1:9" ht="16.5" thickBot="1"/>
    <row r="3" spans="1:9">
      <c r="A3" s="14" t="s">
        <v>3</v>
      </c>
      <c r="B3" s="14"/>
    </row>
    <row r="4" spans="1:9">
      <c r="A4" t="s">
        <v>4</v>
      </c>
      <c r="B4">
        <v>0.99952354522325282</v>
      </c>
    </row>
    <row r="5" spans="1:9">
      <c r="A5" t="s">
        <v>5</v>
      </c>
      <c r="B5">
        <v>0.99904731745566</v>
      </c>
    </row>
    <row r="6" spans="1:9">
      <c r="A6" t="s">
        <v>6</v>
      </c>
      <c r="B6">
        <v>0.9990425180473762</v>
      </c>
    </row>
    <row r="7" spans="1:9">
      <c r="A7" t="s">
        <v>7</v>
      </c>
      <c r="B7">
        <v>3.0860331446806659E-2</v>
      </c>
    </row>
    <row r="8" spans="1:9" ht="16.5" thickBot="1">
      <c r="A8" s="12" t="s">
        <v>8</v>
      </c>
      <c r="B8" s="12">
        <v>400</v>
      </c>
    </row>
    <row r="10" spans="1:9" ht="16.5" thickBot="1">
      <c r="A10" t="s">
        <v>9</v>
      </c>
    </row>
    <row r="11" spans="1:9">
      <c r="A11" s="13"/>
      <c r="B11" s="13" t="s">
        <v>14</v>
      </c>
      <c r="C11" s="13" t="s">
        <v>15</v>
      </c>
      <c r="D11" s="13" t="s">
        <v>16</v>
      </c>
      <c r="E11" s="13" t="s">
        <v>17</v>
      </c>
      <c r="F11" s="13" t="s">
        <v>18</v>
      </c>
    </row>
    <row r="12" spans="1:9">
      <c r="A12" t="s">
        <v>10</v>
      </c>
      <c r="B12">
        <v>2</v>
      </c>
      <c r="C12">
        <v>396.48752676879928</v>
      </c>
      <c r="D12">
        <v>198.24376338439964</v>
      </c>
      <c r="E12">
        <v>208160.51862514394</v>
      </c>
      <c r="F12">
        <v>0</v>
      </c>
    </row>
    <row r="13" spans="1:9">
      <c r="A13" t="s">
        <v>11</v>
      </c>
      <c r="B13">
        <v>397</v>
      </c>
      <c r="C13">
        <v>0.3780869426316853</v>
      </c>
      <c r="D13">
        <v>9.5236005700676397E-4</v>
      </c>
    </row>
    <row r="14" spans="1:9" ht="16.5" thickBot="1">
      <c r="A14" s="12" t="s">
        <v>12</v>
      </c>
      <c r="B14" s="12">
        <v>399</v>
      </c>
      <c r="C14" s="12">
        <v>396.86561371143097</v>
      </c>
      <c r="D14" s="12"/>
      <c r="E14" s="12"/>
      <c r="F14" s="12"/>
    </row>
    <row r="15" spans="1:9" ht="16.5" thickBot="1"/>
    <row r="16" spans="1:9">
      <c r="A16" s="13"/>
      <c r="B16" s="13" t="s">
        <v>19</v>
      </c>
      <c r="C16" s="13" t="s">
        <v>7</v>
      </c>
      <c r="D16" s="13" t="s">
        <v>20</v>
      </c>
      <c r="E16" s="13" t="s">
        <v>21</v>
      </c>
      <c r="F16" s="13" t="s">
        <v>22</v>
      </c>
      <c r="G16" s="13" t="s">
        <v>23</v>
      </c>
      <c r="H16" s="13" t="s">
        <v>42</v>
      </c>
      <c r="I16" s="13" t="s">
        <v>43</v>
      </c>
    </row>
    <row r="17" spans="1:9">
      <c r="A17" t="s">
        <v>13</v>
      </c>
      <c r="B17">
        <v>16.334935100447915</v>
      </c>
      <c r="C17">
        <v>8.9308540898570474E-3</v>
      </c>
      <c r="D17">
        <v>1829.045121115553</v>
      </c>
      <c r="E17">
        <v>0</v>
      </c>
      <c r="F17">
        <v>16.317377421511871</v>
      </c>
      <c r="G17">
        <v>16.352492779383958</v>
      </c>
      <c r="H17">
        <v>16.317377421511871</v>
      </c>
      <c r="I17">
        <v>16.352492779383958</v>
      </c>
    </row>
    <row r="18" spans="1:9">
      <c r="A18" t="s">
        <v>24</v>
      </c>
      <c r="B18">
        <v>-7.039678936099385</v>
      </c>
      <c r="C18">
        <v>1.0910774817850709E-2</v>
      </c>
      <c r="D18">
        <v>-645.20430983343465</v>
      </c>
      <c r="E18">
        <v>0</v>
      </c>
      <c r="F18">
        <v>-7.0611290548974122</v>
      </c>
      <c r="G18">
        <v>-7.0182288173013578</v>
      </c>
      <c r="H18">
        <v>-7.0611290548974122</v>
      </c>
      <c r="I18">
        <v>-7.0182288173013578</v>
      </c>
    </row>
    <row r="19" spans="1:9" ht="16.5" thickBot="1">
      <c r="A19" s="12" t="s">
        <v>25</v>
      </c>
      <c r="B19" s="12">
        <v>-1.2427908493911259E-2</v>
      </c>
      <c r="C19" s="12">
        <v>2.1821549635701433E-3</v>
      </c>
      <c r="D19" s="12">
        <v>-5.695245617927343</v>
      </c>
      <c r="E19" s="12">
        <v>2.4009568022243796E-8</v>
      </c>
      <c r="F19" s="12">
        <v>-1.6717932253516664E-2</v>
      </c>
      <c r="G19" s="12">
        <v>-8.1378847343058537E-3</v>
      </c>
      <c r="H19" s="12">
        <v>-1.6717932253516664E-2</v>
      </c>
      <c r="I19" s="12">
        <v>-8.1378847343058537E-3</v>
      </c>
    </row>
    <row r="23" spans="1:9">
      <c r="A23" t="s">
        <v>26</v>
      </c>
    </row>
    <row r="24" spans="1:9" ht="16.5" thickBot="1"/>
    <row r="25" spans="1:9">
      <c r="A25" s="13" t="s">
        <v>27</v>
      </c>
      <c r="B25" s="13" t="s">
        <v>28</v>
      </c>
      <c r="C25" s="13" t="s">
        <v>29</v>
      </c>
      <c r="D25" s="13" t="s">
        <v>44</v>
      </c>
    </row>
    <row r="26" spans="1:9">
      <c r="A26">
        <v>1</v>
      </c>
      <c r="B26">
        <v>12.80266772390431</v>
      </c>
      <c r="C26">
        <v>4.9298707031189437E-2</v>
      </c>
      <c r="D26">
        <v>1.6014970291826871</v>
      </c>
    </row>
    <row r="27" spans="1:9">
      <c r="A27">
        <v>2</v>
      </c>
      <c r="B27">
        <v>12.796453769657354</v>
      </c>
      <c r="C27">
        <v>5.5510675146445365E-2</v>
      </c>
      <c r="D27">
        <v>1.8032964085389436</v>
      </c>
    </row>
    <row r="28" spans="1:9">
      <c r="A28">
        <v>3</v>
      </c>
      <c r="B28">
        <v>12.7902398154104</v>
      </c>
      <c r="C28">
        <v>6.1721901056399631E-2</v>
      </c>
      <c r="D28">
        <v>2.0050716769264296</v>
      </c>
    </row>
    <row r="29" spans="1:9">
      <c r="A29">
        <v>4</v>
      </c>
      <c r="B29">
        <v>12.784025861163444</v>
      </c>
      <c r="C29">
        <v>6.7932364899554898E-2</v>
      </c>
      <c r="D29">
        <v>2.2068221891329092</v>
      </c>
    </row>
    <row r="30" spans="1:9">
      <c r="A30">
        <v>5</v>
      </c>
      <c r="B30">
        <v>12.777811906916488</v>
      </c>
      <c r="C30">
        <v>7.4142066339010881E-2</v>
      </c>
      <c r="D30">
        <v>2.4085479342139822</v>
      </c>
    </row>
    <row r="31" spans="1:9">
      <c r="A31">
        <v>6</v>
      </c>
      <c r="B31">
        <v>12.098699830294372</v>
      </c>
      <c r="C31">
        <v>1.8153942026328806E-2</v>
      </c>
      <c r="D31">
        <v>0.58974131318954504</v>
      </c>
    </row>
    <row r="32" spans="1:9">
      <c r="A32">
        <v>7</v>
      </c>
      <c r="B32">
        <v>12.092485876047416</v>
      </c>
      <c r="C32">
        <v>2.4333820175483467E-2</v>
      </c>
      <c r="D32">
        <v>0.79049823142516318</v>
      </c>
    </row>
    <row r="33" spans="1:4">
      <c r="A33">
        <v>8</v>
      </c>
      <c r="B33">
        <v>12.086271921800462</v>
      </c>
      <c r="C33">
        <v>3.0502014959338908E-2</v>
      </c>
      <c r="D33">
        <v>0.99087560877737191</v>
      </c>
    </row>
    <row r="34" spans="1:4">
      <c r="A34">
        <v>9</v>
      </c>
      <c r="B34">
        <v>12.080057967553506</v>
      </c>
      <c r="C34">
        <v>3.6658161211393647E-2</v>
      </c>
      <c r="D34">
        <v>1.1908615826010331</v>
      </c>
    </row>
    <row r="35" spans="1:4">
      <c r="A35">
        <v>10</v>
      </c>
      <c r="B35">
        <v>12.07384401330655</v>
      </c>
      <c r="C35">
        <v>4.2802326894349818E-2</v>
      </c>
      <c r="D35">
        <v>1.3904583607038588</v>
      </c>
    </row>
    <row r="36" spans="1:4">
      <c r="A36">
        <v>11</v>
      </c>
      <c r="B36">
        <v>11.394731936684433</v>
      </c>
      <c r="C36">
        <v>2.0217776608664195E-3</v>
      </c>
      <c r="D36">
        <v>6.5678617402623027E-2</v>
      </c>
    </row>
    <row r="37" spans="1:4">
      <c r="A37">
        <v>12</v>
      </c>
      <c r="B37">
        <v>11.388517982437477</v>
      </c>
      <c r="C37">
        <v>7.7291667857224411E-3</v>
      </c>
      <c r="D37">
        <v>0.25108645623425258</v>
      </c>
    </row>
    <row r="38" spans="1:4">
      <c r="A38">
        <v>13</v>
      </c>
      <c r="B38">
        <v>11.382304028190523</v>
      </c>
      <c r="C38">
        <v>1.3298154117377337E-2</v>
      </c>
      <c r="D38">
        <v>0.43199823271469451</v>
      </c>
    </row>
    <row r="39" spans="1:4">
      <c r="A39">
        <v>14</v>
      </c>
      <c r="B39">
        <v>11.376090073943567</v>
      </c>
      <c r="C39">
        <v>1.8723169234432291E-2</v>
      </c>
      <c r="D39">
        <v>0.60823298848096674</v>
      </c>
    </row>
    <row r="40" spans="1:4">
      <c r="A40">
        <v>15</v>
      </c>
      <c r="B40">
        <v>11.369876119696611</v>
      </c>
      <c r="C40">
        <v>2.4010832274388605E-2</v>
      </c>
      <c r="D40">
        <v>0.78000578253115627</v>
      </c>
    </row>
    <row r="41" spans="1:4">
      <c r="A41">
        <v>16</v>
      </c>
      <c r="B41">
        <v>10.690764043074495</v>
      </c>
      <c r="C41">
        <v>1.3949722376604967E-2</v>
      </c>
      <c r="D41">
        <v>0.45316480470617926</v>
      </c>
    </row>
    <row r="42" spans="1:4">
      <c r="A42">
        <v>17</v>
      </c>
      <c r="B42">
        <v>10.684550088827539</v>
      </c>
      <c r="C42">
        <v>1.4560467148061917E-2</v>
      </c>
      <c r="D42">
        <v>0.4730052020711315</v>
      </c>
    </row>
    <row r="43" spans="1:4">
      <c r="A43">
        <v>18</v>
      </c>
      <c r="B43">
        <v>10.678336134580585</v>
      </c>
      <c r="C43">
        <v>1.457887494061616E-2</v>
      </c>
      <c r="D43">
        <v>0.47360318986563454</v>
      </c>
    </row>
    <row r="44" spans="1:4">
      <c r="A44">
        <v>19</v>
      </c>
      <c r="B44">
        <v>10.672122180333629</v>
      </c>
      <c r="C44">
        <v>1.392426195287122E-2</v>
      </c>
      <c r="D44">
        <v>0.45233770810615015</v>
      </c>
    </row>
    <row r="45" spans="1:4">
      <c r="A45">
        <v>20</v>
      </c>
      <c r="B45">
        <v>10.665908226086673</v>
      </c>
      <c r="C45">
        <v>1.2713729057326262E-2</v>
      </c>
      <c r="D45">
        <v>0.41301284640710706</v>
      </c>
    </row>
    <row r="46" spans="1:4">
      <c r="A46">
        <v>21</v>
      </c>
      <c r="B46">
        <v>9.9867961494645563</v>
      </c>
      <c r="C46">
        <v>6.2115704453244547E-2</v>
      </c>
      <c r="D46">
        <v>2.0178646081838392</v>
      </c>
    </row>
    <row r="47" spans="1:4">
      <c r="A47">
        <v>22</v>
      </c>
      <c r="B47">
        <v>9.9805821952176004</v>
      </c>
      <c r="C47">
        <v>4.0764681236099776E-2</v>
      </c>
      <c r="D47">
        <v>1.3242642622227385</v>
      </c>
    </row>
    <row r="48" spans="1:4">
      <c r="A48">
        <v>23</v>
      </c>
      <c r="B48">
        <v>9.9743682409706462</v>
      </c>
      <c r="C48">
        <v>2.4286039554032968E-2</v>
      </c>
      <c r="D48">
        <v>0.78894605028465037</v>
      </c>
    </row>
    <row r="49" spans="1:4">
      <c r="A49">
        <v>24</v>
      </c>
      <c r="B49">
        <v>9.9681542867236903</v>
      </c>
      <c r="C49">
        <v>1.0513432190169425E-2</v>
      </c>
      <c r="D49">
        <v>0.34153492927142454</v>
      </c>
    </row>
    <row r="50" spans="1:4">
      <c r="A50">
        <v>25</v>
      </c>
      <c r="B50">
        <v>9.9619403324767344</v>
      </c>
      <c r="C50">
        <v>-1.2281102724447379E-3</v>
      </c>
      <c r="D50">
        <v>-3.9895872960413713E-2</v>
      </c>
    </row>
    <row r="51" spans="1:4">
      <c r="A51">
        <v>26</v>
      </c>
      <c r="B51">
        <v>12.80266772390431</v>
      </c>
      <c r="C51">
        <v>4.9298717784090229E-2</v>
      </c>
      <c r="D51">
        <v>1.6014973784968924</v>
      </c>
    </row>
    <row r="52" spans="1:4">
      <c r="A52">
        <v>27</v>
      </c>
      <c r="B52">
        <v>12.796453769657354</v>
      </c>
      <c r="C52">
        <v>5.5510671027144909E-2</v>
      </c>
      <c r="D52">
        <v>1.8032962747210841</v>
      </c>
    </row>
    <row r="53" spans="1:4">
      <c r="A53">
        <v>28</v>
      </c>
      <c r="B53">
        <v>12.7902398154104</v>
      </c>
      <c r="C53">
        <v>6.1721900222899251E-2</v>
      </c>
      <c r="D53">
        <v>2.005071649849687</v>
      </c>
    </row>
    <row r="54" spans="1:4">
      <c r="A54">
        <v>29</v>
      </c>
      <c r="B54">
        <v>12.784025861163444</v>
      </c>
      <c r="C54">
        <v>6.793236347265541E-2</v>
      </c>
      <c r="D54">
        <v>2.2068221427792536</v>
      </c>
    </row>
    <row r="55" spans="1:4">
      <c r="A55">
        <v>30</v>
      </c>
      <c r="B55">
        <v>12.777811906916488</v>
      </c>
      <c r="C55">
        <v>7.4142073651211504E-2</v>
      </c>
      <c r="D55">
        <v>2.4085481717550512</v>
      </c>
    </row>
    <row r="56" spans="1:4">
      <c r="A56">
        <v>31</v>
      </c>
      <c r="B56">
        <v>12.098699830294372</v>
      </c>
      <c r="C56">
        <v>1.8153940868028684E-2</v>
      </c>
      <c r="D56">
        <v>0.58974127556149514</v>
      </c>
    </row>
    <row r="57" spans="1:4">
      <c r="A57">
        <v>32</v>
      </c>
      <c r="B57">
        <v>12.092485876047416</v>
      </c>
      <c r="C57">
        <v>2.4333811637683667E-2</v>
      </c>
      <c r="D57">
        <v>0.79049795406979539</v>
      </c>
    </row>
    <row r="58" spans="1:4">
      <c r="A58">
        <v>33</v>
      </c>
      <c r="B58">
        <v>12.086271921800462</v>
      </c>
      <c r="C58">
        <v>3.0502012745337481E-2</v>
      </c>
      <c r="D58">
        <v>0.99087553685425422</v>
      </c>
    </row>
    <row r="59" spans="1:4">
      <c r="A59">
        <v>34</v>
      </c>
      <c r="B59">
        <v>12.080057967553506</v>
      </c>
      <c r="C59">
        <v>3.6658158611095004E-2</v>
      </c>
      <c r="D59">
        <v>1.1908614981288268</v>
      </c>
    </row>
    <row r="60" spans="1:4">
      <c r="A60">
        <v>35</v>
      </c>
      <c r="B60">
        <v>12.07384401330655</v>
      </c>
      <c r="C60">
        <v>4.2802327836350074E-2</v>
      </c>
      <c r="D60">
        <v>1.3904583913052821</v>
      </c>
    </row>
    <row r="61" spans="1:4">
      <c r="A61">
        <v>36</v>
      </c>
      <c r="B61">
        <v>11.394731936684433</v>
      </c>
      <c r="C61">
        <v>2.0217632495658222E-3</v>
      </c>
      <c r="D61">
        <v>6.5678149243182687E-2</v>
      </c>
    </row>
    <row r="62" spans="1:4">
      <c r="A62">
        <v>37</v>
      </c>
      <c r="B62">
        <v>11.388517982437477</v>
      </c>
      <c r="C62">
        <v>7.7291622165223117E-3</v>
      </c>
      <c r="D62">
        <v>0.25108630780114199</v>
      </c>
    </row>
    <row r="63" spans="1:4">
      <c r="A63">
        <v>38</v>
      </c>
      <c r="B63">
        <v>11.382304028190523</v>
      </c>
      <c r="C63">
        <v>1.329815731117634E-2</v>
      </c>
      <c r="D63">
        <v>0.43199833646710356</v>
      </c>
    </row>
    <row r="64" spans="1:4">
      <c r="A64">
        <v>39</v>
      </c>
      <c r="B64">
        <v>11.376090073943567</v>
      </c>
      <c r="C64">
        <v>1.8723162977233088E-2</v>
      </c>
      <c r="D64">
        <v>0.60823278521222934</v>
      </c>
    </row>
    <row r="65" spans="1:4">
      <c r="A65">
        <v>40</v>
      </c>
      <c r="B65">
        <v>11.369876119696611</v>
      </c>
      <c r="C65">
        <v>2.4010819389488347E-2</v>
      </c>
      <c r="D65">
        <v>0.78000536395771436</v>
      </c>
    </row>
    <row r="66" spans="1:4">
      <c r="A66">
        <v>41</v>
      </c>
      <c r="B66">
        <v>10.690764043074495</v>
      </c>
      <c r="C66">
        <v>1.3949717874904621E-2</v>
      </c>
      <c r="D66">
        <v>0.4531646584658382</v>
      </c>
    </row>
    <row r="67" spans="1:4">
      <c r="A67">
        <v>42</v>
      </c>
      <c r="B67">
        <v>10.684550088827539</v>
      </c>
      <c r="C67">
        <v>1.4560466712561393E-2</v>
      </c>
      <c r="D67">
        <v>0.47300518792364493</v>
      </c>
    </row>
    <row r="68" spans="1:4">
      <c r="A68">
        <v>43</v>
      </c>
      <c r="B68">
        <v>10.678336134580585</v>
      </c>
      <c r="C68">
        <v>1.4578873239814882E-2</v>
      </c>
      <c r="D68">
        <v>0.47360313461412068</v>
      </c>
    </row>
    <row r="69" spans="1:4">
      <c r="A69">
        <v>44</v>
      </c>
      <c r="B69">
        <v>10.672122180333629</v>
      </c>
      <c r="C69">
        <v>1.3924252053170605E-2</v>
      </c>
      <c r="D69">
        <v>0.4523373865086463</v>
      </c>
    </row>
    <row r="70" spans="1:4">
      <c r="A70">
        <v>45</v>
      </c>
      <c r="B70">
        <v>10.665908226086673</v>
      </c>
      <c r="C70">
        <v>1.2713729784326944E-2</v>
      </c>
      <c r="D70">
        <v>0.413012870024145</v>
      </c>
    </row>
    <row r="71" spans="1:4">
      <c r="A71">
        <v>46</v>
      </c>
      <c r="B71">
        <v>9.9867961494645563</v>
      </c>
      <c r="C71">
        <v>6.2115704573843189E-2</v>
      </c>
      <c r="D71">
        <v>2.0178646121015555</v>
      </c>
    </row>
    <row r="72" spans="1:4">
      <c r="A72">
        <v>47</v>
      </c>
      <c r="B72">
        <v>9.9805821952176004</v>
      </c>
      <c r="C72">
        <v>4.0764670235899914E-2</v>
      </c>
      <c r="D72">
        <v>1.3242639048748799</v>
      </c>
    </row>
    <row r="73" spans="1:4">
      <c r="A73">
        <v>48</v>
      </c>
      <c r="B73">
        <v>9.9743682409706462</v>
      </c>
      <c r="C73">
        <v>2.4286033531993212E-2</v>
      </c>
      <c r="D73">
        <v>0.78894585465520362</v>
      </c>
    </row>
    <row r="74" spans="1:4">
      <c r="A74">
        <v>49</v>
      </c>
      <c r="B74">
        <v>9.9681542867236903</v>
      </c>
      <c r="C74">
        <v>1.0513431281308883E-2</v>
      </c>
      <c r="D74">
        <v>0.34153489974656381</v>
      </c>
    </row>
    <row r="75" spans="1:4">
      <c r="A75">
        <v>50</v>
      </c>
      <c r="B75">
        <v>9.9619403324767344</v>
      </c>
      <c r="C75">
        <v>-1.2281128548536913E-3</v>
      </c>
      <c r="D75">
        <v>-3.9895956851463119E-2</v>
      </c>
    </row>
    <row r="76" spans="1:4">
      <c r="A76">
        <v>51</v>
      </c>
      <c r="B76">
        <v>12.80266772390431</v>
      </c>
      <c r="C76">
        <v>4.9298713690289375E-2</v>
      </c>
      <c r="D76">
        <v>1.6014972455074024</v>
      </c>
    </row>
    <row r="77" spans="1:4">
      <c r="A77">
        <v>52</v>
      </c>
      <c r="B77">
        <v>12.796453769657354</v>
      </c>
      <c r="C77">
        <v>5.5510674692346385E-2</v>
      </c>
      <c r="D77">
        <v>1.8032963937872752</v>
      </c>
    </row>
    <row r="78" spans="1:4">
      <c r="A78">
        <v>53</v>
      </c>
      <c r="B78">
        <v>12.7902398154104</v>
      </c>
      <c r="C78">
        <v>6.1721903300700376E-2</v>
      </c>
      <c r="D78">
        <v>2.0050717498338382</v>
      </c>
    </row>
    <row r="79" spans="1:4">
      <c r="A79">
        <v>54</v>
      </c>
      <c r="B79">
        <v>12.784025861163444</v>
      </c>
      <c r="C79">
        <v>6.7932368404155952E-2</v>
      </c>
      <c r="D79">
        <v>2.2068223029819025</v>
      </c>
    </row>
    <row r="80" spans="1:4">
      <c r="A80">
        <v>55</v>
      </c>
      <c r="B80">
        <v>12.777811906916488</v>
      </c>
      <c r="C80">
        <v>7.4142068082410972E-2</v>
      </c>
      <c r="D80">
        <v>2.408547990849343</v>
      </c>
    </row>
    <row r="81" spans="1:4">
      <c r="A81">
        <v>56</v>
      </c>
      <c r="B81">
        <v>12.098699830294372</v>
      </c>
      <c r="C81">
        <v>1.8153943304628939E-2</v>
      </c>
      <c r="D81">
        <v>0.58974135471586464</v>
      </c>
    </row>
    <row r="82" spans="1:4">
      <c r="A82">
        <v>57</v>
      </c>
      <c r="B82">
        <v>12.092485876047416</v>
      </c>
      <c r="C82">
        <v>2.4333819078984575E-2</v>
      </c>
      <c r="D82">
        <v>0.79049819580476199</v>
      </c>
    </row>
    <row r="83" spans="1:4">
      <c r="A83">
        <v>58</v>
      </c>
      <c r="B83">
        <v>12.086271921800462</v>
      </c>
      <c r="C83">
        <v>3.0502021835438597E-2</v>
      </c>
      <c r="D83">
        <v>0.99087583215144981</v>
      </c>
    </row>
    <row r="84" spans="1:4">
      <c r="A84">
        <v>59</v>
      </c>
      <c r="B84">
        <v>12.080057967553506</v>
      </c>
      <c r="C84">
        <v>3.6658155270094639E-2</v>
      </c>
      <c r="D84">
        <v>1.1908613895944964</v>
      </c>
    </row>
    <row r="85" spans="1:4">
      <c r="A85">
        <v>60</v>
      </c>
      <c r="B85">
        <v>12.07384401330655</v>
      </c>
      <c r="C85">
        <v>4.2802322768450196E-2</v>
      </c>
      <c r="D85">
        <v>1.3904582266716217</v>
      </c>
    </row>
    <row r="86" spans="1:4">
      <c r="A86">
        <v>61</v>
      </c>
      <c r="B86">
        <v>11.394731936684433</v>
      </c>
      <c r="C86">
        <v>2.0217630460663827E-3</v>
      </c>
      <c r="D86">
        <v>6.5678142632385625E-2</v>
      </c>
    </row>
    <row r="87" spans="1:4">
      <c r="A87">
        <v>62</v>
      </c>
      <c r="B87">
        <v>11.388517982437477</v>
      </c>
      <c r="C87">
        <v>7.7291627518221162E-3</v>
      </c>
      <c r="D87">
        <v>0.25108632519066598</v>
      </c>
    </row>
    <row r="88" spans="1:4">
      <c r="A88">
        <v>63</v>
      </c>
      <c r="B88">
        <v>11.382304028190523</v>
      </c>
      <c r="C88">
        <v>1.3298158184376518E-2</v>
      </c>
      <c r="D88">
        <v>0.43199836483351672</v>
      </c>
    </row>
    <row r="89" spans="1:4">
      <c r="A89">
        <v>64</v>
      </c>
      <c r="B89">
        <v>11.376090073943567</v>
      </c>
      <c r="C89">
        <v>1.8723158687231845E-2</v>
      </c>
      <c r="D89">
        <v>0.60823264584905612</v>
      </c>
    </row>
    <row r="90" spans="1:4">
      <c r="A90">
        <v>65</v>
      </c>
      <c r="B90">
        <v>11.369876119696611</v>
      </c>
      <c r="C90">
        <v>2.401082576368907E-2</v>
      </c>
      <c r="D90">
        <v>0.78000557102731383</v>
      </c>
    </row>
    <row r="91" spans="1:4">
      <c r="A91">
        <v>66</v>
      </c>
      <c r="B91">
        <v>10.690764043074495</v>
      </c>
      <c r="C91">
        <v>1.3949726158704934E-2</v>
      </c>
      <c r="D91">
        <v>0.45316492756988552</v>
      </c>
    </row>
    <row r="92" spans="1:4">
      <c r="A92">
        <v>67</v>
      </c>
      <c r="B92">
        <v>10.684550088827539</v>
      </c>
      <c r="C92">
        <v>1.4560453500861215E-2</v>
      </c>
      <c r="D92">
        <v>0.47300475873391845</v>
      </c>
    </row>
    <row r="93" spans="1:4">
      <c r="A93">
        <v>68</v>
      </c>
      <c r="B93">
        <v>10.678336134580585</v>
      </c>
      <c r="C93">
        <v>1.4578885195215108E-2</v>
      </c>
      <c r="D93">
        <v>0.47360352299221614</v>
      </c>
    </row>
    <row r="94" spans="1:4">
      <c r="A94">
        <v>69</v>
      </c>
      <c r="B94">
        <v>10.672122180333629</v>
      </c>
      <c r="C94">
        <v>1.3924256479771913E-2</v>
      </c>
      <c r="D94">
        <v>0.45233753030935164</v>
      </c>
    </row>
    <row r="95" spans="1:4">
      <c r="A95">
        <v>70</v>
      </c>
      <c r="B95">
        <v>10.665908226086673</v>
      </c>
      <c r="C95">
        <v>1.2713726330527919E-2</v>
      </c>
      <c r="D95">
        <v>0.4130127578254848</v>
      </c>
    </row>
    <row r="96" spans="1:4">
      <c r="A96">
        <v>71</v>
      </c>
      <c r="B96">
        <v>9.9867961494645563</v>
      </c>
      <c r="C96">
        <v>6.2115718319244451E-2</v>
      </c>
      <c r="D96">
        <v>2.0178650586288707</v>
      </c>
    </row>
    <row r="97" spans="1:4">
      <c r="A97">
        <v>72</v>
      </c>
      <c r="B97">
        <v>9.9805821952176004</v>
      </c>
      <c r="C97">
        <v>4.0764676996499105E-2</v>
      </c>
      <c r="D97">
        <v>1.3242641244968572</v>
      </c>
    </row>
    <row r="98" spans="1:4">
      <c r="A98">
        <v>73</v>
      </c>
      <c r="B98">
        <v>9.9743682409706462</v>
      </c>
      <c r="C98">
        <v>2.428603478702307E-2</v>
      </c>
      <c r="D98">
        <v>0.78894589542557492</v>
      </c>
    </row>
    <row r="99" spans="1:4">
      <c r="A99">
        <v>74</v>
      </c>
      <c r="B99">
        <v>9.9681542867236903</v>
      </c>
      <c r="C99">
        <v>1.0513437410800464E-2</v>
      </c>
      <c r="D99">
        <v>0.34153509886664524</v>
      </c>
    </row>
    <row r="100" spans="1:4">
      <c r="A100">
        <v>75</v>
      </c>
      <c r="B100">
        <v>9.9619403324767344</v>
      </c>
      <c r="C100">
        <v>-1.2281110207243984E-3</v>
      </c>
      <c r="D100">
        <v>-3.9895897268711546E-2</v>
      </c>
    </row>
    <row r="101" spans="1:4">
      <c r="A101">
        <v>76</v>
      </c>
      <c r="B101">
        <v>12.80266772390431</v>
      </c>
      <c r="C101">
        <v>4.9298721008089075E-2</v>
      </c>
      <c r="D101">
        <v>1.6014974832303608</v>
      </c>
    </row>
    <row r="102" spans="1:4">
      <c r="A102">
        <v>77</v>
      </c>
      <c r="B102">
        <v>12.796453769657354</v>
      </c>
      <c r="C102">
        <v>5.5510672526844829E-2</v>
      </c>
      <c r="D102">
        <v>1.8032963234397039</v>
      </c>
    </row>
    <row r="103" spans="1:4">
      <c r="A103">
        <v>78</v>
      </c>
      <c r="B103">
        <v>12.7902398154104</v>
      </c>
      <c r="C103">
        <v>6.1721898528800168E-2</v>
      </c>
      <c r="D103">
        <v>2.0050715948158979</v>
      </c>
    </row>
    <row r="104" spans="1:4">
      <c r="A104">
        <v>79</v>
      </c>
      <c r="B104">
        <v>12.784025861163444</v>
      </c>
      <c r="C104">
        <v>6.7932365812655604E-2</v>
      </c>
      <c r="D104">
        <v>2.206822218795514</v>
      </c>
    </row>
    <row r="105" spans="1:4">
      <c r="A105">
        <v>80</v>
      </c>
      <c r="B105">
        <v>12.777811906916488</v>
      </c>
      <c r="C105">
        <v>7.4142073761212401E-2</v>
      </c>
      <c r="D105">
        <v>2.4085481753284941</v>
      </c>
    </row>
    <row r="106" spans="1:4">
      <c r="A106">
        <v>81</v>
      </c>
      <c r="B106">
        <v>12.098699830294372</v>
      </c>
      <c r="C106">
        <v>1.8153943979427822E-2</v>
      </c>
      <c r="D106">
        <v>0.5897413766370968</v>
      </c>
    </row>
    <row r="107" spans="1:4">
      <c r="A107">
        <v>82</v>
      </c>
      <c r="B107">
        <v>12.092485876047416</v>
      </c>
      <c r="C107">
        <v>2.4333817893184673E-2</v>
      </c>
      <c r="D107">
        <v>0.79049815728336592</v>
      </c>
    </row>
    <row r="108" spans="1:4">
      <c r="A108">
        <v>83</v>
      </c>
      <c r="B108">
        <v>12.086271921800462</v>
      </c>
      <c r="C108">
        <v>3.0502021776138477E-2</v>
      </c>
      <c r="D108">
        <v>0.9908758302250511</v>
      </c>
    </row>
    <row r="109" spans="1:4">
      <c r="A109">
        <v>84</v>
      </c>
      <c r="B109">
        <v>12.080057967553506</v>
      </c>
      <c r="C109">
        <v>3.66581586469934E-2</v>
      </c>
      <c r="D109">
        <v>1.1908614992950071</v>
      </c>
    </row>
    <row r="110" spans="1:4">
      <c r="A110">
        <v>85</v>
      </c>
      <c r="B110">
        <v>12.07384401330655</v>
      </c>
      <c r="C110">
        <v>4.2802323124250918E-2</v>
      </c>
      <c r="D110">
        <v>1.3904582382300141</v>
      </c>
    </row>
    <row r="111" spans="1:4">
      <c r="A111">
        <v>86</v>
      </c>
      <c r="B111">
        <v>11.394731936684433</v>
      </c>
      <c r="C111">
        <v>2.0217639011672617E-3</v>
      </c>
      <c r="D111">
        <v>6.5678170410832556E-2</v>
      </c>
    </row>
    <row r="112" spans="1:4">
      <c r="A112">
        <v>87</v>
      </c>
      <c r="B112">
        <v>11.388517982437477</v>
      </c>
      <c r="C112">
        <v>7.7291620995225685E-3</v>
      </c>
      <c r="D112">
        <v>0.25108630400033766</v>
      </c>
    </row>
    <row r="113" spans="1:4">
      <c r="A113">
        <v>88</v>
      </c>
      <c r="B113">
        <v>11.382304028190523</v>
      </c>
      <c r="C113">
        <v>1.3298153667076207E-2</v>
      </c>
      <c r="D113">
        <v>0.43199821808640171</v>
      </c>
    </row>
    <row r="114" spans="1:4">
      <c r="A114">
        <v>89</v>
      </c>
      <c r="B114">
        <v>11.376090073943567</v>
      </c>
      <c r="C114">
        <v>1.8723155092732924E-2</v>
      </c>
      <c r="D114">
        <v>0.6082325290796784</v>
      </c>
    </row>
    <row r="115" spans="1:4">
      <c r="A115">
        <v>90</v>
      </c>
      <c r="B115">
        <v>11.369876119696611</v>
      </c>
      <c r="C115">
        <v>2.4010825759688714E-2</v>
      </c>
      <c r="D115">
        <v>0.78000557089736</v>
      </c>
    </row>
    <row r="116" spans="1:4">
      <c r="A116">
        <v>91</v>
      </c>
      <c r="B116">
        <v>10.690764043074495</v>
      </c>
      <c r="C116">
        <v>1.3949723346904364E-2</v>
      </c>
      <c r="D116">
        <v>0.45316483622691672</v>
      </c>
    </row>
    <row r="117" spans="1:4">
      <c r="A117">
        <v>92</v>
      </c>
      <c r="B117">
        <v>10.684550088827539</v>
      </c>
      <c r="C117">
        <v>1.4560465524160904E-2</v>
      </c>
      <c r="D117">
        <v>0.47300514931776727</v>
      </c>
    </row>
    <row r="118" spans="1:4">
      <c r="A118">
        <v>93</v>
      </c>
      <c r="B118">
        <v>10.678336134580585</v>
      </c>
      <c r="C118">
        <v>1.457888842691446E-2</v>
      </c>
      <c r="D118">
        <v>0.47360362797583994</v>
      </c>
    </row>
    <row r="119" spans="1:4">
      <c r="A119">
        <v>94</v>
      </c>
      <c r="B119">
        <v>10.672122180333629</v>
      </c>
      <c r="C119">
        <v>1.3924252713870544E-2</v>
      </c>
      <c r="D119">
        <v>0.45233740797186617</v>
      </c>
    </row>
    <row r="120" spans="1:4">
      <c r="A120">
        <v>95</v>
      </c>
      <c r="B120">
        <v>10.665908226086673</v>
      </c>
      <c r="C120">
        <v>1.2713725560226763E-2</v>
      </c>
      <c r="D120">
        <v>0.41301273280180595</v>
      </c>
    </row>
    <row r="121" spans="1:4">
      <c r="A121">
        <v>96</v>
      </c>
      <c r="B121">
        <v>9.9867961494645563</v>
      </c>
      <c r="C121">
        <v>6.2115699074443143E-2</v>
      </c>
      <c r="D121">
        <v>2.0178644334503626</v>
      </c>
    </row>
    <row r="122" spans="1:4">
      <c r="A122">
        <v>97</v>
      </c>
      <c r="B122">
        <v>9.9805821952176004</v>
      </c>
      <c r="C122">
        <v>4.0764667885699879E-2</v>
      </c>
      <c r="D122">
        <v>1.3242638285272714</v>
      </c>
    </row>
    <row r="123" spans="1:4">
      <c r="A123">
        <v>98</v>
      </c>
      <c r="B123">
        <v>9.9743682409706462</v>
      </c>
      <c r="C123">
        <v>2.4286028070424237E-2</v>
      </c>
      <c r="D123">
        <v>0.78894567723297471</v>
      </c>
    </row>
    <row r="124" spans="1:4">
      <c r="A124">
        <v>99</v>
      </c>
      <c r="B124">
        <v>9.9681542867236903</v>
      </c>
      <c r="C124">
        <v>1.0513442021450103E-2</v>
      </c>
      <c r="D124">
        <v>0.34153524864626716</v>
      </c>
    </row>
    <row r="125" spans="1:4">
      <c r="A125">
        <v>100</v>
      </c>
      <c r="B125">
        <v>9.9619403324767344</v>
      </c>
      <c r="C125">
        <v>-1.2281198616950206E-3</v>
      </c>
      <c r="D125">
        <v>-3.9896184472758861E-2</v>
      </c>
    </row>
    <row r="126" spans="1:4">
      <c r="A126">
        <v>101</v>
      </c>
      <c r="B126">
        <v>12.80266772390431</v>
      </c>
      <c r="C126">
        <v>1.085550253209E-2</v>
      </c>
      <c r="D126">
        <v>0.35264728229948106</v>
      </c>
    </row>
    <row r="127" spans="1:4">
      <c r="A127">
        <v>102</v>
      </c>
      <c r="B127">
        <v>12.796453769657354</v>
      </c>
      <c r="C127">
        <v>1.7067240784145454E-2</v>
      </c>
      <c r="D127">
        <v>0.55443919441663836</v>
      </c>
    </row>
    <row r="128" spans="1:4">
      <c r="A128">
        <v>103</v>
      </c>
      <c r="B128">
        <v>12.7902398154104</v>
      </c>
      <c r="C128">
        <v>2.3278263724598958E-2</v>
      </c>
      <c r="D128">
        <v>0.75620786922242489</v>
      </c>
    </row>
    <row r="129" spans="1:4">
      <c r="A129">
        <v>104</v>
      </c>
      <c r="B129">
        <v>12.784025861163444</v>
      </c>
      <c r="C129">
        <v>2.9488487768855265E-2</v>
      </c>
      <c r="D129">
        <v>0.95795059142289007</v>
      </c>
    </row>
    <row r="130" spans="1:4">
      <c r="A130">
        <v>105</v>
      </c>
      <c r="B130">
        <v>12.777811906916488</v>
      </c>
      <c r="C130">
        <v>3.569790635821235E-2</v>
      </c>
      <c r="D130">
        <v>1.1596671479548026</v>
      </c>
    </row>
    <row r="131" spans="1:4">
      <c r="A131">
        <v>106</v>
      </c>
      <c r="B131">
        <v>12.098699830294372</v>
      </c>
      <c r="C131">
        <v>-1.5111635622471198E-2</v>
      </c>
      <c r="D131">
        <v>-0.49091022894713393</v>
      </c>
    </row>
    <row r="132" spans="1:4">
      <c r="A132">
        <v>107</v>
      </c>
      <c r="B132">
        <v>12.092485876047416</v>
      </c>
      <c r="C132">
        <v>-8.9362495059166491E-3</v>
      </c>
      <c r="D132">
        <v>-0.29029923699026222</v>
      </c>
    </row>
    <row r="133" spans="1:4">
      <c r="A133">
        <v>108</v>
      </c>
      <c r="B133">
        <v>12.086271921800462</v>
      </c>
      <c r="C133">
        <v>-2.7713295138624972E-3</v>
      </c>
      <c r="D133">
        <v>-9.0028243144980646E-2</v>
      </c>
    </row>
    <row r="134" spans="1:4">
      <c r="A134">
        <v>109</v>
      </c>
      <c r="B134">
        <v>12.080057967553506</v>
      </c>
      <c r="C134">
        <v>3.3814315534943518E-3</v>
      </c>
      <c r="D134">
        <v>0.10984776099461824</v>
      </c>
    </row>
    <row r="135" spans="1:4">
      <c r="A135">
        <v>110</v>
      </c>
      <c r="B135">
        <v>12.07384401330655</v>
      </c>
      <c r="C135">
        <v>9.5218504115504032E-3</v>
      </c>
      <c r="D135">
        <v>0.30932282132211525</v>
      </c>
    </row>
    <row r="136" spans="1:4">
      <c r="A136">
        <v>111</v>
      </c>
      <c r="B136">
        <v>11.394731936684433</v>
      </c>
      <c r="C136">
        <v>-2.4133052831134094E-2</v>
      </c>
      <c r="D136">
        <v>-0.78397618805130753</v>
      </c>
    </row>
    <row r="137" spans="1:4">
      <c r="A137">
        <v>112</v>
      </c>
      <c r="B137">
        <v>11.388517982437477</v>
      </c>
      <c r="C137">
        <v>-1.8494399891077151E-2</v>
      </c>
      <c r="D137">
        <v>-0.60080128396345189</v>
      </c>
    </row>
    <row r="138" spans="1:4">
      <c r="A138">
        <v>113</v>
      </c>
      <c r="B138">
        <v>11.382304028190523</v>
      </c>
      <c r="C138">
        <v>-1.2971726682422968E-2</v>
      </c>
      <c r="D138">
        <v>-0.42139404857265594</v>
      </c>
    </row>
    <row r="139" spans="1:4">
      <c r="A139">
        <v>114</v>
      </c>
      <c r="B139">
        <v>11.376090073943567</v>
      </c>
      <c r="C139">
        <v>-7.589391477766938E-3</v>
      </c>
      <c r="D139">
        <v>-0.24654577446135717</v>
      </c>
    </row>
    <row r="140" spans="1:4">
      <c r="A140">
        <v>115</v>
      </c>
      <c r="B140">
        <v>11.369876119696611</v>
      </c>
      <c r="C140">
        <v>-2.3460206847119025E-3</v>
      </c>
      <c r="D140">
        <v>-7.6211839685577168E-2</v>
      </c>
    </row>
    <row r="141" spans="1:4">
      <c r="A141">
        <v>116</v>
      </c>
      <c r="B141">
        <v>10.690764043074495</v>
      </c>
      <c r="C141">
        <v>-3.2805426612956268E-3</v>
      </c>
      <c r="D141">
        <v>-0.10657032694281705</v>
      </c>
    </row>
    <row r="142" spans="1:4">
      <c r="A142">
        <v>117</v>
      </c>
      <c r="B142">
        <v>10.684550088827539</v>
      </c>
      <c r="C142">
        <v>-3.1789446122392206E-3</v>
      </c>
      <c r="D142">
        <v>-0.10326985552007464</v>
      </c>
    </row>
    <row r="143" spans="1:4">
      <c r="A143">
        <v>118</v>
      </c>
      <c r="B143">
        <v>10.678336134580585</v>
      </c>
      <c r="C143">
        <v>-3.5406906054848974E-3</v>
      </c>
      <c r="D143">
        <v>-0.11502138346856969</v>
      </c>
    </row>
    <row r="144" spans="1:4">
      <c r="A144">
        <v>119</v>
      </c>
      <c r="B144">
        <v>10.672122180333629</v>
      </c>
      <c r="C144">
        <v>-4.5426840514295463E-3</v>
      </c>
      <c r="D144">
        <v>-0.14757172045663008</v>
      </c>
    </row>
    <row r="145" spans="1:4">
      <c r="A145">
        <v>120</v>
      </c>
      <c r="B145">
        <v>10.665908226086673</v>
      </c>
      <c r="C145">
        <v>-6.0967138325729309E-3</v>
      </c>
      <c r="D145">
        <v>-0.19805527728070657</v>
      </c>
    </row>
    <row r="146" spans="1:4">
      <c r="A146">
        <v>121</v>
      </c>
      <c r="B146">
        <v>9.9867961494645563</v>
      </c>
      <c r="C146">
        <v>5.5100007232143255E-2</v>
      </c>
      <c r="D146">
        <v>1.789955623671718</v>
      </c>
    </row>
    <row r="147" spans="1:4">
      <c r="A147">
        <v>122</v>
      </c>
      <c r="B147">
        <v>9.9805821952176004</v>
      </c>
      <c r="C147">
        <v>3.2350805241399883E-2</v>
      </c>
      <c r="D147">
        <v>1.0509346310642904</v>
      </c>
    </row>
    <row r="148" spans="1:4">
      <c r="A148">
        <v>123</v>
      </c>
      <c r="B148">
        <v>9.9743682409706462</v>
      </c>
      <c r="C148">
        <v>1.4668732256673422E-2</v>
      </c>
      <c r="D148">
        <v>0.47652225678203441</v>
      </c>
    </row>
    <row r="149" spans="1:4">
      <c r="A149">
        <v>124</v>
      </c>
      <c r="B149">
        <v>9.9681542867236903</v>
      </c>
      <c r="C149">
        <v>-2.2577449268013083E-4</v>
      </c>
      <c r="D149">
        <v>-7.3344150600887278E-3</v>
      </c>
    </row>
    <row r="150" spans="1:4">
      <c r="A150">
        <v>125</v>
      </c>
      <c r="B150">
        <v>9.9619403324767344</v>
      </c>
      <c r="C150">
        <v>-1.3049142737184383E-2</v>
      </c>
      <c r="D150">
        <v>-0.4239089539155691</v>
      </c>
    </row>
    <row r="151" spans="1:4">
      <c r="A151">
        <v>126</v>
      </c>
      <c r="B151">
        <v>12.80266772390431</v>
      </c>
      <c r="C151">
        <v>1.7155534231989122E-2</v>
      </c>
      <c r="D151">
        <v>0.55730745816904215</v>
      </c>
    </row>
    <row r="152" spans="1:4">
      <c r="A152">
        <v>127</v>
      </c>
      <c r="B152">
        <v>12.796453769657354</v>
      </c>
      <c r="C152">
        <v>2.3367298880344833E-2</v>
      </c>
      <c r="D152">
        <v>0.75910022778528996</v>
      </c>
    </row>
    <row r="153" spans="1:4">
      <c r="A153">
        <v>128</v>
      </c>
      <c r="B153">
        <v>12.7902398154104</v>
      </c>
      <c r="C153">
        <v>2.9578336313500486E-2</v>
      </c>
      <c r="D153">
        <v>0.96086937339489342</v>
      </c>
    </row>
    <row r="154" spans="1:4">
      <c r="A154">
        <v>129</v>
      </c>
      <c r="B154">
        <v>12.784025861163444</v>
      </c>
      <c r="C154">
        <v>3.5788608475455064E-2</v>
      </c>
      <c r="D154">
        <v>1.1626136587266347</v>
      </c>
    </row>
    <row r="155" spans="1:4">
      <c r="A155">
        <v>130</v>
      </c>
      <c r="B155">
        <v>12.777811906916488</v>
      </c>
      <c r="C155">
        <v>4.1998074931111518E-2</v>
      </c>
      <c r="D155">
        <v>1.3643317702229845</v>
      </c>
    </row>
    <row r="156" spans="1:4">
      <c r="A156">
        <v>131</v>
      </c>
      <c r="B156">
        <v>12.098699830294372</v>
      </c>
      <c r="C156">
        <v>-9.6850456827723974E-3</v>
      </c>
      <c r="D156">
        <v>-0.31462431415585906</v>
      </c>
    </row>
    <row r="157" spans="1:4">
      <c r="A157">
        <v>132</v>
      </c>
      <c r="B157">
        <v>12.092485876047416</v>
      </c>
      <c r="C157">
        <v>-3.5093376605157545E-3</v>
      </c>
      <c r="D157">
        <v>-0.11400286490595415</v>
      </c>
    </row>
    <row r="158" spans="1:4">
      <c r="A158">
        <v>133</v>
      </c>
      <c r="B158">
        <v>12.086271921800462</v>
      </c>
      <c r="C158">
        <v>2.6559510805377329E-3</v>
      </c>
      <c r="D158">
        <v>8.6280107963981667E-2</v>
      </c>
    </row>
    <row r="159" spans="1:4">
      <c r="A159">
        <v>134</v>
      </c>
      <c r="B159">
        <v>12.080057967553506</v>
      </c>
      <c r="C159">
        <v>8.809213368294877E-3</v>
      </c>
      <c r="D159">
        <v>0.28617239453836185</v>
      </c>
    </row>
    <row r="160" spans="1:4">
      <c r="A160">
        <v>135</v>
      </c>
      <c r="B160">
        <v>12.07384401330655</v>
      </c>
      <c r="C160">
        <v>1.4950193139849688E-2</v>
      </c>
      <c r="D160">
        <v>0.48566567646549075</v>
      </c>
    </row>
    <row r="161" spans="1:4">
      <c r="A161">
        <v>136</v>
      </c>
      <c r="B161">
        <v>11.394731936684433</v>
      </c>
      <c r="C161">
        <v>-1.9873447119632459E-2</v>
      </c>
      <c r="D161">
        <v>-0.64560043129680256</v>
      </c>
    </row>
    <row r="162" spans="1:4">
      <c r="A162">
        <v>137</v>
      </c>
      <c r="B162">
        <v>11.388517982437477</v>
      </c>
      <c r="C162">
        <v>-1.422731469777716E-2</v>
      </c>
      <c r="D162">
        <v>-0.46218255191403068</v>
      </c>
    </row>
    <row r="163" spans="1:4">
      <c r="A163">
        <v>138</v>
      </c>
      <c r="B163">
        <v>11.382304028190523</v>
      </c>
      <c r="C163">
        <v>-8.6989585331238573E-3</v>
      </c>
      <c r="D163">
        <v>-0.2825907024086331</v>
      </c>
    </row>
    <row r="164" spans="1:4">
      <c r="A164">
        <v>139</v>
      </c>
      <c r="B164">
        <v>11.376090073943567</v>
      </c>
      <c r="C164">
        <v>-3.3107490610664314E-3</v>
      </c>
      <c r="D164">
        <v>-0.10755159932110971</v>
      </c>
    </row>
    <row r="165" spans="1:4">
      <c r="A165">
        <v>140</v>
      </c>
      <c r="B165">
        <v>11.369876119696611</v>
      </c>
      <c r="C165">
        <v>1.9391413634881616E-3</v>
      </c>
      <c r="D165">
        <v>6.2994129457123585E-2</v>
      </c>
    </row>
    <row r="166" spans="1:4">
      <c r="A166">
        <v>141</v>
      </c>
      <c r="B166">
        <v>10.690764043074495</v>
      </c>
      <c r="C166">
        <v>-4.5892231609556688E-4</v>
      </c>
      <c r="D166">
        <v>-1.4908357036376331E-2</v>
      </c>
    </row>
    <row r="167" spans="1:4">
      <c r="A167">
        <v>142</v>
      </c>
      <c r="B167">
        <v>10.684550088827539</v>
      </c>
      <c r="C167">
        <v>-2.8056646593910273E-4</v>
      </c>
      <c r="D167">
        <v>-9.1143640218695129E-3</v>
      </c>
    </row>
    <row r="168" spans="1:4">
      <c r="A168">
        <v>143</v>
      </c>
      <c r="B168">
        <v>10.678336134580585</v>
      </c>
      <c r="C168">
        <v>-5.8474138828401578E-4</v>
      </c>
      <c r="D168">
        <v>-1.8995662413307256E-2</v>
      </c>
    </row>
    <row r="169" spans="1:4">
      <c r="A169">
        <v>144</v>
      </c>
      <c r="B169">
        <v>10.672122180333629</v>
      </c>
      <c r="C169">
        <v>-1.5334256499279775E-3</v>
      </c>
      <c r="D169">
        <v>-4.9814219697050258E-2</v>
      </c>
    </row>
    <row r="170" spans="1:4">
      <c r="A170">
        <v>145</v>
      </c>
      <c r="B170">
        <v>10.665908226086673</v>
      </c>
      <c r="C170">
        <v>-3.0341232658734896E-3</v>
      </c>
      <c r="D170">
        <v>-9.8565250269064278E-2</v>
      </c>
    </row>
    <row r="171" spans="1:4">
      <c r="A171">
        <v>146</v>
      </c>
      <c r="B171">
        <v>9.9867961494645563</v>
      </c>
      <c r="C171">
        <v>5.6259696131943926E-2</v>
      </c>
      <c r="D171">
        <v>1.8276287887434084</v>
      </c>
    </row>
    <row r="172" spans="1:4">
      <c r="A172">
        <v>147</v>
      </c>
      <c r="B172">
        <v>9.9805821952176004</v>
      </c>
      <c r="C172">
        <v>3.3738435227199659E-2</v>
      </c>
      <c r="D172">
        <v>1.0960125942339372</v>
      </c>
    </row>
    <row r="173" spans="1:4">
      <c r="A173">
        <v>148</v>
      </c>
      <c r="B173">
        <v>9.9743682409706462</v>
      </c>
      <c r="C173">
        <v>1.6251819973923887E-2</v>
      </c>
      <c r="D173">
        <v>0.52794977747762228</v>
      </c>
    </row>
    <row r="174" spans="1:4">
      <c r="A174">
        <v>149</v>
      </c>
      <c r="B174">
        <v>9.9681542867236903</v>
      </c>
      <c r="C174">
        <v>1.5389959641805007E-3</v>
      </c>
      <c r="D174">
        <v>4.9995174579323051E-2</v>
      </c>
    </row>
    <row r="175" spans="1:4">
      <c r="A175">
        <v>150</v>
      </c>
      <c r="B175">
        <v>9.9619403324767344</v>
      </c>
      <c r="C175">
        <v>-1.1109609514164731E-2</v>
      </c>
      <c r="D175">
        <v>-0.36090209467477918</v>
      </c>
    </row>
    <row r="176" spans="1:4">
      <c r="A176">
        <v>151</v>
      </c>
      <c r="B176">
        <v>12.80266772390431</v>
      </c>
      <c r="C176">
        <v>2.1679472863089799E-2</v>
      </c>
      <c r="D176">
        <v>0.70427022279751073</v>
      </c>
    </row>
    <row r="177" spans="1:4">
      <c r="A177">
        <v>152</v>
      </c>
      <c r="B177">
        <v>12.796453769657354</v>
      </c>
      <c r="C177">
        <v>2.7891246982946427E-2</v>
      </c>
      <c r="D177">
        <v>0.90606330010094749</v>
      </c>
    </row>
    <row r="178" spans="1:4">
      <c r="A178">
        <v>153</v>
      </c>
      <c r="B178">
        <v>12.7902398154104</v>
      </c>
      <c r="C178">
        <v>3.410230550109894E-2</v>
      </c>
      <c r="D178">
        <v>1.1078331306688767</v>
      </c>
    </row>
    <row r="179" spans="1:4">
      <c r="A179">
        <v>154</v>
      </c>
      <c r="B179">
        <v>12.784025861163444</v>
      </c>
      <c r="C179">
        <v>4.0312590381656577E-2</v>
      </c>
      <c r="D179">
        <v>1.309577829171799</v>
      </c>
    </row>
    <row r="180" spans="1:4">
      <c r="A180">
        <v>155</v>
      </c>
      <c r="B180">
        <v>12.777811906916488</v>
      </c>
      <c r="C180">
        <v>4.6522103964411698E-2</v>
      </c>
      <c r="D180">
        <v>1.5112974716192238</v>
      </c>
    </row>
    <row r="181" spans="1:4">
      <c r="A181">
        <v>156</v>
      </c>
      <c r="B181">
        <v>12.098699830294372</v>
      </c>
      <c r="C181">
        <v>-5.7830611010718513E-3</v>
      </c>
      <c r="D181">
        <v>-0.18786608677361644</v>
      </c>
    </row>
    <row r="182" spans="1:4">
      <c r="A182">
        <v>157</v>
      </c>
      <c r="B182">
        <v>12.092485876047416</v>
      </c>
      <c r="C182">
        <v>3.9290453778484391E-4</v>
      </c>
      <c r="D182">
        <v>1.2763731300634937E-2</v>
      </c>
    </row>
    <row r="183" spans="1:4">
      <c r="A183">
        <v>158</v>
      </c>
      <c r="B183">
        <v>12.086271921800462</v>
      </c>
      <c r="C183">
        <v>6.5584824126379004E-3</v>
      </c>
      <c r="D183">
        <v>0.2130560968493839</v>
      </c>
    </row>
    <row r="184" spans="1:4">
      <c r="A184">
        <v>159</v>
      </c>
      <c r="B184">
        <v>12.080057967553506</v>
      </c>
      <c r="C184">
        <v>1.271207615799419E-2</v>
      </c>
      <c r="D184">
        <v>0.41295915101570102</v>
      </c>
    </row>
    <row r="185" spans="1:4">
      <c r="A185">
        <v>160</v>
      </c>
      <c r="B185">
        <v>12.07384401330655</v>
      </c>
      <c r="C185">
        <v>1.8853466153750276E-2</v>
      </c>
      <c r="D185">
        <v>0.61246575931342262</v>
      </c>
    </row>
    <row r="186" spans="1:4">
      <c r="A186">
        <v>161</v>
      </c>
      <c r="B186">
        <v>11.394731936684433</v>
      </c>
      <c r="C186">
        <v>-1.6808403643732817E-2</v>
      </c>
      <c r="D186">
        <v>-0.54603072011018805</v>
      </c>
    </row>
    <row r="187" spans="1:4">
      <c r="A187">
        <v>162</v>
      </c>
      <c r="B187">
        <v>11.388517982437477</v>
      </c>
      <c r="C187">
        <v>-1.115632913437814E-2</v>
      </c>
      <c r="D187">
        <v>-0.36241980857605821</v>
      </c>
    </row>
    <row r="188" spans="1:4">
      <c r="A188">
        <v>163</v>
      </c>
      <c r="B188">
        <v>11.382304028190523</v>
      </c>
      <c r="C188">
        <v>-5.6236620178236052E-3</v>
      </c>
      <c r="D188">
        <v>-0.18268791530321649</v>
      </c>
    </row>
    <row r="189" spans="1:4">
      <c r="A189">
        <v>164</v>
      </c>
      <c r="B189">
        <v>11.376090073943567</v>
      </c>
      <c r="C189">
        <v>-2.3112294126725885E-4</v>
      </c>
      <c r="D189">
        <v>-7.5081625078179913E-3</v>
      </c>
    </row>
    <row r="190" spans="1:4">
      <c r="A190">
        <v>165</v>
      </c>
      <c r="B190">
        <v>11.369876119696611</v>
      </c>
      <c r="C190">
        <v>5.0235399412894566E-3</v>
      </c>
      <c r="D190">
        <v>0.16319260233064023</v>
      </c>
    </row>
    <row r="191" spans="1:4">
      <c r="A191">
        <v>166</v>
      </c>
      <c r="B191">
        <v>10.690764043074495</v>
      </c>
      <c r="C191">
        <v>1.5684102038058256E-3</v>
      </c>
      <c r="D191">
        <v>5.0950713176832779E-2</v>
      </c>
    </row>
    <row r="192" spans="1:4">
      <c r="A192">
        <v>167</v>
      </c>
      <c r="B192">
        <v>10.684550088827539</v>
      </c>
      <c r="C192">
        <v>1.8033521747611303E-3</v>
      </c>
      <c r="D192">
        <v>5.8582939074303085E-2</v>
      </c>
    </row>
    <row r="193" spans="1:4">
      <c r="A193">
        <v>168</v>
      </c>
      <c r="B193">
        <v>10.678336134580585</v>
      </c>
      <c r="C193">
        <v>1.5415320943148458E-3</v>
      </c>
      <c r="D193">
        <v>5.0077562234504457E-2</v>
      </c>
    </row>
    <row r="194" spans="1:4">
      <c r="A194">
        <v>169</v>
      </c>
      <c r="B194">
        <v>10.672122180333629</v>
      </c>
      <c r="C194">
        <v>6.3187121257080037E-4</v>
      </c>
      <c r="D194">
        <v>2.0526702031312558E-2</v>
      </c>
    </row>
    <row r="195" spans="1:4">
      <c r="A195">
        <v>170</v>
      </c>
      <c r="B195">
        <v>10.665908226086673</v>
      </c>
      <c r="C195">
        <v>-8.2994268147373873E-4</v>
      </c>
      <c r="D195">
        <v>-2.6961168331072091E-2</v>
      </c>
    </row>
    <row r="196" spans="1:4">
      <c r="A196">
        <v>171</v>
      </c>
      <c r="B196">
        <v>9.9867961494645563</v>
      </c>
      <c r="C196">
        <v>5.7090362934843597E-2</v>
      </c>
      <c r="D196">
        <v>1.8546134805780821</v>
      </c>
    </row>
    <row r="197" spans="1:4">
      <c r="A197">
        <v>172</v>
      </c>
      <c r="B197">
        <v>9.9805821952176004</v>
      </c>
      <c r="C197">
        <v>3.4733124897700307E-2</v>
      </c>
      <c r="D197">
        <v>1.1283256638496912</v>
      </c>
    </row>
    <row r="198" spans="1:4">
      <c r="A198">
        <v>173</v>
      </c>
      <c r="B198">
        <v>9.9743682409706462</v>
      </c>
      <c r="C198">
        <v>1.7387352437832959E-2</v>
      </c>
      <c r="D198">
        <v>0.56483820674900964</v>
      </c>
    </row>
    <row r="199" spans="1:4">
      <c r="A199">
        <v>174</v>
      </c>
      <c r="B199">
        <v>9.9681542867236903</v>
      </c>
      <c r="C199">
        <v>2.8055904115298347E-3</v>
      </c>
      <c r="D199">
        <v>9.1141228233953861E-2</v>
      </c>
    </row>
    <row r="200" spans="1:4">
      <c r="A200">
        <v>175</v>
      </c>
      <c r="B200">
        <v>9.9619403324767344</v>
      </c>
      <c r="C200">
        <v>-9.7168865740435706E-3</v>
      </c>
      <c r="D200">
        <v>-0.31565868393649149</v>
      </c>
    </row>
    <row r="201" spans="1:4">
      <c r="A201">
        <v>176</v>
      </c>
      <c r="B201">
        <v>12.80266772390431</v>
      </c>
      <c r="C201">
        <v>2.5085981371189447E-2</v>
      </c>
      <c r="D201">
        <v>0.81493262317559034</v>
      </c>
    </row>
    <row r="202" spans="1:4">
      <c r="A202">
        <v>177</v>
      </c>
      <c r="B202">
        <v>12.796453769657354</v>
      </c>
      <c r="C202">
        <v>3.1297763903145537E-2</v>
      </c>
      <c r="D202">
        <v>1.0167259737509466</v>
      </c>
    </row>
    <row r="203" spans="1:4">
      <c r="A203">
        <v>178</v>
      </c>
      <c r="B203">
        <v>12.7902398154104</v>
      </c>
      <c r="C203">
        <v>3.7508845170000527E-2</v>
      </c>
      <c r="D203">
        <v>1.2184965433236414</v>
      </c>
    </row>
    <row r="204" spans="1:4">
      <c r="A204">
        <v>179</v>
      </c>
      <c r="B204">
        <v>12.784025861163444</v>
      </c>
      <c r="C204">
        <v>4.3719151016455626E-2</v>
      </c>
      <c r="D204">
        <v>1.4202419229158767</v>
      </c>
    </row>
    <row r="205" spans="1:4">
      <c r="A205">
        <v>180</v>
      </c>
      <c r="B205">
        <v>12.777811906916488</v>
      </c>
      <c r="C205">
        <v>4.992867697651171E-2</v>
      </c>
      <c r="D205">
        <v>1.6219619674470864</v>
      </c>
    </row>
    <row r="206" spans="1:4">
      <c r="A206">
        <v>181</v>
      </c>
      <c r="B206">
        <v>12.098699830294372</v>
      </c>
      <c r="C206">
        <v>-2.8418161658709806E-3</v>
      </c>
      <c r="D206">
        <v>-9.231804282912251E-2</v>
      </c>
    </row>
    <row r="207" spans="1:4">
      <c r="A207">
        <v>182</v>
      </c>
      <c r="B207">
        <v>12.092485876047416</v>
      </c>
      <c r="C207">
        <v>3.334375884383789E-3</v>
      </c>
      <c r="D207">
        <v>0.10831913035042927</v>
      </c>
    </row>
    <row r="208" spans="1:4">
      <c r="A208">
        <v>183</v>
      </c>
      <c r="B208">
        <v>12.086271921800462</v>
      </c>
      <c r="C208">
        <v>9.5001612991385542E-3</v>
      </c>
      <c r="D208">
        <v>0.30861823795299748</v>
      </c>
    </row>
    <row r="209" spans="1:4">
      <c r="A209">
        <v>184</v>
      </c>
      <c r="B209">
        <v>12.080057967553506</v>
      </c>
      <c r="C209">
        <v>1.5654010663094908E-2</v>
      </c>
      <c r="D209">
        <v>0.50852959603747516</v>
      </c>
    </row>
    <row r="210" spans="1:4">
      <c r="A210">
        <v>185</v>
      </c>
      <c r="B210">
        <v>12.07384401330655</v>
      </c>
      <c r="C210">
        <v>2.1795713034750364E-2</v>
      </c>
      <c r="D210">
        <v>0.70804635204707311</v>
      </c>
    </row>
    <row r="211" spans="1:4">
      <c r="A211">
        <v>186</v>
      </c>
      <c r="B211">
        <v>11.394731936684433</v>
      </c>
      <c r="C211">
        <v>-1.4496847901433796E-2</v>
      </c>
      <c r="D211">
        <v>-0.47093849402523252</v>
      </c>
    </row>
    <row r="212" spans="1:4">
      <c r="A212">
        <v>187</v>
      </c>
      <c r="B212">
        <v>11.388517982437477</v>
      </c>
      <c r="C212">
        <v>-8.8399476779770225E-3</v>
      </c>
      <c r="D212">
        <v>-0.28717081637564851</v>
      </c>
    </row>
    <row r="213" spans="1:4">
      <c r="A213">
        <v>188</v>
      </c>
      <c r="B213">
        <v>11.382304028190523</v>
      </c>
      <c r="C213">
        <v>-3.3038526571225191E-3</v>
      </c>
      <c r="D213">
        <v>-0.1073275656477472</v>
      </c>
    </row>
    <row r="214" spans="1:4">
      <c r="A214">
        <v>189</v>
      </c>
      <c r="B214">
        <v>11.376090073943567</v>
      </c>
      <c r="C214">
        <v>2.0920466139333627E-3</v>
      </c>
      <c r="D214">
        <v>6.7961345010657259E-2</v>
      </c>
    </row>
    <row r="215" spans="1:4">
      <c r="A215">
        <v>190</v>
      </c>
      <c r="B215">
        <v>11.369876119696611</v>
      </c>
      <c r="C215">
        <v>7.350328233588499E-3</v>
      </c>
      <c r="D215">
        <v>0.23877966661807593</v>
      </c>
    </row>
    <row r="216" spans="1:4">
      <c r="A216">
        <v>191</v>
      </c>
      <c r="B216">
        <v>10.690764043074495</v>
      </c>
      <c r="C216">
        <v>3.0955023262055903E-3</v>
      </c>
      <c r="D216">
        <v>0.10055918456664524</v>
      </c>
    </row>
    <row r="217" spans="1:4">
      <c r="A217">
        <v>192</v>
      </c>
      <c r="B217">
        <v>10.684550088827539</v>
      </c>
      <c r="C217">
        <v>3.3739137716608525E-3</v>
      </c>
      <c r="D217">
        <v>0.10960354150089448</v>
      </c>
    </row>
    <row r="218" spans="1:4">
      <c r="A218">
        <v>193</v>
      </c>
      <c r="B218">
        <v>10.678336134580585</v>
      </c>
      <c r="C218">
        <v>3.1445899035151825E-3</v>
      </c>
      <c r="D218">
        <v>0.10215382292463202</v>
      </c>
    </row>
    <row r="219" spans="1:4">
      <c r="A219">
        <v>194</v>
      </c>
      <c r="B219">
        <v>10.672122180333629</v>
      </c>
      <c r="C219">
        <v>2.2647573485716777E-3</v>
      </c>
      <c r="D219">
        <v>7.3571953180486718E-2</v>
      </c>
    </row>
    <row r="220" spans="1:4">
      <c r="A220">
        <v>195</v>
      </c>
      <c r="B220">
        <v>10.665908226086673</v>
      </c>
      <c r="C220">
        <v>8.3259637132648834E-4</v>
      </c>
      <c r="D220">
        <v>2.7047374981742707E-2</v>
      </c>
    </row>
    <row r="221" spans="1:4">
      <c r="A221">
        <v>196</v>
      </c>
      <c r="B221">
        <v>9.9867961494645563</v>
      </c>
      <c r="C221">
        <v>5.7714635691644034E-2</v>
      </c>
      <c r="D221">
        <v>1.8748933423761425</v>
      </c>
    </row>
    <row r="222" spans="1:4">
      <c r="A222">
        <v>197</v>
      </c>
      <c r="B222">
        <v>9.9805821952176004</v>
      </c>
      <c r="C222">
        <v>3.5481123201000386E-2</v>
      </c>
      <c r="D222">
        <v>1.1526248216310686</v>
      </c>
    </row>
    <row r="223" spans="1:4">
      <c r="A223">
        <v>198</v>
      </c>
      <c r="B223">
        <v>9.9743682409706462</v>
      </c>
      <c r="C223">
        <v>1.8241646456923277E-2</v>
      </c>
      <c r="D223">
        <v>0.59259044237571901</v>
      </c>
    </row>
    <row r="224" spans="1:4">
      <c r="A224">
        <v>199</v>
      </c>
      <c r="B224">
        <v>9.9681542867236903</v>
      </c>
      <c r="C224">
        <v>3.7588465466598109E-3</v>
      </c>
      <c r="D224">
        <v>0.12210830547382917</v>
      </c>
    </row>
    <row r="225" spans="1:4">
      <c r="A225">
        <v>200</v>
      </c>
      <c r="B225">
        <v>9.9619403324767344</v>
      </c>
      <c r="C225">
        <v>-8.6682687793242508E-3</v>
      </c>
      <c r="D225">
        <v>-0.28159372799497712</v>
      </c>
    </row>
    <row r="226" spans="1:4">
      <c r="A226">
        <v>201</v>
      </c>
      <c r="B226">
        <v>12.80266772390431</v>
      </c>
      <c r="C226">
        <v>-2.6200422252710354E-2</v>
      </c>
      <c r="D226">
        <v>-0.85113588018649555</v>
      </c>
    </row>
    <row r="227" spans="1:4">
      <c r="A227">
        <v>202</v>
      </c>
      <c r="B227">
        <v>12.796453769657354</v>
      </c>
      <c r="C227">
        <v>-1.9988807197155012E-2</v>
      </c>
      <c r="D227">
        <v>-0.64934797017894341</v>
      </c>
    </row>
    <row r="228" spans="1:4">
      <c r="A228">
        <v>203</v>
      </c>
      <c r="B228">
        <v>12.7902398154104</v>
      </c>
      <c r="C228">
        <v>-1.3777957669500296E-2</v>
      </c>
      <c r="D228">
        <v>-0.44758492878828687</v>
      </c>
    </row>
    <row r="229" spans="1:4">
      <c r="A229">
        <v>204</v>
      </c>
      <c r="B229">
        <v>12.784025861163444</v>
      </c>
      <c r="C229">
        <v>-7.56793627444452E-3</v>
      </c>
      <c r="D229">
        <v>-0.24584878976438279</v>
      </c>
    </row>
    <row r="230" spans="1:4">
      <c r="A230">
        <v>205</v>
      </c>
      <c r="B230">
        <v>12.777811906916488</v>
      </c>
      <c r="C230">
        <v>-1.3587683912881232E-3</v>
      </c>
      <c r="D230">
        <v>-4.4140377568493927E-2</v>
      </c>
    </row>
    <row r="231" spans="1:4">
      <c r="A231">
        <v>206</v>
      </c>
      <c r="B231">
        <v>12.098699830294372</v>
      </c>
      <c r="C231">
        <v>-4.6881234031872054E-2</v>
      </c>
      <c r="D231">
        <v>-1.5229640197046341</v>
      </c>
    </row>
    <row r="232" spans="1:4">
      <c r="A232">
        <v>207</v>
      </c>
      <c r="B232">
        <v>12.092485876047416</v>
      </c>
      <c r="C232">
        <v>-4.0707581010716254E-2</v>
      </c>
      <c r="D232">
        <v>-1.3224093283548075</v>
      </c>
    </row>
    <row r="233" spans="1:4">
      <c r="A233">
        <v>208</v>
      </c>
      <c r="B233">
        <v>12.086271921800462</v>
      </c>
      <c r="C233">
        <v>-3.4544843838462569E-2</v>
      </c>
      <c r="D233">
        <v>-1.1222092446740353</v>
      </c>
    </row>
    <row r="234" spans="1:4">
      <c r="A234">
        <v>209</v>
      </c>
      <c r="B234">
        <v>12.080057967553506</v>
      </c>
      <c r="C234">
        <v>-2.8394800407305354E-2</v>
      </c>
      <c r="D234">
        <v>-0.92242152451919412</v>
      </c>
    </row>
    <row r="235" spans="1:4">
      <c r="A235">
        <v>210</v>
      </c>
      <c r="B235">
        <v>12.07384401330655</v>
      </c>
      <c r="C235">
        <v>-2.2257699843450496E-2</v>
      </c>
      <c r="D235">
        <v>-0.72305426089926195</v>
      </c>
    </row>
    <row r="236" spans="1:4">
      <c r="A236">
        <v>211</v>
      </c>
      <c r="B236">
        <v>11.394731936684433</v>
      </c>
      <c r="C236">
        <v>-4.899867856863338E-2</v>
      </c>
      <c r="D236">
        <v>-1.5917504309372243</v>
      </c>
    </row>
    <row r="237" spans="1:4">
      <c r="A237">
        <v>212</v>
      </c>
      <c r="B237">
        <v>11.388517982437477</v>
      </c>
      <c r="C237">
        <v>-4.3393557225776647E-2</v>
      </c>
      <c r="D237">
        <v>-1.4096648201905897</v>
      </c>
    </row>
    <row r="238" spans="1:4">
      <c r="A238">
        <v>213</v>
      </c>
      <c r="B238">
        <v>11.382304028190523</v>
      </c>
      <c r="C238">
        <v>-3.7900129088022538E-2</v>
      </c>
      <c r="D238">
        <v>-1.2312076278533586</v>
      </c>
    </row>
    <row r="239" spans="1:4">
      <c r="A239">
        <v>214</v>
      </c>
      <c r="B239">
        <v>11.376090073943567</v>
      </c>
      <c r="C239">
        <v>-3.255015543896711E-2</v>
      </c>
      <c r="D239">
        <v>-1.0574106376047645</v>
      </c>
    </row>
    <row r="240" spans="1:4">
      <c r="A240">
        <v>215</v>
      </c>
      <c r="B240">
        <v>11.369876119696611</v>
      </c>
      <c r="C240">
        <v>-2.7343787609511949E-2</v>
      </c>
      <c r="D240">
        <v>-0.88827876551672724</v>
      </c>
    </row>
    <row r="241" spans="1:4">
      <c r="A241">
        <v>216</v>
      </c>
      <c r="B241">
        <v>10.690764043074495</v>
      </c>
      <c r="C241">
        <v>-1.9824689944595519E-2</v>
      </c>
      <c r="D241">
        <v>-0.64401652624786077</v>
      </c>
    </row>
    <row r="242" spans="1:4">
      <c r="A242">
        <v>217</v>
      </c>
      <c r="B242">
        <v>10.684550088827539</v>
      </c>
      <c r="C242">
        <v>-2.0131798165838433E-2</v>
      </c>
      <c r="D242">
        <v>-0.6539931145516259</v>
      </c>
    </row>
    <row r="243" spans="1:4">
      <c r="A243">
        <v>218</v>
      </c>
      <c r="B243">
        <v>10.678336134580585</v>
      </c>
      <c r="C243">
        <v>-2.0804819085284976E-2</v>
      </c>
      <c r="D243">
        <v>-0.67585658862589582</v>
      </c>
    </row>
    <row r="244" spans="1:4">
      <c r="A244">
        <v>219</v>
      </c>
      <c r="B244">
        <v>10.672122180333629</v>
      </c>
      <c r="C244">
        <v>-2.2100686248929691E-2</v>
      </c>
      <c r="D244">
        <v>-0.71795358341075755</v>
      </c>
    </row>
    <row r="245" spans="1:4">
      <c r="A245">
        <v>220</v>
      </c>
      <c r="B245">
        <v>10.665908226086673</v>
      </c>
      <c r="C245">
        <v>-2.3953181293872916E-2</v>
      </c>
      <c r="D245">
        <v>-0.77813295706401098</v>
      </c>
    </row>
    <row r="246" spans="1:4">
      <c r="A246">
        <v>221</v>
      </c>
      <c r="B246">
        <v>9.9867961494645563</v>
      </c>
      <c r="C246">
        <v>4.8220503080143473E-2</v>
      </c>
      <c r="D246">
        <v>1.566470949830125</v>
      </c>
    </row>
    <row r="247" spans="1:4">
      <c r="A247">
        <v>222</v>
      </c>
      <c r="B247">
        <v>9.9805821952176004</v>
      </c>
      <c r="C247">
        <v>2.4144017514698746E-2</v>
      </c>
      <c r="D247">
        <v>0.78433238214263745</v>
      </c>
    </row>
    <row r="248" spans="1:4">
      <c r="A248">
        <v>223</v>
      </c>
      <c r="B248">
        <v>9.9743682409706462</v>
      </c>
      <c r="C248">
        <v>5.3292821109636179E-3</v>
      </c>
      <c r="D248">
        <v>0.1731248136586018</v>
      </c>
    </row>
    <row r="249" spans="1:4">
      <c r="A249">
        <v>224</v>
      </c>
      <c r="B249">
        <v>9.9681542867236903</v>
      </c>
      <c r="C249">
        <v>-1.0614510961341139E-2</v>
      </c>
      <c r="D249">
        <v>-0.34481853165155441</v>
      </c>
    </row>
    <row r="250" spans="1:4">
      <c r="A250">
        <v>225</v>
      </c>
      <c r="B250">
        <v>9.9619403324767344</v>
      </c>
      <c r="C250">
        <v>-2.4444181490913763E-2</v>
      </c>
      <c r="D250">
        <v>-0.79408338262773914</v>
      </c>
    </row>
    <row r="251" spans="1:4">
      <c r="A251">
        <v>226</v>
      </c>
      <c r="B251">
        <v>12.80266772390431</v>
      </c>
      <c r="C251">
        <v>-1.3982557534809814E-2</v>
      </c>
      <c r="D251">
        <v>-0.45423147382357693</v>
      </c>
    </row>
    <row r="252" spans="1:4">
      <c r="A252">
        <v>227</v>
      </c>
      <c r="B252">
        <v>12.796453769657354</v>
      </c>
      <c r="C252">
        <v>-7.7708977386539146E-3</v>
      </c>
      <c r="D252">
        <v>-0.25244211039172237</v>
      </c>
    </row>
    <row r="253" spans="1:4">
      <c r="A253">
        <v>228</v>
      </c>
      <c r="B253">
        <v>12.7902398154104</v>
      </c>
      <c r="C253">
        <v>-1.5599965856001319E-3</v>
      </c>
      <c r="D253">
        <v>-5.0677391920099388E-2</v>
      </c>
    </row>
    <row r="254" spans="1:4">
      <c r="A254">
        <v>229</v>
      </c>
      <c r="B254">
        <v>12.784025861163444</v>
      </c>
      <c r="C254">
        <v>4.6500874818562465E-3</v>
      </c>
      <c r="D254">
        <v>0.15106078305300949</v>
      </c>
    </row>
    <row r="255" spans="1:4">
      <c r="A255">
        <v>230</v>
      </c>
      <c r="B255">
        <v>12.777811906916488</v>
      </c>
      <c r="C255">
        <v>1.0859340897811265E-2</v>
      </c>
      <c r="D255">
        <v>0.35277197383136305</v>
      </c>
    </row>
    <row r="256" spans="1:4">
      <c r="A256">
        <v>231</v>
      </c>
      <c r="B256">
        <v>12.098699830294372</v>
      </c>
      <c r="C256">
        <v>-3.6432120102471544E-2</v>
      </c>
      <c r="D256">
        <v>-1.1835185063580218</v>
      </c>
    </row>
    <row r="257" spans="1:4">
      <c r="A257">
        <v>232</v>
      </c>
      <c r="B257">
        <v>12.092485876047416</v>
      </c>
      <c r="C257">
        <v>-3.0257923912916596E-2</v>
      </c>
      <c r="D257">
        <v>-0.98294616986839378</v>
      </c>
    </row>
    <row r="258" spans="1:4">
      <c r="A258">
        <v>233</v>
      </c>
      <c r="B258">
        <v>12.086271921800462</v>
      </c>
      <c r="C258">
        <v>-2.4094487904962492E-2</v>
      </c>
      <c r="D258">
        <v>-0.78272338410544751</v>
      </c>
    </row>
    <row r="259" spans="1:4">
      <c r="A259">
        <v>234</v>
      </c>
      <c r="B259">
        <v>12.080057967553506</v>
      </c>
      <c r="C259">
        <v>-1.7943542685506131E-2</v>
      </c>
      <c r="D259">
        <v>-0.58290636883580493</v>
      </c>
    </row>
    <row r="260" spans="1:4">
      <c r="A260">
        <v>235</v>
      </c>
      <c r="B260">
        <v>12.07384401330655</v>
      </c>
      <c r="C260">
        <v>-1.1805353614549929E-2</v>
      </c>
      <c r="D260">
        <v>-0.38350374443271995</v>
      </c>
    </row>
    <row r="261" spans="1:4">
      <c r="A261">
        <v>236</v>
      </c>
      <c r="B261">
        <v>11.394731936684433</v>
      </c>
      <c r="C261">
        <v>-4.0833618359433999E-2</v>
      </c>
      <c r="D261">
        <v>-1.3265037245711184</v>
      </c>
    </row>
    <row r="262" spans="1:4">
      <c r="A262">
        <v>237</v>
      </c>
      <c r="B262">
        <v>11.388517982437477</v>
      </c>
      <c r="C262">
        <v>-3.5218826210178023E-2</v>
      </c>
      <c r="D262">
        <v>-1.1441039520816945</v>
      </c>
    </row>
    <row r="263" spans="1:4">
      <c r="A263">
        <v>238</v>
      </c>
      <c r="B263">
        <v>11.382304028190523</v>
      </c>
      <c r="C263">
        <v>-2.9716290677722412E-2</v>
      </c>
      <c r="D263">
        <v>-0.96535090075674534</v>
      </c>
    </row>
    <row r="264" spans="1:4">
      <c r="A264">
        <v>239</v>
      </c>
      <c r="B264">
        <v>11.376090073943567</v>
      </c>
      <c r="C264">
        <v>-2.4355915693368146E-2</v>
      </c>
      <c r="D264">
        <v>-0.7912160171112701</v>
      </c>
    </row>
    <row r="265" spans="1:4">
      <c r="A265">
        <v>240</v>
      </c>
      <c r="B265">
        <v>11.369876119696611</v>
      </c>
      <c r="C265">
        <v>-1.9137529939211362E-2</v>
      </c>
      <c r="D265">
        <v>-0.62169373578401255</v>
      </c>
    </row>
    <row r="266" spans="1:4">
      <c r="A266">
        <v>241</v>
      </c>
      <c r="B266">
        <v>10.690764043074495</v>
      </c>
      <c r="C266">
        <v>-1.43809405631945E-2</v>
      </c>
      <c r="D266">
        <v>-0.46717317706198502</v>
      </c>
    </row>
    <row r="267" spans="1:4">
      <c r="A267">
        <v>242</v>
      </c>
      <c r="B267">
        <v>10.684550088827539</v>
      </c>
      <c r="C267">
        <v>-1.4560621348438829E-2</v>
      </c>
      <c r="D267">
        <v>-0.47301021135961785</v>
      </c>
    </row>
    <row r="268" spans="1:4">
      <c r="A268">
        <v>243</v>
      </c>
      <c r="B268">
        <v>10.678336134580585</v>
      </c>
      <c r="C268">
        <v>-1.5135562384084977E-2</v>
      </c>
      <c r="D268">
        <v>-0.49168750364559993</v>
      </c>
    </row>
    <row r="269" spans="1:4">
      <c r="A269">
        <v>244</v>
      </c>
      <c r="B269">
        <v>10.672122180333629</v>
      </c>
      <c r="C269">
        <v>-1.6337730083828106E-2</v>
      </c>
      <c r="D269">
        <v>-0.53074061711772325</v>
      </c>
    </row>
    <row r="270" spans="1:4">
      <c r="A270">
        <v>245</v>
      </c>
      <c r="B270">
        <v>10.665908226086673</v>
      </c>
      <c r="C270">
        <v>-1.8094262074672685E-2</v>
      </c>
      <c r="D270">
        <v>-0.58780257542065018</v>
      </c>
    </row>
    <row r="271" spans="1:4">
      <c r="A271">
        <v>246</v>
      </c>
      <c r="B271">
        <v>9.9867961494645563</v>
      </c>
      <c r="C271">
        <v>5.0498871526343692E-2</v>
      </c>
      <c r="D271">
        <v>1.6404850673944005</v>
      </c>
    </row>
    <row r="272" spans="1:4">
      <c r="A272">
        <v>247</v>
      </c>
      <c r="B272">
        <v>9.9805821952176004</v>
      </c>
      <c r="C272">
        <v>2.685728821419886E-2</v>
      </c>
      <c r="D272">
        <v>0.87247455110193206</v>
      </c>
    </row>
    <row r="273" spans="1:4">
      <c r="A273">
        <v>248</v>
      </c>
      <c r="B273">
        <v>9.9743682409706462</v>
      </c>
      <c r="C273">
        <v>8.4126874557028941E-3</v>
      </c>
      <c r="D273">
        <v>0.27329102078127221</v>
      </c>
    </row>
    <row r="274" spans="1:4">
      <c r="A274">
        <v>249</v>
      </c>
      <c r="B274">
        <v>9.9681542867236903</v>
      </c>
      <c r="C274">
        <v>-7.1888736936802644E-3</v>
      </c>
      <c r="D274">
        <v>-0.23353472244849538</v>
      </c>
    </row>
    <row r="275" spans="1:4">
      <c r="A275">
        <v>250</v>
      </c>
      <c r="B275">
        <v>9.9619403324767344</v>
      </c>
      <c r="C275">
        <v>-2.0690865063444974E-2</v>
      </c>
      <c r="D275">
        <v>-0.67215472627634731</v>
      </c>
    </row>
    <row r="276" spans="1:4">
      <c r="A276">
        <v>251</v>
      </c>
      <c r="B276">
        <v>12.80266772390431</v>
      </c>
      <c r="C276">
        <v>-5.1755545602105713E-3</v>
      </c>
      <c r="D276">
        <v>-0.16813088520366731</v>
      </c>
    </row>
    <row r="277" spans="1:4">
      <c r="A277">
        <v>252</v>
      </c>
      <c r="B277">
        <v>12.796453769657354</v>
      </c>
      <c r="C277">
        <v>1.0361306703448037E-3</v>
      </c>
      <c r="D277">
        <v>3.3659304479374159E-2</v>
      </c>
    </row>
    <row r="278" spans="1:4">
      <c r="A278">
        <v>253</v>
      </c>
      <c r="B278">
        <v>12.7902398154104</v>
      </c>
      <c r="C278">
        <v>7.2470755699001188E-3</v>
      </c>
      <c r="D278">
        <v>0.23542544408141741</v>
      </c>
    </row>
    <row r="279" spans="1:4">
      <c r="A279">
        <v>254</v>
      </c>
      <c r="B279">
        <v>12.784025861163444</v>
      </c>
      <c r="C279">
        <v>1.3457207089656364E-2</v>
      </c>
      <c r="D279">
        <v>0.43716516056995014</v>
      </c>
    </row>
    <row r="280" spans="1:4">
      <c r="A280">
        <v>255</v>
      </c>
      <c r="B280">
        <v>12.777811906916488</v>
      </c>
      <c r="C280">
        <v>1.9666520244411956E-2</v>
      </c>
      <c r="D280">
        <v>0.63887829199781376</v>
      </c>
    </row>
    <row r="281" spans="1:4">
      <c r="A281">
        <v>256</v>
      </c>
      <c r="B281">
        <v>12.098699830294372</v>
      </c>
      <c r="C281">
        <v>-2.8884988989471339E-2</v>
      </c>
      <c r="D281">
        <v>-0.93834558430399606</v>
      </c>
    </row>
    <row r="282" spans="1:4">
      <c r="A282">
        <v>257</v>
      </c>
      <c r="B282">
        <v>12.092485876047416</v>
      </c>
      <c r="C282">
        <v>-2.2710398115316721E-2</v>
      </c>
      <c r="D282">
        <v>-0.737760426256727</v>
      </c>
    </row>
    <row r="283" spans="1:4">
      <c r="A283">
        <v>258</v>
      </c>
      <c r="B283">
        <v>12.086271921800462</v>
      </c>
      <c r="C283">
        <v>-1.6546448111661505E-2</v>
      </c>
      <c r="D283">
        <v>-0.53752094304595877</v>
      </c>
    </row>
    <row r="284" spans="1:4">
      <c r="A284">
        <v>259</v>
      </c>
      <c r="B284">
        <v>12.080057967553506</v>
      </c>
      <c r="C284">
        <v>-1.0394856681704923E-2</v>
      </c>
      <c r="D284">
        <v>-0.33768293525422677</v>
      </c>
    </row>
    <row r="285" spans="1:4">
      <c r="A285">
        <v>260</v>
      </c>
      <c r="B285">
        <v>12.07384401330655</v>
      </c>
      <c r="C285">
        <v>-4.2558789044502277E-3</v>
      </c>
      <c r="D285">
        <v>-0.13825468927057707</v>
      </c>
    </row>
    <row r="286" spans="1:4">
      <c r="A286">
        <v>261</v>
      </c>
      <c r="B286">
        <v>11.394731936684433</v>
      </c>
      <c r="C286">
        <v>-3.4928215429133047E-2</v>
      </c>
      <c r="D286">
        <v>-1.1346632926705351</v>
      </c>
    </row>
    <row r="287" spans="1:4">
      <c r="A287">
        <v>262</v>
      </c>
      <c r="B287">
        <v>11.388517982437477</v>
      </c>
      <c r="C287">
        <v>-2.9305749278178084E-2</v>
      </c>
      <c r="D287">
        <v>-0.9520142257946459</v>
      </c>
    </row>
    <row r="288" spans="1:4">
      <c r="A288">
        <v>263</v>
      </c>
      <c r="B288">
        <v>11.382304028190523</v>
      </c>
      <c r="C288">
        <v>-2.3796365143724074E-2</v>
      </c>
      <c r="D288">
        <v>-0.77303869367019928</v>
      </c>
    </row>
    <row r="289" spans="1:4">
      <c r="A289">
        <v>264</v>
      </c>
      <c r="B289">
        <v>11.376090073943567</v>
      </c>
      <c r="C289">
        <v>-1.8428366719867029E-2</v>
      </c>
      <c r="D289">
        <v>-0.59865615818046503</v>
      </c>
    </row>
    <row r="290" spans="1:4">
      <c r="A290">
        <v>265</v>
      </c>
      <c r="B290">
        <v>11.369876119696611</v>
      </c>
      <c r="C290">
        <v>-1.3201224827811942E-2</v>
      </c>
      <c r="D290">
        <v>-0.42884942864602882</v>
      </c>
    </row>
    <row r="291" spans="1:4">
      <c r="A291">
        <v>266</v>
      </c>
      <c r="B291">
        <v>10.690764043074495</v>
      </c>
      <c r="C291">
        <v>-1.0449856954295456E-2</v>
      </c>
      <c r="D291">
        <v>-0.33946965094034509</v>
      </c>
    </row>
    <row r="292" spans="1:4">
      <c r="A292">
        <v>267</v>
      </c>
      <c r="B292">
        <v>10.684550088827539</v>
      </c>
      <c r="C292">
        <v>-1.053342758653919E-2</v>
      </c>
      <c r="D292">
        <v>-0.3421844912946892</v>
      </c>
    </row>
    <row r="293" spans="1:4">
      <c r="A293">
        <v>268</v>
      </c>
      <c r="B293">
        <v>10.678336134580585</v>
      </c>
      <c r="C293">
        <v>-1.103507212828525E-2</v>
      </c>
      <c r="D293">
        <v>-0.35848070455650466</v>
      </c>
    </row>
    <row r="294" spans="1:4">
      <c r="A294">
        <v>269</v>
      </c>
      <c r="B294">
        <v>10.672122180333629</v>
      </c>
      <c r="C294">
        <v>-1.2167885408029377E-2</v>
      </c>
      <c r="D294">
        <v>-0.39528079955658535</v>
      </c>
    </row>
    <row r="295" spans="1:4">
      <c r="A295">
        <v>270</v>
      </c>
      <c r="B295">
        <v>10.665908226086673</v>
      </c>
      <c r="C295">
        <v>-1.3853865771972451E-2</v>
      </c>
      <c r="D295">
        <v>-0.45005084742836687</v>
      </c>
    </row>
    <row r="296" spans="1:4">
      <c r="A296">
        <v>271</v>
      </c>
      <c r="B296">
        <v>9.9867961494645563</v>
      </c>
      <c r="C296">
        <v>5.2135276756743565E-2</v>
      </c>
      <c r="D296">
        <v>1.6936446383617767</v>
      </c>
    </row>
    <row r="297" spans="1:4">
      <c r="A297">
        <v>272</v>
      </c>
      <c r="B297">
        <v>9.9805821952176004</v>
      </c>
      <c r="C297">
        <v>2.8808885364599135E-2</v>
      </c>
      <c r="D297">
        <v>0.93587331400559337</v>
      </c>
    </row>
    <row r="298" spans="1:4">
      <c r="A298">
        <v>273</v>
      </c>
      <c r="B298">
        <v>9.9743682409706462</v>
      </c>
      <c r="C298">
        <v>1.0633155977362918E-2</v>
      </c>
      <c r="D298">
        <v>0.34542422578769172</v>
      </c>
    </row>
    <row r="299" spans="1:4">
      <c r="A299">
        <v>274</v>
      </c>
      <c r="B299">
        <v>9.9681542867236903</v>
      </c>
      <c r="C299">
        <v>-4.7194182583307764E-3</v>
      </c>
      <c r="D299">
        <v>-0.15331303345147618</v>
      </c>
    </row>
    <row r="300" spans="1:4">
      <c r="A300">
        <v>275</v>
      </c>
      <c r="B300">
        <v>9.9619403324767344</v>
      </c>
      <c r="C300">
        <v>-1.7982703989764204E-2</v>
      </c>
      <c r="D300">
        <v>-0.58417854646895351</v>
      </c>
    </row>
    <row r="301" spans="1:4">
      <c r="A301">
        <v>276</v>
      </c>
      <c r="B301">
        <v>12.80266772390431</v>
      </c>
      <c r="C301">
        <v>1.4753952996890973E-3</v>
      </c>
      <c r="D301">
        <v>4.7929070184889615E-2</v>
      </c>
    </row>
    <row r="302" spans="1:4">
      <c r="A302">
        <v>277</v>
      </c>
      <c r="B302">
        <v>12.796453769657354</v>
      </c>
      <c r="C302">
        <v>7.6870995897451166E-3</v>
      </c>
      <c r="D302">
        <v>0.24971987902684009</v>
      </c>
    </row>
    <row r="303" spans="1:4">
      <c r="A303">
        <v>278</v>
      </c>
      <c r="B303">
        <v>12.7902398154104</v>
      </c>
      <c r="C303">
        <v>1.3898076295600248E-2</v>
      </c>
      <c r="D303">
        <v>0.45148705187494054</v>
      </c>
    </row>
    <row r="304" spans="1:4">
      <c r="A304">
        <v>279</v>
      </c>
      <c r="B304">
        <v>12.784025861163444</v>
      </c>
      <c r="C304">
        <v>2.0108245787856305E-2</v>
      </c>
      <c r="D304">
        <v>0.65322800192210595</v>
      </c>
    </row>
    <row r="305" spans="1:4">
      <c r="A305">
        <v>280</v>
      </c>
      <c r="B305">
        <v>12.777811906916488</v>
      </c>
      <c r="C305">
        <v>2.631760823091156E-2</v>
      </c>
      <c r="D305">
        <v>0.85494273450890934</v>
      </c>
    </row>
    <row r="306" spans="1:4">
      <c r="A306">
        <v>281</v>
      </c>
      <c r="B306">
        <v>12.098699830294372</v>
      </c>
      <c r="C306">
        <v>-2.3176544631471785E-2</v>
      </c>
      <c r="D306">
        <v>-0.75290346561299026</v>
      </c>
    </row>
    <row r="307" spans="1:4">
      <c r="A307">
        <v>282</v>
      </c>
      <c r="B307">
        <v>12.092485876047416</v>
      </c>
      <c r="C307">
        <v>-1.7001626781516066E-2</v>
      </c>
      <c r="D307">
        <v>-0.55230768556758747</v>
      </c>
    </row>
    <row r="308" spans="1:4">
      <c r="A308">
        <v>283</v>
      </c>
      <c r="B308">
        <v>12.086271921800462</v>
      </c>
      <c r="C308">
        <v>-1.0837274275161235E-2</v>
      </c>
      <c r="D308">
        <v>-0.35205512682367662</v>
      </c>
    </row>
    <row r="309" spans="1:4">
      <c r="A309">
        <v>284</v>
      </c>
      <c r="B309">
        <v>12.080057967553506</v>
      </c>
      <c r="C309">
        <v>-4.6852040652058946E-3</v>
      </c>
      <c r="D309">
        <v>-0.15220156558659453</v>
      </c>
    </row>
    <row r="310" spans="1:4">
      <c r="A310">
        <v>285</v>
      </c>
      <c r="B310">
        <v>12.07384401330655</v>
      </c>
      <c r="C310">
        <v>1.4543689348496258E-3</v>
      </c>
      <c r="D310">
        <v>4.7246016554220942E-2</v>
      </c>
    </row>
    <row r="311" spans="1:4">
      <c r="A311">
        <v>286</v>
      </c>
      <c r="B311">
        <v>11.394731936684433</v>
      </c>
      <c r="C311">
        <v>-3.0456916113633881E-2</v>
      </c>
      <c r="D311">
        <v>-0.98941054667400941</v>
      </c>
    </row>
    <row r="312" spans="1:4">
      <c r="A312">
        <v>287</v>
      </c>
      <c r="B312">
        <v>11.388517982437477</v>
      </c>
      <c r="C312">
        <v>-2.4828145312676853E-2</v>
      </c>
      <c r="D312">
        <v>-0.80655666959403194</v>
      </c>
    </row>
    <row r="313" spans="1:4">
      <c r="A313">
        <v>288</v>
      </c>
      <c r="B313">
        <v>11.382304028190523</v>
      </c>
      <c r="C313">
        <v>-1.931342088522392E-2</v>
      </c>
      <c r="D313">
        <v>-0.62740765496085882</v>
      </c>
    </row>
    <row r="314" spans="1:4">
      <c r="A314">
        <v>289</v>
      </c>
      <c r="B314">
        <v>11.376090073943567</v>
      </c>
      <c r="C314">
        <v>-1.393955650366685E-2</v>
      </c>
      <c r="D314">
        <v>-0.45283456044035819</v>
      </c>
    </row>
    <row r="315" spans="1:4">
      <c r="A315">
        <v>290</v>
      </c>
      <c r="B315">
        <v>11.369876119696611</v>
      </c>
      <c r="C315">
        <v>-8.7057302021111838E-3</v>
      </c>
      <c r="D315">
        <v>-0.28281068399474146</v>
      </c>
    </row>
    <row r="316" spans="1:4">
      <c r="A316">
        <v>291</v>
      </c>
      <c r="B316">
        <v>10.690764043074495</v>
      </c>
      <c r="C316">
        <v>-7.4774878803953726E-3</v>
      </c>
      <c r="D316">
        <v>-0.24291052133733435</v>
      </c>
    </row>
    <row r="317" spans="1:4">
      <c r="A317">
        <v>292</v>
      </c>
      <c r="B317">
        <v>10.684550088827539</v>
      </c>
      <c r="C317">
        <v>-7.4859123579393838E-3</v>
      </c>
      <c r="D317">
        <v>-0.24318419536595776</v>
      </c>
    </row>
    <row r="318" spans="1:4">
      <c r="A318">
        <v>293</v>
      </c>
      <c r="B318">
        <v>10.678336134580585</v>
      </c>
      <c r="C318">
        <v>-7.9305944112846305E-3</v>
      </c>
      <c r="D318">
        <v>-0.25762994922543958</v>
      </c>
    </row>
    <row r="319" spans="1:4">
      <c r="A319">
        <v>294</v>
      </c>
      <c r="B319">
        <v>10.672122180333629</v>
      </c>
      <c r="C319">
        <v>-9.009903498329308E-3</v>
      </c>
      <c r="D319">
        <v>-0.29269192956050938</v>
      </c>
    </row>
    <row r="320" spans="1:4">
      <c r="A320">
        <v>295</v>
      </c>
      <c r="B320">
        <v>10.665908226086673</v>
      </c>
      <c r="C320">
        <v>-1.064174126847206E-2</v>
      </c>
      <c r="D320">
        <v>-0.34570312393804808</v>
      </c>
    </row>
    <row r="321" spans="1:4">
      <c r="A321">
        <v>296</v>
      </c>
      <c r="B321">
        <v>9.9867961494645563</v>
      </c>
      <c r="C321">
        <v>5.336757926294311E-2</v>
      </c>
      <c r="D321">
        <v>1.7336766984619407</v>
      </c>
    </row>
    <row r="322" spans="1:4">
      <c r="A322">
        <v>297</v>
      </c>
      <c r="B322">
        <v>9.9805821952176004</v>
      </c>
      <c r="C322">
        <v>3.0280118644400389E-2</v>
      </c>
      <c r="D322">
        <v>0.98366717856568708</v>
      </c>
    </row>
    <row r="323" spans="1:4">
      <c r="A323">
        <v>298</v>
      </c>
      <c r="B323">
        <v>9.9743682409706462</v>
      </c>
      <c r="C323">
        <v>1.2308534346603395E-2</v>
      </c>
      <c r="D323">
        <v>0.39984986172573067</v>
      </c>
    </row>
    <row r="324" spans="1:4">
      <c r="A324">
        <v>299</v>
      </c>
      <c r="B324">
        <v>9.9681542867236903</v>
      </c>
      <c r="C324">
        <v>-2.8547449152203086E-3</v>
      </c>
      <c r="D324">
        <v>-9.2738040734156757E-2</v>
      </c>
    </row>
    <row r="325" spans="1:4">
      <c r="A325">
        <v>300</v>
      </c>
      <c r="B325">
        <v>9.9619403324767344</v>
      </c>
      <c r="C325">
        <v>-1.5936370092873631E-2</v>
      </c>
      <c r="D325">
        <v>-0.5177022055273397</v>
      </c>
    </row>
    <row r="326" spans="1:4">
      <c r="A326">
        <v>301</v>
      </c>
      <c r="B326">
        <v>12.80266772390431</v>
      </c>
      <c r="C326">
        <v>-6.2129240180009759E-2</v>
      </c>
      <c r="D326">
        <v>-2.0183043241015119</v>
      </c>
    </row>
    <row r="327" spans="1:4">
      <c r="A327">
        <v>302</v>
      </c>
      <c r="B327">
        <v>12.796453769657354</v>
      </c>
      <c r="C327">
        <v>-5.5917742808453852E-2</v>
      </c>
      <c r="D327">
        <v>-1.8165202371267903</v>
      </c>
    </row>
    <row r="328" spans="1:4">
      <c r="A328">
        <v>303</v>
      </c>
      <c r="B328">
        <v>12.7902398154104</v>
      </c>
      <c r="C328">
        <v>-4.9707054380700555E-2</v>
      </c>
      <c r="D328">
        <v>-1.6147624291596669</v>
      </c>
    </row>
    <row r="329" spans="1:4">
      <c r="A329">
        <v>304</v>
      </c>
      <c r="B329">
        <v>12.784025861163444</v>
      </c>
      <c r="C329">
        <v>-4.3497245699043674E-2</v>
      </c>
      <c r="D329">
        <v>-1.4130332002536323</v>
      </c>
    </row>
    <row r="330" spans="1:4">
      <c r="A330">
        <v>305</v>
      </c>
      <c r="B330">
        <v>12.777811906916488</v>
      </c>
      <c r="C330">
        <v>-3.7288316029387758E-2</v>
      </c>
      <c r="D330">
        <v>-1.211332526561171</v>
      </c>
    </row>
    <row r="331" spans="1:4">
      <c r="A331">
        <v>306</v>
      </c>
      <c r="B331">
        <v>12.098699830294372</v>
      </c>
      <c r="C331">
        <v>-7.7483005075771771E-2</v>
      </c>
      <c r="D331">
        <v>-2.5170802626220854</v>
      </c>
    </row>
    <row r="332" spans="1:4">
      <c r="A332">
        <v>307</v>
      </c>
      <c r="B332">
        <v>12.092485876047416</v>
      </c>
      <c r="C332">
        <v>-7.1310866231316439E-2</v>
      </c>
      <c r="D332">
        <v>-2.3165747601786921</v>
      </c>
    </row>
    <row r="333" spans="1:4">
      <c r="A333">
        <v>308</v>
      </c>
      <c r="B333">
        <v>12.086271921800462</v>
      </c>
      <c r="C333">
        <v>-6.5150188438360956E-2</v>
      </c>
      <c r="D333">
        <v>-2.1164415766262734</v>
      </c>
    </row>
    <row r="334" spans="1:4">
      <c r="A334">
        <v>309</v>
      </c>
      <c r="B334">
        <v>12.080057967553506</v>
      </c>
      <c r="C334">
        <v>-5.9002762143006038E-2</v>
      </c>
      <c r="D334">
        <v>-1.9167388756426182</v>
      </c>
    </row>
    <row r="335" spans="1:4">
      <c r="A335">
        <v>310</v>
      </c>
      <c r="B335">
        <v>12.07384401330655</v>
      </c>
      <c r="C335">
        <v>-5.2868812893850148E-2</v>
      </c>
      <c r="D335">
        <v>-1.7174739843044831</v>
      </c>
    </row>
    <row r="336" spans="1:4">
      <c r="A336">
        <v>311</v>
      </c>
      <c r="B336">
        <v>11.394731936684433</v>
      </c>
      <c r="C336">
        <v>-7.2842041229332466E-2</v>
      </c>
      <c r="D336">
        <v>-2.3663158661458339</v>
      </c>
    </row>
    <row r="337" spans="1:4">
      <c r="A337">
        <v>312</v>
      </c>
      <c r="B337">
        <v>11.388517982437477</v>
      </c>
      <c r="C337">
        <v>-6.7261335045477821E-2</v>
      </c>
      <c r="D337">
        <v>-2.1850233959694814</v>
      </c>
    </row>
    <row r="338" spans="1:4">
      <c r="A338">
        <v>313</v>
      </c>
      <c r="B338">
        <v>11.382304028190523</v>
      </c>
      <c r="C338">
        <v>-6.1793165480823475E-2</v>
      </c>
      <c r="D338">
        <v>-2.0073867429976144</v>
      </c>
    </row>
    <row r="339" spans="1:4">
      <c r="A339">
        <v>314</v>
      </c>
      <c r="B339">
        <v>11.376090073943567</v>
      </c>
      <c r="C339">
        <v>-5.6472930532367016E-2</v>
      </c>
      <c r="D339">
        <v>-1.8345558316490385</v>
      </c>
    </row>
    <row r="340" spans="1:4">
      <c r="A340">
        <v>315</v>
      </c>
      <c r="B340">
        <v>11.369876119696611</v>
      </c>
      <c r="C340">
        <v>-5.1301292715111302E-2</v>
      </c>
      <c r="D340">
        <v>-1.6665521841070468</v>
      </c>
    </row>
    <row r="341" spans="1:4">
      <c r="A341">
        <v>316</v>
      </c>
      <c r="B341">
        <v>10.690764043074495</v>
      </c>
      <c r="C341">
        <v>-3.5762015595395269E-2</v>
      </c>
      <c r="D341">
        <v>-1.1617497736274529</v>
      </c>
    </row>
    <row r="342" spans="1:4">
      <c r="A342">
        <v>317</v>
      </c>
      <c r="B342">
        <v>10.684550088827539</v>
      </c>
      <c r="C342">
        <v>-3.6409855353838338E-2</v>
      </c>
      <c r="D342">
        <v>-1.1827952231131078</v>
      </c>
    </row>
    <row r="343" spans="1:4">
      <c r="A343">
        <v>318</v>
      </c>
      <c r="B343">
        <v>10.678336134580585</v>
      </c>
      <c r="C343">
        <v>-3.7351445136383887E-2</v>
      </c>
      <c r="D343">
        <v>-1.2133833121374598</v>
      </c>
    </row>
    <row r="344" spans="1:4">
      <c r="A344">
        <v>319</v>
      </c>
      <c r="B344">
        <v>10.672122180333629</v>
      </c>
      <c r="C344">
        <v>-3.8909516824128687E-2</v>
      </c>
      <c r="D344">
        <v>-1.263998172636708</v>
      </c>
    </row>
    <row r="345" spans="1:4">
      <c r="A345">
        <v>320</v>
      </c>
      <c r="B345">
        <v>10.665908226086673</v>
      </c>
      <c r="C345">
        <v>-4.1034057392272061E-2</v>
      </c>
      <c r="D345">
        <v>-1.3330151025555212</v>
      </c>
    </row>
    <row r="346" spans="1:4">
      <c r="A346">
        <v>321</v>
      </c>
      <c r="B346">
        <v>9.9867961494645563</v>
      </c>
      <c r="C346">
        <v>4.1471932612344276E-2</v>
      </c>
      <c r="D346">
        <v>1.3472397324967225</v>
      </c>
    </row>
    <row r="347" spans="1:4">
      <c r="A347">
        <v>322</v>
      </c>
      <c r="B347">
        <v>9.9805821952176004</v>
      </c>
      <c r="C347">
        <v>1.6133593916888955E-2</v>
      </c>
      <c r="D347">
        <v>0.52410913559235672</v>
      </c>
    </row>
    <row r="348" spans="1:4">
      <c r="A348">
        <v>323</v>
      </c>
      <c r="B348">
        <v>9.9743682409706462</v>
      </c>
      <c r="C348">
        <v>-3.7499109177865364E-3</v>
      </c>
      <c r="D348">
        <v>-0.12181802639844948</v>
      </c>
    </row>
    <row r="349" spans="1:4">
      <c r="A349">
        <v>324</v>
      </c>
      <c r="B349">
        <v>9.9681542867236903</v>
      </c>
      <c r="C349">
        <v>-2.0678668448679716E-2</v>
      </c>
      <c r="D349">
        <v>-0.67175851218699423</v>
      </c>
    </row>
    <row r="350" spans="1:4">
      <c r="A350">
        <v>325</v>
      </c>
      <c r="B350">
        <v>9.9619403324767344</v>
      </c>
      <c r="C350">
        <v>-3.5448741755404356E-2</v>
      </c>
      <c r="D350">
        <v>-1.1515728916303511</v>
      </c>
    </row>
    <row r="351" spans="1:4">
      <c r="A351">
        <v>326</v>
      </c>
      <c r="B351">
        <v>12.80266772390431</v>
      </c>
      <c r="C351">
        <v>-4.4295602127009559E-2</v>
      </c>
      <c r="D351">
        <v>-1.4389682708591831</v>
      </c>
    </row>
    <row r="352" spans="1:4">
      <c r="A352">
        <v>327</v>
      </c>
      <c r="B352">
        <v>12.796453769657354</v>
      </c>
      <c r="C352">
        <v>-3.8084046806954319E-2</v>
      </c>
      <c r="D352">
        <v>-1.2371823013939234</v>
      </c>
    </row>
    <row r="353" spans="1:4">
      <c r="A353">
        <v>328</v>
      </c>
      <c r="B353">
        <v>12.7902398154104</v>
      </c>
      <c r="C353">
        <v>-3.1873282363600097E-2</v>
      </c>
      <c r="D353">
        <v>-1.0354220240160104</v>
      </c>
    </row>
    <row r="354" spans="1:4">
      <c r="A354">
        <v>329</v>
      </c>
      <c r="B354">
        <v>12.784025861163444</v>
      </c>
      <c r="C354">
        <v>-2.5663359183644374E-2</v>
      </c>
      <c r="D354">
        <v>-0.83368907556647276</v>
      </c>
    </row>
    <row r="355" spans="1:4">
      <c r="A355">
        <v>330</v>
      </c>
      <c r="B355">
        <v>12.777811906916488</v>
      </c>
      <c r="C355">
        <v>-1.9454323266788975E-2</v>
      </c>
      <c r="D355">
        <v>-0.63198495037224645</v>
      </c>
    </row>
    <row r="356" spans="1:4">
      <c r="A356">
        <v>331</v>
      </c>
      <c r="B356">
        <v>12.098699830294372</v>
      </c>
      <c r="C356">
        <v>-6.231566078197126E-2</v>
      </c>
      <c r="D356">
        <v>-2.024360305245823</v>
      </c>
    </row>
    <row r="357" spans="1:4">
      <c r="A357">
        <v>332</v>
      </c>
      <c r="B357">
        <v>12.092485876047416</v>
      </c>
      <c r="C357">
        <v>-5.6142778486716338E-2</v>
      </c>
      <c r="D357">
        <v>-1.8238306513729383</v>
      </c>
    </row>
    <row r="358" spans="1:4">
      <c r="A358">
        <v>333</v>
      </c>
      <c r="B358">
        <v>12.086271921800462</v>
      </c>
      <c r="C358">
        <v>-4.9981084427361822E-2</v>
      </c>
      <c r="D358">
        <v>-1.62366445381839</v>
      </c>
    </row>
    <row r="359" spans="1:4">
      <c r="A359">
        <v>334</v>
      </c>
      <c r="B359">
        <v>12.080057967553506</v>
      </c>
      <c r="C359">
        <v>-4.383236722190631E-2</v>
      </c>
      <c r="D359">
        <v>-1.4239198168730123</v>
      </c>
    </row>
    <row r="360" spans="1:4">
      <c r="A360">
        <v>335</v>
      </c>
      <c r="B360">
        <v>12.07384401330655</v>
      </c>
      <c r="C360">
        <v>-3.7696853324950652E-2</v>
      </c>
      <c r="D360">
        <v>-1.2246040970455727</v>
      </c>
    </row>
    <row r="361" spans="1:4">
      <c r="A361">
        <v>336</v>
      </c>
      <c r="B361">
        <v>11.394731936684433</v>
      </c>
      <c r="C361">
        <v>-6.1036820995433061E-2</v>
      </c>
      <c r="D361">
        <v>-1.9828164546607394</v>
      </c>
    </row>
    <row r="362" spans="1:4">
      <c r="A362">
        <v>337</v>
      </c>
      <c r="B362">
        <v>11.388517982437477</v>
      </c>
      <c r="C362">
        <v>-5.5444585026878102E-2</v>
      </c>
      <c r="D362">
        <v>-1.8011494327556163</v>
      </c>
    </row>
    <row r="363" spans="1:4">
      <c r="A363">
        <v>338</v>
      </c>
      <c r="B363">
        <v>11.382304028190523</v>
      </c>
      <c r="C363">
        <v>-4.996410841732235E-2</v>
      </c>
      <c r="D363">
        <v>-1.6231129783075133</v>
      </c>
    </row>
    <row r="364" spans="1:4">
      <c r="A364">
        <v>339</v>
      </c>
      <c r="B364">
        <v>11.376090073943567</v>
      </c>
      <c r="C364">
        <v>-4.4629229583867058E-2</v>
      </c>
      <c r="D364">
        <v>-1.4498063518797062</v>
      </c>
    </row>
    <row r="365" spans="1:4">
      <c r="A365">
        <v>340</v>
      </c>
      <c r="B365">
        <v>11.369876119696611</v>
      </c>
      <c r="C365">
        <v>-3.9440459324911359E-2</v>
      </c>
      <c r="D365">
        <v>-1.2812461470538121</v>
      </c>
    </row>
    <row r="366" spans="1:4">
      <c r="A366">
        <v>341</v>
      </c>
      <c r="B366">
        <v>10.690764043074495</v>
      </c>
      <c r="C366">
        <v>-2.7864942422695549E-2</v>
      </c>
      <c r="D366">
        <v>-0.90520878123762138</v>
      </c>
    </row>
    <row r="367" spans="1:4">
      <c r="A367">
        <v>342</v>
      </c>
      <c r="B367">
        <v>10.684550088827539</v>
      </c>
      <c r="C367">
        <v>-2.8349469763739421E-2</v>
      </c>
      <c r="D367">
        <v>-0.92094893232816866</v>
      </c>
    </row>
    <row r="368" spans="1:4">
      <c r="A368">
        <v>343</v>
      </c>
      <c r="B368">
        <v>10.678336134580585</v>
      </c>
      <c r="C368">
        <v>-2.9161057684884639E-2</v>
      </c>
      <c r="D368">
        <v>-0.94731383564728244</v>
      </c>
    </row>
    <row r="369" spans="1:4">
      <c r="A369">
        <v>344</v>
      </c>
      <c r="B369">
        <v>10.672122180333629</v>
      </c>
      <c r="C369">
        <v>-3.0591185424528433E-2</v>
      </c>
      <c r="D369">
        <v>-0.99377236294582338</v>
      </c>
    </row>
    <row r="370" spans="1:4">
      <c r="A370">
        <v>345</v>
      </c>
      <c r="B370">
        <v>10.665908226086673</v>
      </c>
      <c r="C370">
        <v>-3.2582369336472183E-2</v>
      </c>
      <c r="D370">
        <v>-1.0584571247087797</v>
      </c>
    </row>
    <row r="371" spans="1:4">
      <c r="A371">
        <v>346</v>
      </c>
      <c r="B371">
        <v>9.9867961494645563</v>
      </c>
      <c r="C371">
        <v>4.4830157286543937E-2</v>
      </c>
      <c r="D371">
        <v>1.4563336045866371</v>
      </c>
    </row>
    <row r="372" spans="1:4">
      <c r="A372">
        <v>347</v>
      </c>
      <c r="B372">
        <v>9.9805821952176004</v>
      </c>
      <c r="C372">
        <v>2.0114892261299033E-2</v>
      </c>
      <c r="D372">
        <v>0.65344391645849198</v>
      </c>
    </row>
    <row r="373" spans="1:4">
      <c r="A373">
        <v>348</v>
      </c>
      <c r="B373">
        <v>9.9743682409706462</v>
      </c>
      <c r="C373">
        <v>7.5817942011369155E-4</v>
      </c>
      <c r="D373">
        <v>2.4629897253316133E-2</v>
      </c>
    </row>
    <row r="374" spans="1:4">
      <c r="A374">
        <v>349</v>
      </c>
      <c r="B374">
        <v>9.9681542867236903</v>
      </c>
      <c r="C374">
        <v>-1.5685670929370232E-2</v>
      </c>
      <c r="D374">
        <v>-0.50955809811058195</v>
      </c>
    </row>
    <row r="375" spans="1:4">
      <c r="A375">
        <v>350</v>
      </c>
      <c r="B375">
        <v>9.9619403324767344</v>
      </c>
      <c r="C375">
        <v>-2.9993254060023844E-2</v>
      </c>
      <c r="D375">
        <v>-0.97434821652138626</v>
      </c>
    </row>
    <row r="376" spans="1:4">
      <c r="A376">
        <v>351</v>
      </c>
      <c r="B376">
        <v>12.80266772390431</v>
      </c>
      <c r="C376">
        <v>-3.1398177772409497E-2</v>
      </c>
      <c r="D376">
        <v>-1.0199879764077957</v>
      </c>
    </row>
    <row r="377" spans="1:4">
      <c r="A377">
        <v>352</v>
      </c>
      <c r="B377">
        <v>12.796453769657354</v>
      </c>
      <c r="C377">
        <v>-2.5186578749053723E-2</v>
      </c>
      <c r="D377">
        <v>-0.81820058721552513</v>
      </c>
    </row>
    <row r="378" spans="1:4">
      <c r="A378">
        <v>353</v>
      </c>
      <c r="B378">
        <v>12.7902398154104</v>
      </c>
      <c r="C378">
        <v>-1.8975750269000002E-2</v>
      </c>
      <c r="D378">
        <v>-0.61643822956836813</v>
      </c>
    </row>
    <row r="379" spans="1:4">
      <c r="A379">
        <v>354</v>
      </c>
      <c r="B379">
        <v>12.784025861163444</v>
      </c>
      <c r="C379">
        <v>-1.2765769102843549E-2</v>
      </c>
      <c r="D379">
        <v>-0.41470339740354073</v>
      </c>
    </row>
    <row r="380" spans="1:4">
      <c r="A380">
        <v>355</v>
      </c>
      <c r="B380">
        <v>12.777811906916488</v>
      </c>
      <c r="C380">
        <v>-6.5566402651882072E-3</v>
      </c>
      <c r="D380">
        <v>-0.21299625362335092</v>
      </c>
    </row>
    <row r="381" spans="1:4">
      <c r="A381">
        <v>356</v>
      </c>
      <c r="B381">
        <v>12.098699830294372</v>
      </c>
      <c r="C381">
        <v>-5.131956620547129E-2</v>
      </c>
      <c r="D381">
        <v>-1.6671458090170428</v>
      </c>
    </row>
    <row r="382" spans="1:4">
      <c r="A382">
        <v>357</v>
      </c>
      <c r="B382">
        <v>12.092485876047416</v>
      </c>
      <c r="C382">
        <v>-4.5146134593515796E-2</v>
      </c>
      <c r="D382">
        <v>-1.466598310273227</v>
      </c>
    </row>
    <row r="383" spans="1:4">
      <c r="A383">
        <v>358</v>
      </c>
      <c r="B383">
        <v>12.086271921800462</v>
      </c>
      <c r="C383">
        <v>-3.8983693458062518E-2</v>
      </c>
      <c r="D383">
        <v>-1.2664078435192454</v>
      </c>
    </row>
    <row r="384" spans="1:4">
      <c r="A384">
        <v>359</v>
      </c>
      <c r="B384">
        <v>12.080057967553506</v>
      </c>
      <c r="C384">
        <v>-3.2834040439706058E-2</v>
      </c>
      <c r="D384">
        <v>-1.0666328061501853</v>
      </c>
    </row>
    <row r="385" spans="1:4">
      <c r="A385">
        <v>360</v>
      </c>
      <c r="B385">
        <v>12.07384401330655</v>
      </c>
      <c r="C385">
        <v>-2.6697390362649287E-2</v>
      </c>
      <c r="D385">
        <v>-0.86728017685460501</v>
      </c>
    </row>
    <row r="386" spans="1:4">
      <c r="A386">
        <v>361</v>
      </c>
      <c r="B386">
        <v>11.394731936684433</v>
      </c>
      <c r="C386">
        <v>-5.2463054128633502E-2</v>
      </c>
      <c r="D386">
        <v>-1.7042926759864336</v>
      </c>
    </row>
    <row r="387" spans="1:4">
      <c r="A387">
        <v>362</v>
      </c>
      <c r="B387">
        <v>11.388517982437477</v>
      </c>
      <c r="C387">
        <v>-4.6861775701477981E-2</v>
      </c>
      <c r="D387">
        <v>-1.5223319045804131</v>
      </c>
    </row>
    <row r="388" spans="1:4">
      <c r="A388">
        <v>363</v>
      </c>
      <c r="B388">
        <v>11.382304028190523</v>
      </c>
      <c r="C388">
        <v>-4.1372141987123356E-2</v>
      </c>
      <c r="D388">
        <v>-1.3439979762833094</v>
      </c>
    </row>
    <row r="389" spans="1:4">
      <c r="A389">
        <v>364</v>
      </c>
      <c r="B389">
        <v>11.376090073943567</v>
      </c>
      <c r="C389">
        <v>-3.6026530848467075E-2</v>
      </c>
      <c r="D389">
        <v>-1.1703427047098034</v>
      </c>
    </row>
    <row r="390" spans="1:4">
      <c r="A390">
        <v>365</v>
      </c>
      <c r="B390">
        <v>11.369876119696611</v>
      </c>
      <c r="C390">
        <v>-3.0825245083111241E-2</v>
      </c>
      <c r="D390">
        <v>-1.0013759264152411</v>
      </c>
    </row>
    <row r="391" spans="1:4">
      <c r="A391">
        <v>366</v>
      </c>
      <c r="B391">
        <v>10.690764043074495</v>
      </c>
      <c r="C391">
        <v>-2.2136988384895417E-2</v>
      </c>
      <c r="D391">
        <v>-0.71913287930720593</v>
      </c>
    </row>
    <row r="392" spans="1:4">
      <c r="A392">
        <v>367</v>
      </c>
      <c r="B392">
        <v>10.684550088827539</v>
      </c>
      <c r="C392">
        <v>-2.2496368230939368E-2</v>
      </c>
      <c r="D392">
        <v>-0.73080754159446215</v>
      </c>
    </row>
    <row r="393" spans="1:4">
      <c r="A393">
        <v>368</v>
      </c>
      <c r="B393">
        <v>10.678336134580585</v>
      </c>
      <c r="C393">
        <v>-2.3209945724984138E-2</v>
      </c>
      <c r="D393">
        <v>-0.75398851946638334</v>
      </c>
    </row>
    <row r="394" spans="1:4">
      <c r="A394">
        <v>369</v>
      </c>
      <c r="B394">
        <v>10.672122180333629</v>
      </c>
      <c r="C394">
        <v>-2.4544901354428106E-2</v>
      </c>
      <c r="D394">
        <v>-0.79735532568490408</v>
      </c>
    </row>
    <row r="395" spans="1:4">
      <c r="A395">
        <v>370</v>
      </c>
      <c r="B395">
        <v>10.665908226086673</v>
      </c>
      <c r="C395">
        <v>-2.6437618383772232E-2</v>
      </c>
      <c r="D395">
        <v>-0.85884133377960692</v>
      </c>
    </row>
    <row r="396" spans="1:4">
      <c r="A396">
        <v>371</v>
      </c>
      <c r="B396">
        <v>9.9867961494645563</v>
      </c>
      <c r="C396">
        <v>4.7248511674043314E-2</v>
      </c>
      <c r="D396">
        <v>1.5348952464698791</v>
      </c>
    </row>
    <row r="397" spans="1:4">
      <c r="A397">
        <v>372</v>
      </c>
      <c r="B397">
        <v>9.9805821952176004</v>
      </c>
      <c r="C397">
        <v>2.2987890803999989E-2</v>
      </c>
      <c r="D397">
        <v>0.7467749368455141</v>
      </c>
    </row>
    <row r="398" spans="1:4">
      <c r="A398">
        <v>373</v>
      </c>
      <c r="B398">
        <v>9.9743682409706462</v>
      </c>
      <c r="C398">
        <v>4.016722845303633E-3</v>
      </c>
      <c r="D398">
        <v>0.13048556627933927</v>
      </c>
    </row>
    <row r="399" spans="1:4">
      <c r="A399">
        <v>374</v>
      </c>
      <c r="B399">
        <v>9.9681542867236903</v>
      </c>
      <c r="C399">
        <v>-1.207155695720985E-2</v>
      </c>
      <c r="D399">
        <v>-0.39215151408231025</v>
      </c>
    </row>
    <row r="400" spans="1:4">
      <c r="A400">
        <v>375</v>
      </c>
      <c r="B400">
        <v>9.9619403324767344</v>
      </c>
      <c r="C400">
        <v>-2.6039407329864872E-2</v>
      </c>
      <c r="D400">
        <v>-0.84590521723162371</v>
      </c>
    </row>
    <row r="401" spans="1:4">
      <c r="A401">
        <v>376</v>
      </c>
      <c r="B401">
        <v>12.80266772390431</v>
      </c>
      <c r="C401">
        <v>-2.1633659876711064E-2</v>
      </c>
      <c r="D401">
        <v>-0.70278196142105898</v>
      </c>
    </row>
    <row r="402" spans="1:4">
      <c r="A402">
        <v>377</v>
      </c>
      <c r="B402">
        <v>12.796453769657354</v>
      </c>
      <c r="C402">
        <v>-1.5422026520854004E-2</v>
      </c>
      <c r="D402">
        <v>-0.50099345691761443</v>
      </c>
    </row>
    <row r="403" spans="1:4">
      <c r="A403">
        <v>378</v>
      </c>
      <c r="B403">
        <v>12.7902398154104</v>
      </c>
      <c r="C403">
        <v>-9.2111558573009233E-3</v>
      </c>
      <c r="D403">
        <v>-0.29922972891506727</v>
      </c>
    </row>
    <row r="404" spans="1:4">
      <c r="A404">
        <v>379</v>
      </c>
      <c r="B404">
        <v>12.784025861163444</v>
      </c>
      <c r="C404">
        <v>-3.0011101486451253E-3</v>
      </c>
      <c r="D404">
        <v>-9.7492800049795117E-2</v>
      </c>
    </row>
    <row r="405" spans="1:4">
      <c r="A405">
        <v>380</v>
      </c>
      <c r="B405">
        <v>12.777811906916488</v>
      </c>
      <c r="C405">
        <v>3.2080829777108022E-3</v>
      </c>
      <c r="D405">
        <v>0.10421643218603982</v>
      </c>
    </row>
    <row r="406" spans="1:4">
      <c r="A406">
        <v>381</v>
      </c>
      <c r="B406">
        <v>12.098699830294372</v>
      </c>
      <c r="C406">
        <v>-4.2978323689371933E-2</v>
      </c>
      <c r="D406">
        <v>-1.39617571844704</v>
      </c>
    </row>
    <row r="407" spans="1:4">
      <c r="A407">
        <v>382</v>
      </c>
      <c r="B407">
        <v>12.092485876047416</v>
      </c>
      <c r="C407">
        <v>-3.6804464043616036E-2</v>
      </c>
      <c r="D407">
        <v>-1.1956143147774965</v>
      </c>
    </row>
    <row r="408" spans="1:4">
      <c r="A408">
        <v>383</v>
      </c>
      <c r="B408">
        <v>12.086271921800462</v>
      </c>
      <c r="C408">
        <v>-3.0641468869662347E-2</v>
      </c>
      <c r="D408">
        <v>-0.99540584976218316</v>
      </c>
    </row>
    <row r="409" spans="1:4">
      <c r="A409">
        <v>384</v>
      </c>
      <c r="B409">
        <v>12.080057967553506</v>
      </c>
      <c r="C409">
        <v>-2.4491102980606527E-2</v>
      </c>
      <c r="D409">
        <v>-0.79560765437588554</v>
      </c>
    </row>
    <row r="410" spans="1:4">
      <c r="A410">
        <v>385</v>
      </c>
      <c r="B410">
        <v>12.07384401330655</v>
      </c>
      <c r="C410">
        <v>-1.8353586309350689E-2</v>
      </c>
      <c r="D410">
        <v>-0.59622687326621338</v>
      </c>
    </row>
    <row r="411" spans="1:4">
      <c r="A411">
        <v>386</v>
      </c>
      <c r="B411">
        <v>11.394731936684433</v>
      </c>
      <c r="C411">
        <v>-4.5950382544234003E-2</v>
      </c>
      <c r="D411">
        <v>-1.4927247704050637</v>
      </c>
    </row>
    <row r="412" spans="1:4">
      <c r="A412">
        <v>387</v>
      </c>
      <c r="B412">
        <v>11.388517982437477</v>
      </c>
      <c r="C412">
        <v>-4.0341769694277829E-2</v>
      </c>
      <c r="D412">
        <v>-1.3105257360296192</v>
      </c>
    </row>
    <row r="413" spans="1:4">
      <c r="A413">
        <v>388</v>
      </c>
      <c r="B413">
        <v>11.382304028190523</v>
      </c>
      <c r="C413">
        <v>-3.4844966561323076E-2</v>
      </c>
      <c r="D413">
        <v>-1.1319589050200407</v>
      </c>
    </row>
    <row r="414" spans="1:4">
      <c r="A414">
        <v>389</v>
      </c>
      <c r="B414">
        <v>11.376090073943567</v>
      </c>
      <c r="C414">
        <v>-2.9491136695966702E-2</v>
      </c>
      <c r="D414">
        <v>-0.95803664335315275</v>
      </c>
    </row>
    <row r="415" spans="1:4">
      <c r="A415">
        <v>390</v>
      </c>
      <c r="B415">
        <v>11.369876119696611</v>
      </c>
      <c r="C415">
        <v>-2.42802920675107E-2</v>
      </c>
      <c r="D415">
        <v>-0.78875933985865776</v>
      </c>
    </row>
    <row r="416" spans="1:4">
      <c r="A416">
        <v>391</v>
      </c>
      <c r="B416">
        <v>10.690764043074495</v>
      </c>
      <c r="C416">
        <v>-1.7791324805095599E-2</v>
      </c>
      <c r="D416">
        <v>-0.57796148289565796</v>
      </c>
    </row>
    <row r="417" spans="1:4">
      <c r="A417">
        <v>392</v>
      </c>
      <c r="B417">
        <v>10.684550088827539</v>
      </c>
      <c r="C417">
        <v>-1.8051548445239263E-2</v>
      </c>
      <c r="D417">
        <v>-0.58641499844829759</v>
      </c>
    </row>
    <row r="418" spans="1:4">
      <c r="A418">
        <v>393</v>
      </c>
      <c r="B418">
        <v>10.678336134580585</v>
      </c>
      <c r="C418">
        <v>-1.868836885708447E-2</v>
      </c>
      <c r="D418">
        <v>-0.60710247808235296</v>
      </c>
    </row>
    <row r="419" spans="1:4">
      <c r="A419">
        <v>394</v>
      </c>
      <c r="B419">
        <v>10.672122180333629</v>
      </c>
      <c r="C419">
        <v>-1.9949530588228015E-2</v>
      </c>
      <c r="D419">
        <v>-0.64807204680689301</v>
      </c>
    </row>
    <row r="420" spans="1:4">
      <c r="A420">
        <v>395</v>
      </c>
      <c r="B420">
        <v>10.665908226086673</v>
      </c>
      <c r="C420">
        <v>-2.1766401828573478E-2</v>
      </c>
      <c r="D420">
        <v>-0.70709416055076579</v>
      </c>
    </row>
    <row r="421" spans="1:4">
      <c r="A421">
        <v>396</v>
      </c>
      <c r="B421">
        <v>9.9867961494645563</v>
      </c>
      <c r="C421">
        <v>4.9073166978343963E-2</v>
      </c>
      <c r="D421">
        <v>1.5941702300363074</v>
      </c>
    </row>
    <row r="422" spans="1:4">
      <c r="A422">
        <v>397</v>
      </c>
      <c r="B422">
        <v>9.9805821952176004</v>
      </c>
      <c r="C422">
        <v>2.5158921198499939E-2</v>
      </c>
      <c r="D422">
        <v>0.81730211567917566</v>
      </c>
    </row>
    <row r="423" spans="1:4">
      <c r="A423">
        <v>398</v>
      </c>
      <c r="B423">
        <v>9.9743682409706462</v>
      </c>
      <c r="C423">
        <v>6.4821390479234964E-3</v>
      </c>
      <c r="D423">
        <v>0.21057603846345954</v>
      </c>
    </row>
    <row r="424" spans="1:4">
      <c r="A424">
        <v>399</v>
      </c>
      <c r="B424">
        <v>9.9681542867236903</v>
      </c>
      <c r="C424">
        <v>-9.334177832950985E-3</v>
      </c>
      <c r="D424">
        <v>-0.30322616899214905</v>
      </c>
    </row>
    <row r="425" spans="1:4" ht="16.5" thickBot="1">
      <c r="A425" s="12">
        <v>400</v>
      </c>
      <c r="B425" s="12">
        <v>9.9619403324767344</v>
      </c>
      <c r="C425" s="12">
        <v>-2.3041841692194254E-2</v>
      </c>
      <c r="D425" s="12">
        <v>-0.74852756267219589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DC27-04FA-B042-96B5-0B11EEF27B0E}">
  <dimension ref="A1:I424"/>
  <sheetViews>
    <sheetView workbookViewId="0"/>
  </sheetViews>
  <sheetFormatPr defaultColWidth="11" defaultRowHeight="15.75"/>
  <sheetData>
    <row r="1" spans="1:9">
      <c r="A1" t="s">
        <v>2</v>
      </c>
    </row>
    <row r="2" spans="1:9" ht="16.5" thickBot="1"/>
    <row r="3" spans="1:9">
      <c r="A3" s="14" t="s">
        <v>3</v>
      </c>
      <c r="B3" s="14"/>
    </row>
    <row r="4" spans="1:9">
      <c r="A4" t="s">
        <v>4</v>
      </c>
      <c r="B4">
        <v>0.99948460772425296</v>
      </c>
    </row>
    <row r="5" spans="1:9">
      <c r="A5" t="s">
        <v>5</v>
      </c>
      <c r="B5">
        <v>0.99896948107770378</v>
      </c>
    </row>
    <row r="6" spans="1:9">
      <c r="A6" t="s">
        <v>6</v>
      </c>
      <c r="B6">
        <v>0.99896689183418041</v>
      </c>
    </row>
    <row r="7" spans="1:9">
      <c r="A7" t="s">
        <v>7</v>
      </c>
      <c r="B7">
        <v>3.2055915521873417E-2</v>
      </c>
    </row>
    <row r="8" spans="1:9" ht="16.5" thickBot="1">
      <c r="A8" s="12" t="s">
        <v>8</v>
      </c>
      <c r="B8" s="12">
        <v>400</v>
      </c>
    </row>
    <row r="10" spans="1:9" ht="16.5" thickBot="1">
      <c r="A10" t="s">
        <v>9</v>
      </c>
    </row>
    <row r="11" spans="1:9">
      <c r="A11" s="13"/>
      <c r="B11" s="13" t="s">
        <v>14</v>
      </c>
      <c r="C11" s="13" t="s">
        <v>15</v>
      </c>
      <c r="D11" s="13" t="s">
        <v>16</v>
      </c>
      <c r="E11" s="13" t="s">
        <v>17</v>
      </c>
      <c r="F11" s="13" t="s">
        <v>18</v>
      </c>
    </row>
    <row r="12" spans="1:9">
      <c r="A12" t="s">
        <v>10</v>
      </c>
      <c r="B12">
        <v>1</v>
      </c>
      <c r="C12">
        <v>396.45663618689264</v>
      </c>
      <c r="D12">
        <v>396.45663618689264</v>
      </c>
      <c r="E12">
        <v>385815.18967457424</v>
      </c>
      <c r="F12">
        <v>0</v>
      </c>
    </row>
    <row r="13" spans="1:9">
      <c r="A13" t="s">
        <v>11</v>
      </c>
      <c r="B13">
        <v>398</v>
      </c>
      <c r="C13">
        <v>0.40897752453830316</v>
      </c>
      <c r="D13">
        <v>1.0275817199454852E-3</v>
      </c>
    </row>
    <row r="14" spans="1:9" ht="16.5" thickBot="1">
      <c r="A14" s="12" t="s">
        <v>12</v>
      </c>
      <c r="B14" s="12">
        <v>399</v>
      </c>
      <c r="C14" s="12">
        <v>396.86561371143097</v>
      </c>
      <c r="D14" s="12"/>
      <c r="E14" s="12"/>
      <c r="F14" s="12"/>
    </row>
    <row r="15" spans="1:9" ht="16.5" thickBot="1"/>
    <row r="16" spans="1:9">
      <c r="A16" s="13"/>
      <c r="B16" s="13" t="s">
        <v>19</v>
      </c>
      <c r="C16" s="13" t="s">
        <v>7</v>
      </c>
      <c r="D16" s="13" t="s">
        <v>20</v>
      </c>
      <c r="E16" s="13" t="s">
        <v>21</v>
      </c>
      <c r="F16" s="13" t="s">
        <v>22</v>
      </c>
      <c r="G16" s="13" t="s">
        <v>23</v>
      </c>
      <c r="H16" s="13" t="s">
        <v>42</v>
      </c>
      <c r="I16" s="13" t="s">
        <v>43</v>
      </c>
    </row>
    <row r="17" spans="1:9">
      <c r="A17" t="s">
        <v>13</v>
      </c>
      <c r="B17">
        <v>16.310079283460119</v>
      </c>
      <c r="C17">
        <v>8.0937219279219718E-3</v>
      </c>
      <c r="D17">
        <v>2015.1519200570883</v>
      </c>
      <c r="E17">
        <v>0</v>
      </c>
      <c r="F17">
        <v>16.294167492963524</v>
      </c>
      <c r="G17">
        <v>16.325991073956715</v>
      </c>
      <c r="H17">
        <v>16.294167492963524</v>
      </c>
      <c r="I17">
        <v>16.325991073956715</v>
      </c>
    </row>
    <row r="18" spans="1:9" ht="16.5" thickBot="1">
      <c r="A18" s="12" t="s">
        <v>24</v>
      </c>
      <c r="B18" s="12">
        <v>-7.0396789360994303</v>
      </c>
      <c r="C18" s="12">
        <v>1.1333477621329923E-2</v>
      </c>
      <c r="D18" s="12">
        <v>-621.14023350172386</v>
      </c>
      <c r="E18" s="12">
        <v>0</v>
      </c>
      <c r="F18" s="12">
        <v>-7.0619598994330408</v>
      </c>
      <c r="G18" s="12">
        <v>-7.0173979727658198</v>
      </c>
      <c r="H18" s="12">
        <v>-7.0619598994330408</v>
      </c>
      <c r="I18" s="12">
        <v>-7.0173979727658198</v>
      </c>
    </row>
    <row r="22" spans="1:9">
      <c r="A22" t="s">
        <v>26</v>
      </c>
    </row>
    <row r="23" spans="1:9" ht="16.5" thickBot="1"/>
    <row r="24" spans="1:9">
      <c r="A24" s="13" t="s">
        <v>27</v>
      </c>
      <c r="B24" s="13" t="s">
        <v>28</v>
      </c>
      <c r="C24" s="13" t="s">
        <v>29</v>
      </c>
      <c r="D24" s="13" t="s">
        <v>44</v>
      </c>
    </row>
    <row r="25" spans="1:9">
      <c r="A25">
        <v>1</v>
      </c>
      <c r="B25">
        <v>12.790239815410404</v>
      </c>
      <c r="C25">
        <v>6.1726615525095951E-2</v>
      </c>
      <c r="D25">
        <v>1.9280096004004836</v>
      </c>
    </row>
    <row r="26" spans="1:9">
      <c r="A26">
        <v>2</v>
      </c>
      <c r="B26">
        <v>12.790239815410404</v>
      </c>
      <c r="C26">
        <v>6.1724629393395958E-2</v>
      </c>
      <c r="D26">
        <v>1.927947564260114</v>
      </c>
    </row>
    <row r="27" spans="1:9">
      <c r="A27">
        <v>3</v>
      </c>
      <c r="B27">
        <v>12.790239815410404</v>
      </c>
      <c r="C27">
        <v>6.1721901056396078E-2</v>
      </c>
      <c r="D27">
        <v>1.9278623455925401</v>
      </c>
    </row>
    <row r="28" spans="1:9">
      <c r="A28">
        <v>4</v>
      </c>
      <c r="B28">
        <v>12.790239815410404</v>
      </c>
      <c r="C28">
        <v>6.1718410652595423E-2</v>
      </c>
      <c r="D28">
        <v>1.9277533240306144</v>
      </c>
    </row>
    <row r="29" spans="1:9">
      <c r="A29">
        <v>5</v>
      </c>
      <c r="B29">
        <v>12.790239815410404</v>
      </c>
      <c r="C29">
        <v>6.1714157845095485E-2</v>
      </c>
      <c r="D29">
        <v>1.9276204890514277</v>
      </c>
    </row>
    <row r="30" spans="1:9">
      <c r="A30">
        <v>6</v>
      </c>
      <c r="B30">
        <v>12.086271921800462</v>
      </c>
      <c r="C30">
        <v>3.0581850520238874E-2</v>
      </c>
      <c r="D30">
        <v>0.95521358006516777</v>
      </c>
    </row>
    <row r="31" spans="1:9">
      <c r="A31">
        <v>7</v>
      </c>
      <c r="B31">
        <v>12.086271921800462</v>
      </c>
      <c r="C31">
        <v>3.0547774422437612E-2</v>
      </c>
      <c r="D31">
        <v>0.95414922487338982</v>
      </c>
    </row>
    <row r="32" spans="1:9">
      <c r="A32">
        <v>8</v>
      </c>
      <c r="B32">
        <v>12.086271921800462</v>
      </c>
      <c r="C32">
        <v>3.0502014959338908E-2</v>
      </c>
      <c r="D32">
        <v>0.95271994378592106</v>
      </c>
    </row>
    <row r="33" spans="1:4">
      <c r="A33">
        <v>9</v>
      </c>
      <c r="B33">
        <v>12.086271921800462</v>
      </c>
      <c r="C33">
        <v>3.0444206964437726E-2</v>
      </c>
      <c r="D33">
        <v>0.95091433095260336</v>
      </c>
    </row>
    <row r="34" spans="1:4">
      <c r="A34">
        <v>10</v>
      </c>
      <c r="B34">
        <v>12.086271921800462</v>
      </c>
      <c r="C34">
        <v>3.0374418400437975E-2</v>
      </c>
      <c r="D34">
        <v>0.94873450916511237</v>
      </c>
    </row>
    <row r="35" spans="1:4">
      <c r="A35">
        <v>11</v>
      </c>
      <c r="B35">
        <v>11.382304028190518</v>
      </c>
      <c r="C35">
        <v>1.4449686154781816E-2</v>
      </c>
      <c r="D35">
        <v>0.45133097598501426</v>
      </c>
    </row>
    <row r="36" spans="1:4">
      <c r="A36">
        <v>12</v>
      </c>
      <c r="B36">
        <v>11.382304028190518</v>
      </c>
      <c r="C36">
        <v>1.3943121032681915E-2</v>
      </c>
      <c r="D36">
        <v>0.43550858866751141</v>
      </c>
    </row>
    <row r="37" spans="1:4">
      <c r="A37">
        <v>13</v>
      </c>
      <c r="B37">
        <v>11.382304028190518</v>
      </c>
      <c r="C37">
        <v>1.3298154117382666E-2</v>
      </c>
      <c r="D37">
        <v>0.41536326895316433</v>
      </c>
    </row>
    <row r="38" spans="1:4">
      <c r="A38">
        <v>14</v>
      </c>
      <c r="B38">
        <v>11.382304028190518</v>
      </c>
      <c r="C38">
        <v>1.2509214987481698E-2</v>
      </c>
      <c r="D38">
        <v>0.39072102664583663</v>
      </c>
    </row>
    <row r="39" spans="1:4">
      <c r="A39">
        <v>15</v>
      </c>
      <c r="B39">
        <v>11.382304028190518</v>
      </c>
      <c r="C39">
        <v>1.1582923780482091E-2</v>
      </c>
      <c r="D39">
        <v>0.36178863946294126</v>
      </c>
    </row>
    <row r="40" spans="1:4">
      <c r="A40">
        <v>16</v>
      </c>
      <c r="B40">
        <v>10.678336134580576</v>
      </c>
      <c r="C40">
        <v>2.6377630870523916E-2</v>
      </c>
      <c r="D40">
        <v>0.8238962256648239</v>
      </c>
    </row>
    <row r="41" spans="1:4">
      <c r="A41">
        <v>17</v>
      </c>
      <c r="B41">
        <v>10.678336134580576</v>
      </c>
      <c r="C41">
        <v>2.0774421395024945E-2</v>
      </c>
      <c r="D41">
        <v>0.64888190534420265</v>
      </c>
    </row>
    <row r="42" spans="1:4">
      <c r="A42">
        <v>18</v>
      </c>
      <c r="B42">
        <v>10.678336134580576</v>
      </c>
      <c r="C42">
        <v>1.4578874940625042E-2</v>
      </c>
      <c r="D42">
        <v>0.45536614326659891</v>
      </c>
    </row>
    <row r="43" spans="1:4">
      <c r="A43">
        <v>19</v>
      </c>
      <c r="B43">
        <v>10.678336134580576</v>
      </c>
      <c r="C43">
        <v>7.7103077059241798E-3</v>
      </c>
      <c r="D43">
        <v>0.24082880865256281</v>
      </c>
    </row>
    <row r="44" spans="1:4">
      <c r="A44">
        <v>20</v>
      </c>
      <c r="B44">
        <v>10.678336134580576</v>
      </c>
      <c r="C44">
        <v>2.858205634233002E-4</v>
      </c>
      <c r="D44">
        <v>8.9275069689825105E-3</v>
      </c>
    </row>
    <row r="45" spans="1:4">
      <c r="A45">
        <v>21</v>
      </c>
      <c r="B45">
        <v>9.974368240970632</v>
      </c>
      <c r="C45">
        <v>7.4543612947168825E-2</v>
      </c>
      <c r="D45">
        <v>2.328344105505789</v>
      </c>
    </row>
    <row r="46" spans="1:4">
      <c r="A46">
        <v>22</v>
      </c>
      <c r="B46">
        <v>9.974368240970632</v>
      </c>
      <c r="C46">
        <v>4.6978635483068132E-2</v>
      </c>
      <c r="D46">
        <v>1.4673615174680252</v>
      </c>
    </row>
    <row r="47" spans="1:4">
      <c r="A47">
        <v>23</v>
      </c>
      <c r="B47">
        <v>9.974368240970632</v>
      </c>
      <c r="C47">
        <v>2.4286039554047179E-2</v>
      </c>
      <c r="D47">
        <v>0.75856609045528989</v>
      </c>
    </row>
    <row r="48" spans="1:4">
      <c r="A48">
        <v>24</v>
      </c>
      <c r="B48">
        <v>9.974368240970632</v>
      </c>
      <c r="C48">
        <v>4.2994779432277141E-3</v>
      </c>
      <c r="D48">
        <v>0.1342927144269388</v>
      </c>
    </row>
    <row r="49" spans="1:4">
      <c r="A49">
        <v>25</v>
      </c>
      <c r="B49">
        <v>9.974368240970632</v>
      </c>
      <c r="C49">
        <v>-1.365601876634237E-2</v>
      </c>
      <c r="D49">
        <v>-0.42654104814887839</v>
      </c>
    </row>
    <row r="50" spans="1:4">
      <c r="A50">
        <v>26</v>
      </c>
      <c r="B50">
        <v>12.790239815410404</v>
      </c>
      <c r="C50">
        <v>6.1726626277996743E-2</v>
      </c>
      <c r="D50">
        <v>1.9280099362636405</v>
      </c>
    </row>
    <row r="51" spans="1:4">
      <c r="A51">
        <v>27</v>
      </c>
      <c r="B51">
        <v>12.790239815410404</v>
      </c>
      <c r="C51">
        <v>6.1724625274095501E-2</v>
      </c>
      <c r="D51">
        <v>1.9279474355951816</v>
      </c>
    </row>
    <row r="52" spans="1:4">
      <c r="A52">
        <v>28</v>
      </c>
      <c r="B52">
        <v>12.790239815410404</v>
      </c>
      <c r="C52">
        <v>6.1721900222895698E-2</v>
      </c>
      <c r="D52">
        <v>1.9278623195584426</v>
      </c>
    </row>
    <row r="53" spans="1:4">
      <c r="A53">
        <v>29</v>
      </c>
      <c r="B53">
        <v>12.790239815410404</v>
      </c>
      <c r="C53">
        <v>6.1718409225695936E-2</v>
      </c>
      <c r="D53">
        <v>1.9277532794618999</v>
      </c>
    </row>
    <row r="54" spans="1:4">
      <c r="A54">
        <v>30</v>
      </c>
      <c r="B54">
        <v>12.790239815410404</v>
      </c>
      <c r="C54">
        <v>6.1714165157296108E-2</v>
      </c>
      <c r="D54">
        <v>1.9276207174454987</v>
      </c>
    </row>
    <row r="55" spans="1:4">
      <c r="A55">
        <v>31</v>
      </c>
      <c r="B55">
        <v>12.086271921800462</v>
      </c>
      <c r="C55">
        <v>3.0581849361938751E-2</v>
      </c>
      <c r="D55">
        <v>0.95521354388606194</v>
      </c>
    </row>
    <row r="56" spans="1:4">
      <c r="A56">
        <v>32</v>
      </c>
      <c r="B56">
        <v>12.086271921800462</v>
      </c>
      <c r="C56">
        <v>3.0547765884637812E-2</v>
      </c>
      <c r="D56">
        <v>0.95414895819815027</v>
      </c>
    </row>
    <row r="57" spans="1:4">
      <c r="A57">
        <v>33</v>
      </c>
      <c r="B57">
        <v>12.086271921800462</v>
      </c>
      <c r="C57">
        <v>3.0502012745337481E-2</v>
      </c>
      <c r="D57">
        <v>0.9527198746323482</v>
      </c>
    </row>
    <row r="58" spans="1:4">
      <c r="A58">
        <v>34</v>
      </c>
      <c r="B58">
        <v>12.086271921800462</v>
      </c>
      <c r="C58">
        <v>3.0444204364139082E-2</v>
      </c>
      <c r="D58">
        <v>0.95091424973316985</v>
      </c>
    </row>
    <row r="59" spans="1:4">
      <c r="A59">
        <v>35</v>
      </c>
      <c r="B59">
        <v>12.086271921800462</v>
      </c>
      <c r="C59">
        <v>3.037441934243823E-2</v>
      </c>
      <c r="D59">
        <v>0.94873453858816625</v>
      </c>
    </row>
    <row r="60" spans="1:4">
      <c r="A60">
        <v>36</v>
      </c>
      <c r="B60">
        <v>11.382304028190518</v>
      </c>
      <c r="C60">
        <v>1.4449671743481218E-2</v>
      </c>
      <c r="D60">
        <v>0.45133052585299793</v>
      </c>
    </row>
    <row r="61" spans="1:4">
      <c r="A61">
        <v>37</v>
      </c>
      <c r="B61">
        <v>11.382304028190518</v>
      </c>
      <c r="C61">
        <v>1.3943116463481786E-2</v>
      </c>
      <c r="D61">
        <v>0.43550844595011728</v>
      </c>
    </row>
    <row r="62" spans="1:4">
      <c r="A62">
        <v>38</v>
      </c>
      <c r="B62">
        <v>11.382304028190518</v>
      </c>
      <c r="C62">
        <v>1.3298157311181669E-2</v>
      </c>
      <c r="D62">
        <v>0.41536336871037743</v>
      </c>
    </row>
    <row r="63" spans="1:4">
      <c r="A63">
        <v>39</v>
      </c>
      <c r="B63">
        <v>11.382304028190518</v>
      </c>
      <c r="C63">
        <v>1.2509208730282495E-2</v>
      </c>
      <c r="D63">
        <v>0.39072083120437218</v>
      </c>
    </row>
    <row r="64" spans="1:4">
      <c r="A64">
        <v>40</v>
      </c>
      <c r="B64">
        <v>11.382304028190518</v>
      </c>
      <c r="C64">
        <v>1.1582910895581833E-2</v>
      </c>
      <c r="D64">
        <v>0.36178823700751445</v>
      </c>
    </row>
    <row r="65" spans="1:4">
      <c r="A65">
        <v>41</v>
      </c>
      <c r="B65">
        <v>10.678336134580576</v>
      </c>
      <c r="C65">
        <v>2.637762636882357E-2</v>
      </c>
      <c r="D65">
        <v>0.82389608505576228</v>
      </c>
    </row>
    <row r="66" spans="1:4">
      <c r="A66">
        <v>42</v>
      </c>
      <c r="B66">
        <v>10.678336134580576</v>
      </c>
      <c r="C66">
        <v>2.077442095952442E-2</v>
      </c>
      <c r="D66">
        <v>0.64888189174149358</v>
      </c>
    </row>
    <row r="67" spans="1:4">
      <c r="A67">
        <v>43</v>
      </c>
      <c r="B67">
        <v>10.678336134580576</v>
      </c>
      <c r="C67">
        <v>1.4578873239823764E-2</v>
      </c>
      <c r="D67">
        <v>0.45536609014265611</v>
      </c>
    </row>
    <row r="68" spans="1:4">
      <c r="A68">
        <v>44</v>
      </c>
      <c r="B68">
        <v>10.678336134580576</v>
      </c>
      <c r="C68">
        <v>7.710297806223565E-3</v>
      </c>
      <c r="D68">
        <v>0.24082849943881987</v>
      </c>
    </row>
    <row r="69" spans="1:4">
      <c r="A69">
        <v>45</v>
      </c>
      <c r="B69">
        <v>10.678336134580576</v>
      </c>
      <c r="C69">
        <v>2.8582129042398208E-4</v>
      </c>
      <c r="D69">
        <v>8.9275296765987007E-3</v>
      </c>
    </row>
    <row r="70" spans="1:4">
      <c r="A70">
        <v>46</v>
      </c>
      <c r="B70">
        <v>9.974368240970632</v>
      </c>
      <c r="C70">
        <v>7.4543613067767467E-2</v>
      </c>
      <c r="D70">
        <v>2.328344109272646</v>
      </c>
    </row>
    <row r="71" spans="1:4">
      <c r="A71">
        <v>47</v>
      </c>
      <c r="B71">
        <v>9.974368240970632</v>
      </c>
      <c r="C71">
        <v>4.697862448286827E-2</v>
      </c>
      <c r="D71">
        <v>1.467361173880567</v>
      </c>
    </row>
    <row r="72" spans="1:4">
      <c r="A72">
        <v>48</v>
      </c>
      <c r="B72">
        <v>9.974368240970632</v>
      </c>
      <c r="C72">
        <v>2.4286033532007423E-2</v>
      </c>
      <c r="D72">
        <v>0.75856590235894983</v>
      </c>
    </row>
    <row r="73" spans="1:4">
      <c r="A73">
        <v>49</v>
      </c>
      <c r="B73">
        <v>9.974368240970632</v>
      </c>
      <c r="C73">
        <v>4.2994770343671718E-3</v>
      </c>
      <c r="D73">
        <v>0.13429268603899244</v>
      </c>
    </row>
    <row r="74" spans="1:4">
      <c r="A74">
        <v>50</v>
      </c>
      <c r="B74">
        <v>9.974368240970632</v>
      </c>
      <c r="C74">
        <v>-1.3656021348751324E-2</v>
      </c>
      <c r="D74">
        <v>-0.42654112880953365</v>
      </c>
    </row>
    <row r="75" spans="1:4">
      <c r="A75">
        <v>51</v>
      </c>
      <c r="B75">
        <v>12.790239815410404</v>
      </c>
      <c r="C75">
        <v>6.172662218419589E-2</v>
      </c>
      <c r="D75">
        <v>1.9280098083951791</v>
      </c>
    </row>
    <row r="76" spans="1:4">
      <c r="A76">
        <v>52</v>
      </c>
      <c r="B76">
        <v>12.790239815410404</v>
      </c>
      <c r="C76">
        <v>6.1724628939296977E-2</v>
      </c>
      <c r="D76">
        <v>1.9279475500764887</v>
      </c>
    </row>
    <row r="77" spans="1:4">
      <c r="A77">
        <v>53</v>
      </c>
      <c r="B77">
        <v>12.790239815410404</v>
      </c>
      <c r="C77">
        <v>6.1721903300696823E-2</v>
      </c>
      <c r="D77">
        <v>1.9278624156925019</v>
      </c>
    </row>
    <row r="78" spans="1:4">
      <c r="A78">
        <v>54</v>
      </c>
      <c r="B78">
        <v>12.790239815410404</v>
      </c>
      <c r="C78">
        <v>6.1718414157196477E-2</v>
      </c>
      <c r="D78">
        <v>1.9277534334956226</v>
      </c>
    </row>
    <row r="79" spans="1:4">
      <c r="A79">
        <v>55</v>
      </c>
      <c r="B79">
        <v>12.790239815410404</v>
      </c>
      <c r="C79">
        <v>6.1714159588495576E-2</v>
      </c>
      <c r="D79">
        <v>1.9276205435059299</v>
      </c>
    </row>
    <row r="80" spans="1:4">
      <c r="A80">
        <v>56</v>
      </c>
      <c r="B80">
        <v>12.086271921800462</v>
      </c>
      <c r="C80">
        <v>3.0581851798539006E-2</v>
      </c>
      <c r="D80">
        <v>0.95521361999243271</v>
      </c>
    </row>
    <row r="81" spans="1:4">
      <c r="A81">
        <v>57</v>
      </c>
      <c r="B81">
        <v>12.086271921800462</v>
      </c>
      <c r="C81">
        <v>3.0547773325938721E-2</v>
      </c>
      <c r="D81">
        <v>0.95414919062462422</v>
      </c>
    </row>
    <row r="82" spans="1:4">
      <c r="A82">
        <v>58</v>
      </c>
      <c r="B82">
        <v>12.086271921800462</v>
      </c>
      <c r="C82">
        <v>3.0502021835438597E-2</v>
      </c>
      <c r="D82">
        <v>0.95272015855852932</v>
      </c>
    </row>
    <row r="83" spans="1:4">
      <c r="A83">
        <v>59</v>
      </c>
      <c r="B83">
        <v>12.086271921800462</v>
      </c>
      <c r="C83">
        <v>3.0444201023138717E-2</v>
      </c>
      <c r="D83">
        <v>0.95091414537817276</v>
      </c>
    </row>
    <row r="84" spans="1:4">
      <c r="A84">
        <v>60</v>
      </c>
      <c r="B84">
        <v>12.086271921800462</v>
      </c>
      <c r="C84">
        <v>3.0374414274538353E-2</v>
      </c>
      <c r="D84">
        <v>0.9487343802940571</v>
      </c>
    </row>
    <row r="85" spans="1:4">
      <c r="A85">
        <v>61</v>
      </c>
      <c r="B85">
        <v>11.382304028190518</v>
      </c>
      <c r="C85">
        <v>1.4449671539981779E-2</v>
      </c>
      <c r="D85">
        <v>0.45133051949676295</v>
      </c>
    </row>
    <row r="86" spans="1:4">
      <c r="A86">
        <v>62</v>
      </c>
      <c r="B86">
        <v>11.382304028190518</v>
      </c>
      <c r="C86">
        <v>1.3943116998781591E-2</v>
      </c>
      <c r="D86">
        <v>0.43550846267002252</v>
      </c>
    </row>
    <row r="87" spans="1:4">
      <c r="A87">
        <v>63</v>
      </c>
      <c r="B87">
        <v>11.382304028190518</v>
      </c>
      <c r="C87">
        <v>1.3298158184381847E-2</v>
      </c>
      <c r="D87">
        <v>0.41536339598448463</v>
      </c>
    </row>
    <row r="88" spans="1:4">
      <c r="A88">
        <v>64</v>
      </c>
      <c r="B88">
        <v>11.382304028190518</v>
      </c>
      <c r="C88">
        <v>1.2509204440281252E-2</v>
      </c>
      <c r="D88">
        <v>0.39072069720765923</v>
      </c>
    </row>
    <row r="89" spans="1:4">
      <c r="A89">
        <v>65</v>
      </c>
      <c r="B89">
        <v>11.382304028190518</v>
      </c>
      <c r="C89">
        <v>1.1582917269782556E-2</v>
      </c>
      <c r="D89">
        <v>0.36178843610348116</v>
      </c>
    </row>
    <row r="90" spans="1:4">
      <c r="A90">
        <v>66</v>
      </c>
      <c r="B90">
        <v>10.678336134580576</v>
      </c>
      <c r="C90">
        <v>2.6377634652623883E-2</v>
      </c>
      <c r="D90">
        <v>0.82389634379741516</v>
      </c>
    </row>
    <row r="91" spans="1:4">
      <c r="A91">
        <v>67</v>
      </c>
      <c r="B91">
        <v>10.678336134580576</v>
      </c>
      <c r="C91">
        <v>2.0774407747824242E-2</v>
      </c>
      <c r="D91">
        <v>0.64888147907858362</v>
      </c>
    </row>
    <row r="92" spans="1:4">
      <c r="A92">
        <v>68</v>
      </c>
      <c r="B92">
        <v>10.678336134580576</v>
      </c>
      <c r="C92">
        <v>1.457888519522399E-2</v>
      </c>
      <c r="D92">
        <v>0.45536646356546917</v>
      </c>
    </row>
    <row r="93" spans="1:4">
      <c r="A93">
        <v>69</v>
      </c>
      <c r="B93">
        <v>10.678336134580576</v>
      </c>
      <c r="C93">
        <v>7.7103022328248727E-3</v>
      </c>
      <c r="D93">
        <v>0.24082863770218885</v>
      </c>
    </row>
    <row r="94" spans="1:4">
      <c r="A94">
        <v>70</v>
      </c>
      <c r="B94">
        <v>10.678336134580576</v>
      </c>
      <c r="C94">
        <v>2.8581783662495752E-4</v>
      </c>
      <c r="D94">
        <v>8.9274217983743645E-3</v>
      </c>
    </row>
    <row r="95" spans="1:4">
      <c r="A95">
        <v>71</v>
      </c>
      <c r="B95">
        <v>9.974368240970632</v>
      </c>
      <c r="C95">
        <v>7.4543626813168729E-2</v>
      </c>
      <c r="D95">
        <v>2.3283445386055255</v>
      </c>
    </row>
    <row r="96" spans="1:4">
      <c r="A96">
        <v>72</v>
      </c>
      <c r="B96">
        <v>9.974368240970632</v>
      </c>
      <c r="C96">
        <v>4.6978631243467461E-2</v>
      </c>
      <c r="D96">
        <v>1.4673613850455569</v>
      </c>
    </row>
    <row r="97" spans="1:4">
      <c r="A97">
        <v>73</v>
      </c>
      <c r="B97">
        <v>9.974368240970632</v>
      </c>
      <c r="C97">
        <v>2.4286034787037281E-2</v>
      </c>
      <c r="D97">
        <v>0.75856594155937573</v>
      </c>
    </row>
    <row r="98" spans="1:4">
      <c r="A98">
        <v>74</v>
      </c>
      <c r="B98">
        <v>9.974368240970632</v>
      </c>
      <c r="C98">
        <v>4.2994831638587527E-3</v>
      </c>
      <c r="D98">
        <v>0.13429287749155328</v>
      </c>
    </row>
    <row r="99" spans="1:4">
      <c r="A99">
        <v>75</v>
      </c>
      <c r="B99">
        <v>9.974368240970632</v>
      </c>
      <c r="C99">
        <v>-1.3656019514622031E-2</v>
      </c>
      <c r="D99">
        <v>-0.42654107152113618</v>
      </c>
    </row>
    <row r="100" spans="1:4">
      <c r="A100">
        <v>76</v>
      </c>
      <c r="B100">
        <v>12.790239815410404</v>
      </c>
      <c r="C100">
        <v>6.1726629501995589E-2</v>
      </c>
      <c r="D100">
        <v>1.9280100369641353</v>
      </c>
    </row>
    <row r="101" spans="1:4">
      <c r="A101">
        <v>77</v>
      </c>
      <c r="B101">
        <v>12.790239815410404</v>
      </c>
      <c r="C101">
        <v>6.1724626773795421E-2</v>
      </c>
      <c r="D101">
        <v>1.9279474824377925</v>
      </c>
    </row>
    <row r="102" spans="1:4">
      <c r="A102">
        <v>78</v>
      </c>
      <c r="B102">
        <v>12.790239815410404</v>
      </c>
      <c r="C102">
        <v>6.1721898528796615E-2</v>
      </c>
      <c r="D102">
        <v>1.9278622666438405</v>
      </c>
    </row>
    <row r="103" spans="1:4">
      <c r="A103">
        <v>79</v>
      </c>
      <c r="B103">
        <v>12.790239815410404</v>
      </c>
      <c r="C103">
        <v>6.171841156569613E-2</v>
      </c>
      <c r="D103">
        <v>1.9277533525510009</v>
      </c>
    </row>
    <row r="104" spans="1:4">
      <c r="A104">
        <v>80</v>
      </c>
      <c r="B104">
        <v>12.790239815410404</v>
      </c>
      <c r="C104">
        <v>6.1714165267297005E-2</v>
      </c>
      <c r="D104">
        <v>1.927620720881339</v>
      </c>
    </row>
    <row r="105" spans="1:4">
      <c r="A105">
        <v>81</v>
      </c>
      <c r="B105">
        <v>12.086271921800462</v>
      </c>
      <c r="C105">
        <v>3.0581852473337889E-2</v>
      </c>
      <c r="D105">
        <v>0.95521364106954365</v>
      </c>
    </row>
    <row r="106" spans="1:4">
      <c r="A106">
        <v>82</v>
      </c>
      <c r="B106">
        <v>12.086271921800462</v>
      </c>
      <c r="C106">
        <v>3.0547772140138818E-2</v>
      </c>
      <c r="D106">
        <v>0.95414915358657215</v>
      </c>
    </row>
    <row r="107" spans="1:4">
      <c r="A107">
        <v>83</v>
      </c>
      <c r="B107">
        <v>12.086271921800462</v>
      </c>
      <c r="C107">
        <v>3.0502021776138477E-2</v>
      </c>
      <c r="D107">
        <v>0.95272015670631049</v>
      </c>
    </row>
    <row r="108" spans="1:4">
      <c r="A108">
        <v>84</v>
      </c>
      <c r="B108">
        <v>12.086271921800462</v>
      </c>
      <c r="C108">
        <v>3.0444204400037478E-2</v>
      </c>
      <c r="D108">
        <v>0.95091425085444381</v>
      </c>
    </row>
    <row r="109" spans="1:4">
      <c r="A109">
        <v>85</v>
      </c>
      <c r="B109">
        <v>12.086271921800462</v>
      </c>
      <c r="C109">
        <v>3.0374414630339075E-2</v>
      </c>
      <c r="D109">
        <v>0.94873439140737026</v>
      </c>
    </row>
    <row r="110" spans="1:4">
      <c r="A110">
        <v>86</v>
      </c>
      <c r="B110">
        <v>11.382304028190518</v>
      </c>
      <c r="C110">
        <v>1.4449672395082658E-2</v>
      </c>
      <c r="D110">
        <v>0.45133054620554475</v>
      </c>
    </row>
    <row r="111" spans="1:4">
      <c r="A111">
        <v>87</v>
      </c>
      <c r="B111">
        <v>11.382304028190518</v>
      </c>
      <c r="C111">
        <v>1.3943116346482043E-2</v>
      </c>
      <c r="D111">
        <v>0.43550844229567059</v>
      </c>
    </row>
    <row r="112" spans="1:4">
      <c r="A112">
        <v>88</v>
      </c>
      <c r="B112">
        <v>11.382304028190518</v>
      </c>
      <c r="C112">
        <v>1.3298153667081536E-2</v>
      </c>
      <c r="D112">
        <v>0.41536325488816345</v>
      </c>
    </row>
    <row r="113" spans="1:4">
      <c r="A113">
        <v>89</v>
      </c>
      <c r="B113">
        <v>11.382304028190518</v>
      </c>
      <c r="C113">
        <v>1.2509200845782331E-2</v>
      </c>
      <c r="D113">
        <v>0.390720584934722</v>
      </c>
    </row>
    <row r="114" spans="1:4">
      <c r="A114">
        <v>90</v>
      </c>
      <c r="B114">
        <v>11.382304028190518</v>
      </c>
      <c r="C114">
        <v>1.15829172657822E-2</v>
      </c>
      <c r="D114">
        <v>0.36178843597853144</v>
      </c>
    </row>
    <row r="115" spans="1:4">
      <c r="A115">
        <v>91</v>
      </c>
      <c r="B115">
        <v>10.678336134580576</v>
      </c>
      <c r="C115">
        <v>2.6377631840823312E-2</v>
      </c>
      <c r="D115">
        <v>0.82389625597179172</v>
      </c>
    </row>
    <row r="116" spans="1:4">
      <c r="A116">
        <v>92</v>
      </c>
      <c r="B116">
        <v>10.678336134580576</v>
      </c>
      <c r="C116">
        <v>2.0774419771123931E-2</v>
      </c>
      <c r="D116">
        <v>0.64888185462221315</v>
      </c>
    </row>
    <row r="117" spans="1:4">
      <c r="A117">
        <v>93</v>
      </c>
      <c r="B117">
        <v>10.678336134580576</v>
      </c>
      <c r="C117">
        <v>1.4578888426923342E-2</v>
      </c>
      <c r="D117">
        <v>0.45536656450648666</v>
      </c>
    </row>
    <row r="118" spans="1:4">
      <c r="A118">
        <v>94</v>
      </c>
      <c r="B118">
        <v>10.678336134580576</v>
      </c>
      <c r="C118">
        <v>7.7102984669235042E-3</v>
      </c>
      <c r="D118">
        <v>0.24082852007555516</v>
      </c>
    </row>
    <row r="119" spans="1:4">
      <c r="A119">
        <v>95</v>
      </c>
      <c r="B119">
        <v>10.678336134580576</v>
      </c>
      <c r="C119">
        <v>2.8581706632380133E-4</v>
      </c>
      <c r="D119">
        <v>8.9273977382827528E-3</v>
      </c>
    </row>
    <row r="120" spans="1:4">
      <c r="A120">
        <v>96</v>
      </c>
      <c r="B120">
        <v>9.974368240970632</v>
      </c>
      <c r="C120">
        <v>7.454360756836742E-2</v>
      </c>
      <c r="D120">
        <v>2.3283439375007777</v>
      </c>
    </row>
    <row r="121" spans="1:4">
      <c r="A121">
        <v>97</v>
      </c>
      <c r="B121">
        <v>9.974368240970632</v>
      </c>
      <c r="C121">
        <v>4.6978622132668235E-2</v>
      </c>
      <c r="D121">
        <v>1.4673611004728775</v>
      </c>
    </row>
    <row r="122" spans="1:4">
      <c r="A122">
        <v>98</v>
      </c>
      <c r="B122">
        <v>9.974368240970632</v>
      </c>
      <c r="C122">
        <v>2.4286028070438448E-2</v>
      </c>
      <c r="D122">
        <v>0.75856573176872188</v>
      </c>
    </row>
    <row r="123" spans="1:4">
      <c r="A123">
        <v>99</v>
      </c>
      <c r="B123">
        <v>9.974368240970632</v>
      </c>
      <c r="C123">
        <v>4.2994877745083926E-3</v>
      </c>
      <c r="D123">
        <v>0.13429302150360858</v>
      </c>
    </row>
    <row r="124" spans="1:4">
      <c r="A124">
        <v>100</v>
      </c>
      <c r="B124">
        <v>9.974368240970632</v>
      </c>
      <c r="C124">
        <v>-1.3656028355592653E-2</v>
      </c>
      <c r="D124">
        <v>-0.42654134766581203</v>
      </c>
    </row>
    <row r="125" spans="1:4">
      <c r="A125">
        <v>101</v>
      </c>
      <c r="B125">
        <v>12.790239815410404</v>
      </c>
      <c r="C125">
        <v>2.3283411025996514E-2</v>
      </c>
      <c r="D125">
        <v>0.72724933331134511</v>
      </c>
    </row>
    <row r="126" spans="1:4">
      <c r="A126">
        <v>102</v>
      </c>
      <c r="B126">
        <v>12.790239815410404</v>
      </c>
      <c r="C126">
        <v>2.3281195031096047E-2</v>
      </c>
      <c r="D126">
        <v>0.72718011747298761</v>
      </c>
    </row>
    <row r="127" spans="1:4">
      <c r="A127">
        <v>103</v>
      </c>
      <c r="B127">
        <v>12.790239815410404</v>
      </c>
      <c r="C127">
        <v>2.3278263724595405E-2</v>
      </c>
      <c r="D127">
        <v>0.72708855912288406</v>
      </c>
    </row>
    <row r="128" spans="1:4">
      <c r="A128">
        <v>104</v>
      </c>
      <c r="B128">
        <v>12.790239815410404</v>
      </c>
      <c r="C128">
        <v>2.327453352189579E-2</v>
      </c>
      <c r="D128">
        <v>0.72697204752484623</v>
      </c>
    </row>
    <row r="129" spans="1:4">
      <c r="A129">
        <v>105</v>
      </c>
      <c r="B129">
        <v>12.790239815410404</v>
      </c>
      <c r="C129">
        <v>2.3269997864296954E-2</v>
      </c>
      <c r="D129">
        <v>0.72683037782012816</v>
      </c>
    </row>
    <row r="130" spans="1:4">
      <c r="A130">
        <v>106</v>
      </c>
      <c r="B130">
        <v>12.086271921800462</v>
      </c>
      <c r="C130">
        <v>-2.6837271285611308E-3</v>
      </c>
      <c r="D130">
        <v>-8.3825293590208377E-2</v>
      </c>
    </row>
    <row r="131" spans="1:4">
      <c r="A131">
        <v>107</v>
      </c>
      <c r="B131">
        <v>12.086271921800462</v>
      </c>
      <c r="C131">
        <v>-2.7222952589625038E-3</v>
      </c>
      <c r="D131">
        <v>-8.5029955874877342E-2</v>
      </c>
    </row>
    <row r="132" spans="1:4">
      <c r="A132">
        <v>108</v>
      </c>
      <c r="B132">
        <v>12.086271921800462</v>
      </c>
      <c r="C132">
        <v>-2.7713295138624972E-3</v>
      </c>
      <c r="D132">
        <v>-8.6561523957647671E-2</v>
      </c>
    </row>
    <row r="133" spans="1:4">
      <c r="A133">
        <v>109</v>
      </c>
      <c r="B133">
        <v>12.086271921800462</v>
      </c>
      <c r="C133">
        <v>-2.8325226934615699E-3</v>
      </c>
      <c r="D133">
        <v>-8.8472871870414346E-2</v>
      </c>
    </row>
    <row r="134" spans="1:4">
      <c r="A134">
        <v>110</v>
      </c>
      <c r="B134">
        <v>12.086271921800462</v>
      </c>
      <c r="C134">
        <v>-2.9060580823614401E-3</v>
      </c>
      <c r="D134">
        <v>-9.0769724444657474E-2</v>
      </c>
    </row>
    <row r="135" spans="1:4">
      <c r="A135">
        <v>111</v>
      </c>
      <c r="B135">
        <v>11.382304028190518</v>
      </c>
      <c r="C135">
        <v>-1.1705144337218698E-2</v>
      </c>
      <c r="D135">
        <v>-0.36560615650562878</v>
      </c>
    </row>
    <row r="136" spans="1:4">
      <c r="A136">
        <v>112</v>
      </c>
      <c r="B136">
        <v>11.382304028190518</v>
      </c>
      <c r="C136">
        <v>-1.2280445644117677E-2</v>
      </c>
      <c r="D136">
        <v>-0.38357549490833476</v>
      </c>
    </row>
    <row r="137" spans="1:4">
      <c r="A137">
        <v>113</v>
      </c>
      <c r="B137">
        <v>11.382304028190518</v>
      </c>
      <c r="C137">
        <v>-1.2971726682417639E-2</v>
      </c>
      <c r="D137">
        <v>-0.40516742032137271</v>
      </c>
    </row>
    <row r="138" spans="1:4">
      <c r="A138">
        <v>114</v>
      </c>
      <c r="B138">
        <v>11.382304028190518</v>
      </c>
      <c r="C138">
        <v>-1.3803345724717531E-2</v>
      </c>
      <c r="D138">
        <v>-0.43114275500950527</v>
      </c>
    </row>
    <row r="139" spans="1:4">
      <c r="A139">
        <v>115</v>
      </c>
      <c r="B139">
        <v>11.382304028190518</v>
      </c>
      <c r="C139">
        <v>-1.4773929178618417E-2</v>
      </c>
      <c r="D139">
        <v>-0.46145859528670247</v>
      </c>
    </row>
    <row r="140" spans="1:4">
      <c r="A140">
        <v>116</v>
      </c>
      <c r="B140">
        <v>10.678336134580576</v>
      </c>
      <c r="C140">
        <v>9.147365832623322E-3</v>
      </c>
      <c r="D140">
        <v>0.28571482485546029</v>
      </c>
    </row>
    <row r="141" spans="1:4">
      <c r="A141">
        <v>117</v>
      </c>
      <c r="B141">
        <v>10.678336134580576</v>
      </c>
      <c r="C141">
        <v>3.0350096347238065E-3</v>
      </c>
      <c r="D141">
        <v>9.4797481820081825E-2</v>
      </c>
    </row>
    <row r="142" spans="1:4">
      <c r="A142">
        <v>118</v>
      </c>
      <c r="B142">
        <v>10.678336134580576</v>
      </c>
      <c r="C142">
        <v>-3.5406906054760157E-3</v>
      </c>
      <c r="D142">
        <v>-0.11059225297441007</v>
      </c>
    </row>
    <row r="143" spans="1:4">
      <c r="A143">
        <v>119</v>
      </c>
      <c r="B143">
        <v>10.678336134580576</v>
      </c>
      <c r="C143">
        <v>-1.0756638298376586E-2</v>
      </c>
      <c r="D143">
        <v>-0.33597989669260003</v>
      </c>
    </row>
    <row r="144" spans="1:4">
      <c r="A144">
        <v>120</v>
      </c>
      <c r="B144">
        <v>10.678336134580576</v>
      </c>
      <c r="C144">
        <v>-1.8524622326475892E-2</v>
      </c>
      <c r="D144">
        <v>-0.57861020542618102</v>
      </c>
    </row>
    <row r="145" spans="1:4">
      <c r="A145">
        <v>121</v>
      </c>
      <c r="B145">
        <v>9.974368240970632</v>
      </c>
      <c r="C145">
        <v>6.7527915726067533E-2</v>
      </c>
      <c r="D145">
        <v>2.1092112163829935</v>
      </c>
    </row>
    <row r="146" spans="1:4">
      <c r="A146">
        <v>122</v>
      </c>
      <c r="B146">
        <v>9.974368240970632</v>
      </c>
      <c r="C146">
        <v>3.8564759488368239E-2</v>
      </c>
      <c r="D146">
        <v>1.2045569953609412</v>
      </c>
    </row>
    <row r="147" spans="1:4">
      <c r="A147">
        <v>123</v>
      </c>
      <c r="B147">
        <v>9.974368240970632</v>
      </c>
      <c r="C147">
        <v>1.4668732256687633E-2</v>
      </c>
      <c r="D147">
        <v>0.45817280562061147</v>
      </c>
    </row>
    <row r="148" spans="1:4">
      <c r="A148">
        <v>124</v>
      </c>
      <c r="B148">
        <v>9.974368240970632</v>
      </c>
      <c r="C148">
        <v>-6.4397287396218417E-3</v>
      </c>
      <c r="D148">
        <v>-0.20114271175159359</v>
      </c>
    </row>
    <row r="149" spans="1:4">
      <c r="A149">
        <v>125</v>
      </c>
      <c r="B149">
        <v>9.974368240970632</v>
      </c>
      <c r="C149">
        <v>-2.5477051231082015E-2</v>
      </c>
      <c r="D149">
        <v>-0.79576693044916025</v>
      </c>
    </row>
    <row r="150" spans="1:4">
      <c r="A150">
        <v>126</v>
      </c>
      <c r="B150">
        <v>12.790239815410404</v>
      </c>
      <c r="C150">
        <v>2.9583442725895637E-2</v>
      </c>
      <c r="D150">
        <v>0.92402865608653462</v>
      </c>
    </row>
    <row r="151" spans="1:4">
      <c r="A151">
        <v>127</v>
      </c>
      <c r="B151">
        <v>12.790239815410404</v>
      </c>
      <c r="C151">
        <v>2.9581253127295426E-2</v>
      </c>
      <c r="D151">
        <v>0.92396026472753467</v>
      </c>
    </row>
    <row r="152" spans="1:4">
      <c r="A152">
        <v>128</v>
      </c>
      <c r="B152">
        <v>12.790239815410404</v>
      </c>
      <c r="C152">
        <v>2.9578336313496933E-2</v>
      </c>
      <c r="D152">
        <v>0.92386915905199696</v>
      </c>
    </row>
    <row r="153" spans="1:4">
      <c r="A153">
        <v>129</v>
      </c>
      <c r="B153">
        <v>12.790239815410404</v>
      </c>
      <c r="C153">
        <v>2.9574654228495589E-2</v>
      </c>
      <c r="D153">
        <v>0.92375415039371089</v>
      </c>
    </row>
    <row r="154" spans="1:4">
      <c r="A154">
        <v>130</v>
      </c>
      <c r="B154">
        <v>12.790239815410404</v>
      </c>
      <c r="C154">
        <v>2.9570166437196121E-2</v>
      </c>
      <c r="D154">
        <v>0.92361397577638638</v>
      </c>
    </row>
    <row r="155" spans="1:4">
      <c r="A155">
        <v>131</v>
      </c>
      <c r="B155">
        <v>12.086271921800462</v>
      </c>
      <c r="C155">
        <v>2.7428628111376696E-3</v>
      </c>
      <c r="D155">
        <v>8.5672376291307528E-2</v>
      </c>
    </row>
    <row r="156" spans="1:4">
      <c r="A156">
        <v>132</v>
      </c>
      <c r="B156">
        <v>12.086271921800462</v>
      </c>
      <c r="C156">
        <v>2.7046165864383909E-3</v>
      </c>
      <c r="D156">
        <v>8.447776862049973E-2</v>
      </c>
    </row>
    <row r="157" spans="1:4">
      <c r="A157">
        <v>133</v>
      </c>
      <c r="B157">
        <v>12.086271921800462</v>
      </c>
      <c r="C157">
        <v>2.6559510805377329E-3</v>
      </c>
      <c r="D157">
        <v>8.2957718285864609E-2</v>
      </c>
    </row>
    <row r="158" spans="1:4">
      <c r="A158">
        <v>134</v>
      </c>
      <c r="B158">
        <v>12.086271921800462</v>
      </c>
      <c r="C158">
        <v>2.5952591213389553E-3</v>
      </c>
      <c r="D158">
        <v>8.1062025819868586E-2</v>
      </c>
    </row>
    <row r="159" spans="1:4">
      <c r="A159">
        <v>135</v>
      </c>
      <c r="B159">
        <v>12.086271921800462</v>
      </c>
      <c r="C159">
        <v>2.5222846459378445E-3</v>
      </c>
      <c r="D159">
        <v>7.8782693185790689E-2</v>
      </c>
    </row>
    <row r="160" spans="1:4">
      <c r="A160">
        <v>136</v>
      </c>
      <c r="B160">
        <v>11.382304028190518</v>
      </c>
      <c r="C160">
        <v>-7.445538625717063E-3</v>
      </c>
      <c r="D160">
        <v>-0.23255883751959208</v>
      </c>
    </row>
    <row r="161" spans="1:4">
      <c r="A161">
        <v>137</v>
      </c>
      <c r="B161">
        <v>11.382304028190518</v>
      </c>
      <c r="C161">
        <v>-8.0133604508176859E-3</v>
      </c>
      <c r="D161">
        <v>-0.25029455688145846</v>
      </c>
    </row>
    <row r="162" spans="1:4">
      <c r="A162">
        <v>138</v>
      </c>
      <c r="B162">
        <v>11.382304028190518</v>
      </c>
      <c r="C162">
        <v>-8.6989585331185282E-3</v>
      </c>
      <c r="D162">
        <v>-0.27170897711894532</v>
      </c>
    </row>
    <row r="163" spans="1:4">
      <c r="A163">
        <v>139</v>
      </c>
      <c r="B163">
        <v>11.382304028190518</v>
      </c>
      <c r="C163">
        <v>-9.524703308017024E-3</v>
      </c>
      <c r="D163">
        <v>-0.2975008310856927</v>
      </c>
    </row>
    <row r="164" spans="1:4">
      <c r="A164">
        <v>140</v>
      </c>
      <c r="B164">
        <v>11.382304028190518</v>
      </c>
      <c r="C164">
        <v>-1.0488767130418353E-2</v>
      </c>
      <c r="D164">
        <v>-0.32761303291592025</v>
      </c>
    </row>
    <row r="165" spans="1:4">
      <c r="A165">
        <v>141</v>
      </c>
      <c r="B165">
        <v>10.678336134580576</v>
      </c>
      <c r="C165">
        <v>1.1968986177823382E-2</v>
      </c>
      <c r="D165">
        <v>0.37384716562861153</v>
      </c>
    </row>
    <row r="166" spans="1:4">
      <c r="A166">
        <v>142</v>
      </c>
      <c r="B166">
        <v>10.678336134580576</v>
      </c>
      <c r="C166">
        <v>5.9333877810239244E-3</v>
      </c>
      <c r="D166">
        <v>0.18532732610395725</v>
      </c>
    </row>
    <row r="167" spans="1:4">
      <c r="A167">
        <v>143</v>
      </c>
      <c r="B167">
        <v>10.678336134580576</v>
      </c>
      <c r="C167">
        <v>-5.84741388275134E-4</v>
      </c>
      <c r="D167">
        <v>-1.8264196096862102E-2</v>
      </c>
    </row>
    <row r="168" spans="1:4">
      <c r="A168">
        <v>144</v>
      </c>
      <c r="B168">
        <v>10.678336134580576</v>
      </c>
      <c r="C168">
        <v>-7.7473798968750174E-3</v>
      </c>
      <c r="D168">
        <v>-0.24198674578313553</v>
      </c>
    </row>
    <row r="169" spans="1:4">
      <c r="A169">
        <v>145</v>
      </c>
      <c r="B169">
        <v>10.678336134580576</v>
      </c>
      <c r="C169">
        <v>-1.5462031759776451E-2</v>
      </c>
      <c r="D169">
        <v>-0.48295124268438239</v>
      </c>
    </row>
    <row r="170" spans="1:4">
      <c r="A170">
        <v>146</v>
      </c>
      <c r="B170">
        <v>9.974368240970632</v>
      </c>
      <c r="C170">
        <v>6.8687604625868204E-2</v>
      </c>
      <c r="D170">
        <v>2.1454337002057864</v>
      </c>
    </row>
    <row r="171" spans="1:4">
      <c r="A171">
        <v>147</v>
      </c>
      <c r="B171">
        <v>9.974368240970632</v>
      </c>
      <c r="C171">
        <v>3.9952389474168015E-2</v>
      </c>
      <c r="D171">
        <v>1.2478991405873847</v>
      </c>
    </row>
    <row r="172" spans="1:4">
      <c r="A172">
        <v>148</v>
      </c>
      <c r="B172">
        <v>9.974368240970632</v>
      </c>
      <c r="C172">
        <v>1.6251819973938098E-2</v>
      </c>
      <c r="D172">
        <v>0.50762000584648581</v>
      </c>
    </row>
    <row r="173" spans="1:4">
      <c r="A173">
        <v>149</v>
      </c>
      <c r="B173">
        <v>9.974368240970632</v>
      </c>
      <c r="C173">
        <v>-4.6749582827612102E-3</v>
      </c>
      <c r="D173">
        <v>-0.14602071365747962</v>
      </c>
    </row>
    <row r="174" spans="1:4">
      <c r="A174">
        <v>150</v>
      </c>
      <c r="B174">
        <v>9.974368240970632</v>
      </c>
      <c r="C174">
        <v>-2.3537518008062364E-2</v>
      </c>
      <c r="D174">
        <v>-0.73518627747690624</v>
      </c>
    </row>
    <row r="175" spans="1:4">
      <c r="A175">
        <v>151</v>
      </c>
      <c r="B175">
        <v>12.790239815410404</v>
      </c>
      <c r="C175">
        <v>3.4107381356996314E-2</v>
      </c>
      <c r="D175">
        <v>1.0653323228789993</v>
      </c>
    </row>
    <row r="176" spans="1:4">
      <c r="A176">
        <v>152</v>
      </c>
      <c r="B176">
        <v>12.790239815410404</v>
      </c>
      <c r="C176">
        <v>3.410520122989702E-2</v>
      </c>
      <c r="D176">
        <v>1.065264227359072</v>
      </c>
    </row>
    <row r="177" spans="1:4">
      <c r="A177">
        <v>153</v>
      </c>
      <c r="B177">
        <v>12.790239815410404</v>
      </c>
      <c r="C177">
        <v>3.4102305501095387E-2</v>
      </c>
      <c r="D177">
        <v>1.0651737802661574</v>
      </c>
    </row>
    <row r="178" spans="1:4">
      <c r="A178">
        <v>154</v>
      </c>
      <c r="B178">
        <v>12.790239815410404</v>
      </c>
      <c r="C178">
        <v>3.4098636134697102E-2</v>
      </c>
      <c r="D178">
        <v>1.0650591688690623</v>
      </c>
    </row>
    <row r="179" spans="1:4">
      <c r="A179">
        <v>155</v>
      </c>
      <c r="B179">
        <v>12.790239815410404</v>
      </c>
      <c r="C179">
        <v>3.4094195470496302E-2</v>
      </c>
      <c r="D179">
        <v>1.0649204662504517</v>
      </c>
    </row>
    <row r="180" spans="1:4">
      <c r="A180">
        <v>156</v>
      </c>
      <c r="B180">
        <v>12.086271921800462</v>
      </c>
      <c r="C180">
        <v>6.6448473928382157E-3</v>
      </c>
      <c r="D180">
        <v>0.20754952231877269</v>
      </c>
    </row>
    <row r="181" spans="1:4">
      <c r="A181">
        <v>157</v>
      </c>
      <c r="B181">
        <v>12.086271921800462</v>
      </c>
      <c r="C181">
        <v>6.6068587847389892E-3</v>
      </c>
      <c r="D181">
        <v>0.20636296121384087</v>
      </c>
    </row>
    <row r="182" spans="1:4">
      <c r="A182">
        <v>158</v>
      </c>
      <c r="B182">
        <v>12.086271921800462</v>
      </c>
      <c r="C182">
        <v>6.5584824126379004E-3</v>
      </c>
      <c r="D182">
        <v>0.20485194187396591</v>
      </c>
    </row>
    <row r="183" spans="1:4">
      <c r="A183">
        <v>159</v>
      </c>
      <c r="B183">
        <v>12.086271921800462</v>
      </c>
      <c r="C183">
        <v>6.4981219110382682E-3</v>
      </c>
      <c r="D183">
        <v>0.20296660237204936</v>
      </c>
    </row>
    <row r="184" spans="1:4">
      <c r="A184">
        <v>160</v>
      </c>
      <c r="B184">
        <v>12.086271921800462</v>
      </c>
      <c r="C184">
        <v>6.4255576598384323E-3</v>
      </c>
      <c r="D184">
        <v>0.20070008294977071</v>
      </c>
    </row>
    <row r="185" spans="1:4">
      <c r="A185">
        <v>161</v>
      </c>
      <c r="B185">
        <v>11.382304028190518</v>
      </c>
      <c r="C185">
        <v>-4.3804951498174205E-3</v>
      </c>
      <c r="D185">
        <v>-0.13682325900278838</v>
      </c>
    </row>
    <row r="186" spans="1:4">
      <c r="A186">
        <v>162</v>
      </c>
      <c r="B186">
        <v>11.382304028190518</v>
      </c>
      <c r="C186">
        <v>-4.9423748874186657E-3</v>
      </c>
      <c r="D186">
        <v>-0.15437337930584091</v>
      </c>
    </row>
    <row r="187" spans="1:4">
      <c r="A187">
        <v>163</v>
      </c>
      <c r="B187">
        <v>11.382304028190518</v>
      </c>
      <c r="C187">
        <v>-5.6236620178182761E-3</v>
      </c>
      <c r="D187">
        <v>-0.17565314844376992</v>
      </c>
    </row>
    <row r="188" spans="1:4">
      <c r="A188">
        <v>164</v>
      </c>
      <c r="B188">
        <v>11.382304028190518</v>
      </c>
      <c r="C188">
        <v>-6.4450771882178515E-3</v>
      </c>
      <c r="D188">
        <v>-0.20130976870348757</v>
      </c>
    </row>
    <row r="189" spans="1:4">
      <c r="A189">
        <v>165</v>
      </c>
      <c r="B189">
        <v>11.382304028190518</v>
      </c>
      <c r="C189">
        <v>-7.4043685526170577E-3</v>
      </c>
      <c r="D189">
        <v>-0.23127290444986581</v>
      </c>
    </row>
    <row r="190" spans="1:4">
      <c r="A190">
        <v>166</v>
      </c>
      <c r="B190">
        <v>10.678336134580576</v>
      </c>
      <c r="C190">
        <v>1.3996318697724774E-2</v>
      </c>
      <c r="D190">
        <v>0.43717019943377516</v>
      </c>
    </row>
    <row r="191" spans="1:4">
      <c r="A191">
        <v>167</v>
      </c>
      <c r="B191">
        <v>10.678336134580576</v>
      </c>
      <c r="C191">
        <v>8.0173064217241574E-3</v>
      </c>
      <c r="D191">
        <v>0.25041780792520774</v>
      </c>
    </row>
    <row r="192" spans="1:4">
      <c r="A192">
        <v>168</v>
      </c>
      <c r="B192">
        <v>10.678336134580576</v>
      </c>
      <c r="C192">
        <v>1.5415320943237276E-3</v>
      </c>
      <c r="D192">
        <v>4.8149224639949036E-2</v>
      </c>
    </row>
    <row r="193" spans="1:4">
      <c r="A193">
        <v>169</v>
      </c>
      <c r="B193">
        <v>10.678336134580576</v>
      </c>
      <c r="C193">
        <v>-5.5820830343762395E-3</v>
      </c>
      <c r="D193">
        <v>-0.17435444320018584</v>
      </c>
    </row>
    <row r="194" spans="1:4">
      <c r="A194">
        <v>170</v>
      </c>
      <c r="B194">
        <v>10.678336134580576</v>
      </c>
      <c r="C194">
        <v>-1.32578511753767E-2</v>
      </c>
      <c r="D194">
        <v>-0.41410442042484524</v>
      </c>
    </row>
    <row r="195" spans="1:4">
      <c r="A195">
        <v>171</v>
      </c>
      <c r="B195">
        <v>9.974368240970632</v>
      </c>
      <c r="C195">
        <v>6.9518271428767875E-2</v>
      </c>
      <c r="D195">
        <v>2.1713792920238477</v>
      </c>
    </row>
    <row r="196" spans="1:4">
      <c r="A196">
        <v>172</v>
      </c>
      <c r="B196">
        <v>9.974368240970632</v>
      </c>
      <c r="C196">
        <v>4.0947079144668663E-2</v>
      </c>
      <c r="D196">
        <v>1.2789679302469239</v>
      </c>
    </row>
    <row r="197" spans="1:4">
      <c r="A197">
        <v>173</v>
      </c>
      <c r="B197">
        <v>9.974368240970632</v>
      </c>
      <c r="C197">
        <v>1.738735243784717E-2</v>
      </c>
      <c r="D197">
        <v>0.54308797170463341</v>
      </c>
    </row>
    <row r="198" spans="1:4">
      <c r="A198">
        <v>174</v>
      </c>
      <c r="B198">
        <v>9.974368240970632</v>
      </c>
      <c r="C198">
        <v>-3.4083638354118762E-3</v>
      </c>
      <c r="D198">
        <v>-0.10645907183523158</v>
      </c>
    </row>
    <row r="199" spans="1:4">
      <c r="A199">
        <v>175</v>
      </c>
      <c r="B199">
        <v>9.974368240970632</v>
      </c>
      <c r="C199">
        <v>-2.2144795067941203E-2</v>
      </c>
      <c r="D199">
        <v>-0.69168505557434012</v>
      </c>
    </row>
    <row r="200" spans="1:4">
      <c r="A200">
        <v>176</v>
      </c>
      <c r="B200">
        <v>12.790239815410404</v>
      </c>
      <c r="C200">
        <v>3.7513889865095962E-2</v>
      </c>
      <c r="D200">
        <v>1.1717334442039131</v>
      </c>
    </row>
    <row r="201" spans="1:4">
      <c r="A201">
        <v>177</v>
      </c>
      <c r="B201">
        <v>12.790239815410404</v>
      </c>
      <c r="C201">
        <v>3.7511718150096129E-2</v>
      </c>
      <c r="D201">
        <v>1.1716656114330186</v>
      </c>
    </row>
    <row r="202" spans="1:4">
      <c r="A202">
        <v>178</v>
      </c>
      <c r="B202">
        <v>12.790239815410404</v>
      </c>
      <c r="C202">
        <v>3.7508845169996974E-2</v>
      </c>
      <c r="D202">
        <v>1.1715758748879996</v>
      </c>
    </row>
    <row r="203" spans="1:4">
      <c r="A203">
        <v>179</v>
      </c>
      <c r="B203">
        <v>12.790239815410404</v>
      </c>
      <c r="C203">
        <v>3.7505196769496152E-2</v>
      </c>
      <c r="D203">
        <v>1.1714619183534991</v>
      </c>
    </row>
    <row r="204" spans="1:4">
      <c r="A204">
        <v>180</v>
      </c>
      <c r="B204">
        <v>12.790239815410404</v>
      </c>
      <c r="C204">
        <v>3.7500768482596314E-2</v>
      </c>
      <c r="D204">
        <v>1.1713236023356259</v>
      </c>
    </row>
    <row r="205" spans="1:4">
      <c r="A205">
        <v>181</v>
      </c>
      <c r="B205">
        <v>12.086271921800462</v>
      </c>
      <c r="C205">
        <v>9.5860923280390864E-3</v>
      </c>
      <c r="D205">
        <v>0.29941829600669734</v>
      </c>
    </row>
    <row r="206" spans="1:4">
      <c r="A206">
        <v>182</v>
      </c>
      <c r="B206">
        <v>12.086271921800462</v>
      </c>
      <c r="C206">
        <v>9.5483301313379343E-3</v>
      </c>
      <c r="D206">
        <v>0.29823880678389308</v>
      </c>
    </row>
    <row r="207" spans="1:4">
      <c r="A207">
        <v>183</v>
      </c>
      <c r="B207">
        <v>12.086271921800462</v>
      </c>
      <c r="C207">
        <v>9.5001612991385542E-3</v>
      </c>
      <c r="D207">
        <v>0.29673426988144902</v>
      </c>
    </row>
    <row r="208" spans="1:4">
      <c r="A208">
        <v>184</v>
      </c>
      <c r="B208">
        <v>12.086271921800462</v>
      </c>
      <c r="C208">
        <v>9.4400564161389866E-3</v>
      </c>
      <c r="D208">
        <v>0.29485691453856616</v>
      </c>
    </row>
    <row r="209" spans="1:4">
      <c r="A209">
        <v>185</v>
      </c>
      <c r="B209">
        <v>12.086271921800462</v>
      </c>
      <c r="C209">
        <v>9.3678045408385202E-3</v>
      </c>
      <c r="D209">
        <v>0.29260015207003909</v>
      </c>
    </row>
    <row r="210" spans="1:4">
      <c r="A210">
        <v>186</v>
      </c>
      <c r="B210">
        <v>11.382304028190518</v>
      </c>
      <c r="C210">
        <v>-2.0689394075183998E-3</v>
      </c>
      <c r="D210">
        <v>-6.4622610626053151E-2</v>
      </c>
    </row>
    <row r="211" spans="1:4">
      <c r="A211">
        <v>187</v>
      </c>
      <c r="B211">
        <v>11.382304028190518</v>
      </c>
      <c r="C211">
        <v>-2.6259934310175481E-3</v>
      </c>
      <c r="D211">
        <v>-8.2022001409295109E-2</v>
      </c>
    </row>
    <row r="212" spans="1:4">
      <c r="A212">
        <v>188</v>
      </c>
      <c r="B212">
        <v>11.382304028190518</v>
      </c>
      <c r="C212">
        <v>-3.30385265711719E-3</v>
      </c>
      <c r="D212">
        <v>-0.10319470113570085</v>
      </c>
    </row>
    <row r="213" spans="1:4">
      <c r="A213">
        <v>189</v>
      </c>
      <c r="B213">
        <v>11.382304028190518</v>
      </c>
      <c r="C213">
        <v>-4.12190763301723E-3</v>
      </c>
      <c r="D213">
        <v>-0.12874636687621793</v>
      </c>
    </row>
    <row r="214" spans="1:4">
      <c r="A214">
        <v>190</v>
      </c>
      <c r="B214">
        <v>11.382304028190518</v>
      </c>
      <c r="C214">
        <v>-5.0775802603180153E-3</v>
      </c>
      <c r="D214">
        <v>-0.1585964726142646</v>
      </c>
    </row>
    <row r="215" spans="1:4">
      <c r="A215">
        <v>191</v>
      </c>
      <c r="B215">
        <v>10.678336134580576</v>
      </c>
      <c r="C215">
        <v>1.5523410820124539E-2</v>
      </c>
      <c r="D215">
        <v>0.48486839651839686</v>
      </c>
    </row>
    <row r="216" spans="1:4">
      <c r="A216">
        <v>192</v>
      </c>
      <c r="B216">
        <v>10.678336134580576</v>
      </c>
      <c r="C216">
        <v>9.5878680186238796E-3</v>
      </c>
      <c r="D216">
        <v>0.29947375909123064</v>
      </c>
    </row>
    <row r="217" spans="1:4">
      <c r="A217">
        <v>193</v>
      </c>
      <c r="B217">
        <v>10.678336134580576</v>
      </c>
      <c r="C217">
        <v>3.1445899035240643E-3</v>
      </c>
      <c r="D217">
        <v>9.8220183817657999E-2</v>
      </c>
    </row>
    <row r="218" spans="1:4">
      <c r="A218">
        <v>194</v>
      </c>
      <c r="B218">
        <v>10.678336134580576</v>
      </c>
      <c r="C218">
        <v>-3.9491968983753623E-3</v>
      </c>
      <c r="D218">
        <v>-0.12335180649656517</v>
      </c>
    </row>
    <row r="219" spans="1:4">
      <c r="A219">
        <v>195</v>
      </c>
      <c r="B219">
        <v>10.678336134580576</v>
      </c>
      <c r="C219">
        <v>-1.1595312122576473E-2</v>
      </c>
      <c r="D219">
        <v>-0.36217558506635456</v>
      </c>
    </row>
    <row r="220" spans="1:4">
      <c r="A220">
        <v>196</v>
      </c>
      <c r="B220">
        <v>9.974368240970632</v>
      </c>
      <c r="C220">
        <v>7.0142544185568312E-2</v>
      </c>
      <c r="D220">
        <v>2.1908782368168014</v>
      </c>
    </row>
    <row r="221" spans="1:4">
      <c r="A221">
        <v>197</v>
      </c>
      <c r="B221">
        <v>9.974368240970632</v>
      </c>
      <c r="C221">
        <v>4.1695077447968742E-2</v>
      </c>
      <c r="D221">
        <v>1.3023313999200585</v>
      </c>
    </row>
    <row r="222" spans="1:4">
      <c r="A222">
        <v>198</v>
      </c>
      <c r="B222">
        <v>9.974368240970632</v>
      </c>
      <c r="C222">
        <v>1.8241646456937488E-2</v>
      </c>
      <c r="D222">
        <v>0.56977155149204617</v>
      </c>
    </row>
    <row r="223" spans="1:4">
      <c r="A223">
        <v>199</v>
      </c>
      <c r="B223">
        <v>9.974368240970632</v>
      </c>
      <c r="C223">
        <v>-2.4551077002819E-3</v>
      </c>
      <c r="D223">
        <v>-7.6684444398805354E-2</v>
      </c>
    </row>
    <row r="224" spans="1:4">
      <c r="A224">
        <v>200</v>
      </c>
      <c r="B224">
        <v>9.974368240970632</v>
      </c>
      <c r="C224">
        <v>-2.1096177273221883E-2</v>
      </c>
      <c r="D224">
        <v>-0.65893183950747736</v>
      </c>
    </row>
    <row r="225" spans="1:4">
      <c r="A225">
        <v>201</v>
      </c>
      <c r="B225">
        <v>12.790239815410404</v>
      </c>
      <c r="C225">
        <v>-1.3772513758803839E-2</v>
      </c>
      <c r="D225">
        <v>-0.4301797291611717</v>
      </c>
    </row>
    <row r="226" spans="1:4">
      <c r="A226">
        <v>202</v>
      </c>
      <c r="B226">
        <v>12.790239815410404</v>
      </c>
      <c r="C226">
        <v>-1.3774852950204419E-2</v>
      </c>
      <c r="D226">
        <v>-0.43025279299982744</v>
      </c>
    </row>
    <row r="227" spans="1:4">
      <c r="A227">
        <v>203</v>
      </c>
      <c r="B227">
        <v>12.790239815410404</v>
      </c>
      <c r="C227">
        <v>-1.3777957669503849E-2</v>
      </c>
      <c r="D227">
        <v>-0.43034976783904272</v>
      </c>
    </row>
    <row r="228" spans="1:4">
      <c r="A228">
        <v>204</v>
      </c>
      <c r="B228">
        <v>12.790239815410404</v>
      </c>
      <c r="C228">
        <v>-1.3781890521403994E-2</v>
      </c>
      <c r="D228">
        <v>-0.43047260911514268</v>
      </c>
    </row>
    <row r="229" spans="1:4">
      <c r="A229">
        <v>205</v>
      </c>
      <c r="B229">
        <v>12.790239815410404</v>
      </c>
      <c r="C229">
        <v>-1.3786676885203519E-2</v>
      </c>
      <c r="D229">
        <v>-0.43062210954178992</v>
      </c>
    </row>
    <row r="230" spans="1:4">
      <c r="A230">
        <v>206</v>
      </c>
      <c r="B230">
        <v>12.086271921800462</v>
      </c>
      <c r="C230">
        <v>-3.4453325537961987E-2</v>
      </c>
      <c r="D230">
        <v>-1.0761377703578638</v>
      </c>
    </row>
    <row r="231" spans="1:4">
      <c r="A231">
        <v>207</v>
      </c>
      <c r="B231">
        <v>12.086271921800462</v>
      </c>
      <c r="C231">
        <v>-3.4493626763762109E-2</v>
      </c>
      <c r="D231">
        <v>-1.077396565281084</v>
      </c>
    </row>
    <row r="232" spans="1:4">
      <c r="A232">
        <v>208</v>
      </c>
      <c r="B232">
        <v>12.086271921800462</v>
      </c>
      <c r="C232">
        <v>-3.4544843838462569E-2</v>
      </c>
      <c r="D232">
        <v>-1.0789963129893763</v>
      </c>
    </row>
    <row r="233" spans="1:4">
      <c r="A233">
        <v>209</v>
      </c>
      <c r="B233">
        <v>12.086271921800462</v>
      </c>
      <c r="C233">
        <v>-3.4608754654261276E-2</v>
      </c>
      <c r="D233">
        <v>-1.0809925453339024</v>
      </c>
    </row>
    <row r="234" spans="1:4">
      <c r="A234">
        <v>210</v>
      </c>
      <c r="B234">
        <v>12.086271921800462</v>
      </c>
      <c r="C234">
        <v>-3.4685608337362339E-2</v>
      </c>
      <c r="D234">
        <v>-1.0833930436859422</v>
      </c>
    </row>
    <row r="235" spans="1:4">
      <c r="A235">
        <v>211</v>
      </c>
      <c r="B235">
        <v>11.382304028190518</v>
      </c>
      <c r="C235">
        <v>-3.6570770074717984E-2</v>
      </c>
      <c r="D235">
        <v>-1.1422754220086551</v>
      </c>
    </row>
    <row r="236" spans="1:4">
      <c r="A236">
        <v>212</v>
      </c>
      <c r="B236">
        <v>11.382304028190518</v>
      </c>
      <c r="C236">
        <v>-3.7179602978817172E-2</v>
      </c>
      <c r="D236">
        <v>-1.1612921083141874</v>
      </c>
    </row>
    <row r="237" spans="1:4">
      <c r="A237">
        <v>213</v>
      </c>
      <c r="B237">
        <v>11.382304028190518</v>
      </c>
      <c r="C237">
        <v>-3.7900129088017209E-2</v>
      </c>
      <c r="D237">
        <v>-1.1837974934557407</v>
      </c>
    </row>
    <row r="238" spans="1:4">
      <c r="A238">
        <v>214</v>
      </c>
      <c r="B238">
        <v>11.382304028190518</v>
      </c>
      <c r="C238">
        <v>-3.8764109685917703E-2</v>
      </c>
      <c r="D238">
        <v>-1.2107836301998598</v>
      </c>
    </row>
    <row r="239" spans="1:4">
      <c r="A239">
        <v>215</v>
      </c>
      <c r="B239">
        <v>11.382304028190518</v>
      </c>
      <c r="C239">
        <v>-3.9771696103418464E-2</v>
      </c>
      <c r="D239">
        <v>-1.2422552453151383</v>
      </c>
    </row>
    <row r="240" spans="1:4">
      <c r="A240">
        <v>216</v>
      </c>
      <c r="B240">
        <v>10.678336134580576</v>
      </c>
      <c r="C240">
        <v>-7.3967814506765706E-3</v>
      </c>
      <c r="D240">
        <v>-0.23103592393091077</v>
      </c>
    </row>
    <row r="241" spans="1:4">
      <c r="A241">
        <v>217</v>
      </c>
      <c r="B241">
        <v>10.678336134580576</v>
      </c>
      <c r="C241">
        <v>-1.3917843918875406E-2</v>
      </c>
      <c r="D241">
        <v>-0.43471906671373522</v>
      </c>
    </row>
    <row r="242" spans="1:4">
      <c r="A242">
        <v>218</v>
      </c>
      <c r="B242">
        <v>10.678336134580576</v>
      </c>
      <c r="C242">
        <v>-2.0804819085276094E-2</v>
      </c>
      <c r="D242">
        <v>-0.64983136674161857</v>
      </c>
    </row>
    <row r="243" spans="1:4">
      <c r="A243">
        <v>219</v>
      </c>
      <c r="B243">
        <v>10.678336134580576</v>
      </c>
      <c r="C243">
        <v>-2.8314640495876731E-2</v>
      </c>
      <c r="D243">
        <v>-0.88439805493213597</v>
      </c>
    </row>
    <row r="244" spans="1:4">
      <c r="A244">
        <v>220</v>
      </c>
      <c r="B244">
        <v>10.678336134580576</v>
      </c>
      <c r="C244">
        <v>-3.6381089787775878E-2</v>
      </c>
      <c r="D244">
        <v>-1.1363508235008621</v>
      </c>
    </row>
    <row r="245" spans="1:4">
      <c r="A245">
        <v>221</v>
      </c>
      <c r="B245">
        <v>9.974368240970632</v>
      </c>
      <c r="C245">
        <v>6.0648411574067751E-2</v>
      </c>
      <c r="D245">
        <v>1.8943322709197032</v>
      </c>
    </row>
    <row r="246" spans="1:4">
      <c r="A246">
        <v>222</v>
      </c>
      <c r="B246">
        <v>9.974368240970632</v>
      </c>
      <c r="C246">
        <v>3.0357971761667102E-2</v>
      </c>
      <c r="D246">
        <v>0.94822080406116627</v>
      </c>
    </row>
    <row r="247" spans="1:4">
      <c r="A247">
        <v>223</v>
      </c>
      <c r="B247">
        <v>9.974368240970632</v>
      </c>
      <c r="C247">
        <v>5.3292821109778288E-3</v>
      </c>
      <c r="D247">
        <v>0.16645829332778467</v>
      </c>
    </row>
    <row r="248" spans="1:4">
      <c r="A248">
        <v>224</v>
      </c>
      <c r="B248">
        <v>9.974368240970632</v>
      </c>
      <c r="C248">
        <v>-1.682846520828285E-2</v>
      </c>
      <c r="D248">
        <v>-0.5256313213606153</v>
      </c>
    </row>
    <row r="249" spans="1:4">
      <c r="A249">
        <v>225</v>
      </c>
      <c r="B249">
        <v>9.974368240970632</v>
      </c>
      <c r="C249">
        <v>-3.6872089984811396E-2</v>
      </c>
      <c r="D249">
        <v>-1.1516870457387092</v>
      </c>
    </row>
    <row r="250" spans="1:4">
      <c r="A250">
        <v>226</v>
      </c>
      <c r="B250">
        <v>12.790239815410404</v>
      </c>
      <c r="C250">
        <v>-1.5546490409032998E-3</v>
      </c>
      <c r="D250">
        <v>-4.8558927953798688E-2</v>
      </c>
    </row>
    <row r="251" spans="1:4">
      <c r="A251">
        <v>227</v>
      </c>
      <c r="B251">
        <v>12.790239815410404</v>
      </c>
      <c r="C251">
        <v>-1.556943491703322E-3</v>
      </c>
      <c r="D251">
        <v>-4.8630594335187946E-2</v>
      </c>
    </row>
    <row r="252" spans="1:4">
      <c r="A252">
        <v>228</v>
      </c>
      <c r="B252">
        <v>12.790239815410404</v>
      </c>
      <c r="C252">
        <v>-1.5599965856036846E-3</v>
      </c>
      <c r="D252">
        <v>-4.8725956672823804E-2</v>
      </c>
    </row>
    <row r="253" spans="1:4">
      <c r="A253">
        <v>229</v>
      </c>
      <c r="B253">
        <v>12.790239815410404</v>
      </c>
      <c r="C253">
        <v>-1.5638667651032279E-3</v>
      </c>
      <c r="D253">
        <v>-4.8846840398051844E-2</v>
      </c>
    </row>
    <row r="254" spans="1:4">
      <c r="A254">
        <v>230</v>
      </c>
      <c r="B254">
        <v>12.790239815410404</v>
      </c>
      <c r="C254">
        <v>-1.5685675961041312E-3</v>
      </c>
      <c r="D254">
        <v>-4.8993669237159622E-2</v>
      </c>
    </row>
    <row r="255" spans="1:4">
      <c r="A255">
        <v>231</v>
      </c>
      <c r="B255">
        <v>12.086271921800462</v>
      </c>
      <c r="C255">
        <v>-2.4004211608561477E-2</v>
      </c>
      <c r="D255">
        <v>-0.7497632915340261</v>
      </c>
    </row>
    <row r="256" spans="1:4">
      <c r="A256">
        <v>232</v>
      </c>
      <c r="B256">
        <v>12.086271921800462</v>
      </c>
      <c r="C256">
        <v>-2.404396966596245E-2</v>
      </c>
      <c r="D256">
        <v>-0.75100512077916248</v>
      </c>
    </row>
    <row r="257" spans="1:4">
      <c r="A257">
        <v>233</v>
      </c>
      <c r="B257">
        <v>12.086271921800462</v>
      </c>
      <c r="C257">
        <v>-2.4094487904962492E-2</v>
      </c>
      <c r="D257">
        <v>-0.75258304059476955</v>
      </c>
    </row>
    <row r="258" spans="1:4">
      <c r="A258">
        <v>234</v>
      </c>
      <c r="B258">
        <v>12.086271921800462</v>
      </c>
      <c r="C258">
        <v>-2.4157496932462053E-2</v>
      </c>
      <c r="D258">
        <v>-0.75455110589201013</v>
      </c>
    </row>
    <row r="259" spans="1:4">
      <c r="A259">
        <v>235</v>
      </c>
      <c r="B259">
        <v>12.086271921800462</v>
      </c>
      <c r="C259">
        <v>-2.4233262108461773E-2</v>
      </c>
      <c r="D259">
        <v>-0.75691760509921358</v>
      </c>
    </row>
    <row r="260" spans="1:4">
      <c r="A260">
        <v>236</v>
      </c>
      <c r="B260">
        <v>11.382304028190518</v>
      </c>
      <c r="C260">
        <v>-2.8405709865518602E-2</v>
      </c>
      <c r="D260">
        <v>-0.88724257536272011</v>
      </c>
    </row>
    <row r="261" spans="1:4">
      <c r="A261">
        <v>237</v>
      </c>
      <c r="B261">
        <v>11.382304028190518</v>
      </c>
      <c r="C261">
        <v>-2.9004871963218548E-2</v>
      </c>
      <c r="D261">
        <v>-0.90595719735737534</v>
      </c>
    </row>
    <row r="262" spans="1:4">
      <c r="A262">
        <v>238</v>
      </c>
      <c r="B262">
        <v>11.382304028190518</v>
      </c>
      <c r="C262">
        <v>-2.9716290677717083E-2</v>
      </c>
      <c r="D262">
        <v>-0.9281781161586028</v>
      </c>
    </row>
    <row r="263" spans="1:4">
      <c r="A263">
        <v>239</v>
      </c>
      <c r="B263">
        <v>11.382304028190518</v>
      </c>
      <c r="C263">
        <v>-3.0569869940318739E-2</v>
      </c>
      <c r="D263">
        <v>-0.95483937077298664</v>
      </c>
    </row>
    <row r="264" spans="1:4">
      <c r="A264">
        <v>240</v>
      </c>
      <c r="B264">
        <v>11.382304028190518</v>
      </c>
      <c r="C264">
        <v>-3.1565438433117876E-2</v>
      </c>
      <c r="D264">
        <v>-0.98593561014468178</v>
      </c>
    </row>
    <row r="265" spans="1:4">
      <c r="A265">
        <v>241</v>
      </c>
      <c r="B265">
        <v>10.678336134580576</v>
      </c>
      <c r="C265">
        <v>-1.953032069275551E-3</v>
      </c>
      <c r="D265">
        <v>-6.1002284791110473E-2</v>
      </c>
    </row>
    <row r="266" spans="1:4">
      <c r="A266">
        <v>242</v>
      </c>
      <c r="B266">
        <v>10.678336134580576</v>
      </c>
      <c r="C266">
        <v>-8.346667101475802E-3</v>
      </c>
      <c r="D266">
        <v>-0.26070527544879851</v>
      </c>
    </row>
    <row r="267" spans="1:4">
      <c r="A267">
        <v>243</v>
      </c>
      <c r="B267">
        <v>10.678336134580576</v>
      </c>
      <c r="C267">
        <v>-1.5135562384076096E-2</v>
      </c>
      <c r="D267">
        <v>-0.47275408404815145</v>
      </c>
    </row>
    <row r="268" spans="1:4">
      <c r="A268">
        <v>244</v>
      </c>
      <c r="B268">
        <v>10.678336134580576</v>
      </c>
      <c r="C268">
        <v>-2.2551684330775146E-2</v>
      </c>
      <c r="D268">
        <v>-0.70439410171870176</v>
      </c>
    </row>
    <row r="269" spans="1:4">
      <c r="A269">
        <v>245</v>
      </c>
      <c r="B269">
        <v>10.678336134580576</v>
      </c>
      <c r="C269">
        <v>-3.0522170568575646E-2</v>
      </c>
      <c r="D269">
        <v>-0.95334949730638829</v>
      </c>
    </row>
    <row r="270" spans="1:4">
      <c r="A270">
        <v>246</v>
      </c>
      <c r="B270">
        <v>9.974368240970632</v>
      </c>
      <c r="C270">
        <v>6.2926780020267969E-2</v>
      </c>
      <c r="D270">
        <v>1.9654963255200664</v>
      </c>
    </row>
    <row r="271" spans="1:4">
      <c r="A271">
        <v>247</v>
      </c>
      <c r="B271">
        <v>9.974368240970632</v>
      </c>
      <c r="C271">
        <v>3.3071242461167216E-2</v>
      </c>
      <c r="D271">
        <v>1.0329688809259139</v>
      </c>
    </row>
    <row r="272" spans="1:4">
      <c r="A272">
        <v>248</v>
      </c>
      <c r="B272">
        <v>9.974368240970632</v>
      </c>
      <c r="C272">
        <v>8.412687455717105E-3</v>
      </c>
      <c r="D272">
        <v>0.26276739850084441</v>
      </c>
    </row>
    <row r="273" spans="1:4">
      <c r="A273">
        <v>249</v>
      </c>
      <c r="B273">
        <v>9.974368240970632</v>
      </c>
      <c r="C273">
        <v>-1.3402827940621975E-2</v>
      </c>
      <c r="D273">
        <v>-0.41863271981158634</v>
      </c>
    </row>
    <row r="274" spans="1:4">
      <c r="A274">
        <v>250</v>
      </c>
      <c r="B274">
        <v>9.974368240970632</v>
      </c>
      <c r="C274">
        <v>-3.3118773557342607E-2</v>
      </c>
      <c r="D274">
        <v>-1.034453498363046</v>
      </c>
    </row>
    <row r="275" spans="1:4">
      <c r="A275">
        <v>251</v>
      </c>
      <c r="B275">
        <v>12.790239815410404</v>
      </c>
      <c r="C275">
        <v>7.2523539336959431E-3</v>
      </c>
      <c r="D275">
        <v>0.22652478012476052</v>
      </c>
    </row>
    <row r="276" spans="1:4">
      <c r="A276">
        <v>252</v>
      </c>
      <c r="B276">
        <v>12.790239815410404</v>
      </c>
      <c r="C276">
        <v>7.2500849172953963E-3</v>
      </c>
      <c r="D276">
        <v>0.2264539081780888</v>
      </c>
    </row>
    <row r="277" spans="1:4">
      <c r="A277">
        <v>253</v>
      </c>
      <c r="B277">
        <v>12.790239815410404</v>
      </c>
      <c r="C277">
        <v>7.2470755698965661E-3</v>
      </c>
      <c r="D277">
        <v>0.22635991224737839</v>
      </c>
    </row>
    <row r="278" spans="1:4">
      <c r="A278">
        <v>254</v>
      </c>
      <c r="B278">
        <v>12.790239815410404</v>
      </c>
      <c r="C278">
        <v>7.2432528426968901E-3</v>
      </c>
      <c r="D278">
        <v>0.22624051067841192</v>
      </c>
    </row>
    <row r="279" spans="1:4">
      <c r="A279">
        <v>255</v>
      </c>
      <c r="B279">
        <v>12.790239815410404</v>
      </c>
      <c r="C279">
        <v>7.2386117504965597E-3</v>
      </c>
      <c r="D279">
        <v>0.22609554776018836</v>
      </c>
    </row>
    <row r="280" spans="1:4">
      <c r="A280">
        <v>256</v>
      </c>
      <c r="B280">
        <v>12.086271921800462</v>
      </c>
      <c r="C280">
        <v>-1.6457080495561272E-2</v>
      </c>
      <c r="D280">
        <v>-0.514031247624545</v>
      </c>
    </row>
    <row r="281" spans="1:4">
      <c r="A281">
        <v>257</v>
      </c>
      <c r="B281">
        <v>12.086271921800462</v>
      </c>
      <c r="C281">
        <v>-1.6496443868362576E-2</v>
      </c>
      <c r="D281">
        <v>-0.51526074903199215</v>
      </c>
    </row>
    <row r="282" spans="1:4">
      <c r="A282">
        <v>258</v>
      </c>
      <c r="B282">
        <v>12.086271921800462</v>
      </c>
      <c r="C282">
        <v>-1.6546448111661505E-2</v>
      </c>
      <c r="D282">
        <v>-0.51682261436870258</v>
      </c>
    </row>
    <row r="283" spans="1:4">
      <c r="A283">
        <v>259</v>
      </c>
      <c r="B283">
        <v>12.086271921800462</v>
      </c>
      <c r="C283">
        <v>-1.6608810928660844E-2</v>
      </c>
      <c r="D283">
        <v>-0.51877049550328158</v>
      </c>
    </row>
    <row r="284" spans="1:4">
      <c r="A284">
        <v>260</v>
      </c>
      <c r="B284">
        <v>12.086271921800462</v>
      </c>
      <c r="C284">
        <v>-1.6683787398362071E-2</v>
      </c>
      <c r="D284">
        <v>-0.52111235974058656</v>
      </c>
    </row>
    <row r="285" spans="1:4">
      <c r="A285">
        <v>261</v>
      </c>
      <c r="B285">
        <v>11.382304028190518</v>
      </c>
      <c r="C285">
        <v>-2.2500306935217651E-2</v>
      </c>
      <c r="D285">
        <v>-0.70278934644359436</v>
      </c>
    </row>
    <row r="286" spans="1:4">
      <c r="A286">
        <v>262</v>
      </c>
      <c r="B286">
        <v>11.382304028190518</v>
      </c>
      <c r="C286">
        <v>-2.3091795031218609E-2</v>
      </c>
      <c r="D286">
        <v>-0.7212642736352336</v>
      </c>
    </row>
    <row r="287" spans="1:4">
      <c r="A287">
        <v>263</v>
      </c>
      <c r="B287">
        <v>11.382304028190518</v>
      </c>
      <c r="C287">
        <v>-2.3796365143718745E-2</v>
      </c>
      <c r="D287">
        <v>-0.74327127870913434</v>
      </c>
    </row>
    <row r="288" spans="1:4">
      <c r="A288">
        <v>264</v>
      </c>
      <c r="B288">
        <v>11.382304028190518</v>
      </c>
      <c r="C288">
        <v>-2.4642320966817621E-2</v>
      </c>
      <c r="D288">
        <v>-0.76969441781330594</v>
      </c>
    </row>
    <row r="289" spans="1:4">
      <c r="A289">
        <v>265</v>
      </c>
      <c r="B289">
        <v>11.382304028190518</v>
      </c>
      <c r="C289">
        <v>-2.5629133321718456E-2</v>
      </c>
      <c r="D289">
        <v>-0.80051716223008174</v>
      </c>
    </row>
    <row r="290" spans="1:4">
      <c r="A290">
        <v>266</v>
      </c>
      <c r="B290">
        <v>10.678336134580576</v>
      </c>
      <c r="C290">
        <v>1.9780515396234932E-3</v>
      </c>
      <c r="D290">
        <v>6.1783759340094231E-2</v>
      </c>
    </row>
    <row r="291" spans="1:4">
      <c r="A291">
        <v>267</v>
      </c>
      <c r="B291">
        <v>10.678336134580576</v>
      </c>
      <c r="C291">
        <v>-4.3194733395761631E-3</v>
      </c>
      <c r="D291">
        <v>-0.13491726375295765</v>
      </c>
    </row>
    <row r="292" spans="1:4">
      <c r="A292">
        <v>268</v>
      </c>
      <c r="B292">
        <v>10.678336134580576</v>
      </c>
      <c r="C292">
        <v>-1.1035072128276369E-2</v>
      </c>
      <c r="D292">
        <v>-0.34467668158119968</v>
      </c>
    </row>
    <row r="293" spans="1:4">
      <c r="A293">
        <v>269</v>
      </c>
      <c r="B293">
        <v>10.678336134580576</v>
      </c>
      <c r="C293">
        <v>-1.8381839654976417E-2</v>
      </c>
      <c r="D293">
        <v>-0.57415043780276587</v>
      </c>
    </row>
    <row r="294" spans="1:4">
      <c r="A294">
        <v>270</v>
      </c>
      <c r="B294">
        <v>10.678336134580576</v>
      </c>
      <c r="C294">
        <v>-2.6281774265875413E-2</v>
      </c>
      <c r="D294">
        <v>-0.82090217759573814</v>
      </c>
    </row>
    <row r="295" spans="1:4">
      <c r="A295">
        <v>271</v>
      </c>
      <c r="B295">
        <v>9.974368240970632</v>
      </c>
      <c r="C295">
        <v>6.4563185250667843E-2</v>
      </c>
      <c r="D295">
        <v>2.016608879926582</v>
      </c>
    </row>
    <row r="296" spans="1:4">
      <c r="A296">
        <v>272</v>
      </c>
      <c r="B296">
        <v>9.974368240970632</v>
      </c>
      <c r="C296">
        <v>3.5022839611567491E-2</v>
      </c>
      <c r="D296">
        <v>1.0939263465196036</v>
      </c>
    </row>
    <row r="297" spans="1:4">
      <c r="A297">
        <v>273</v>
      </c>
      <c r="B297">
        <v>9.974368240970632</v>
      </c>
      <c r="C297">
        <v>1.0633155977377129E-2</v>
      </c>
      <c r="D297">
        <v>0.33212296887724146</v>
      </c>
    </row>
    <row r="298" spans="1:4">
      <c r="A298">
        <v>274</v>
      </c>
      <c r="B298">
        <v>9.974368240970632</v>
      </c>
      <c r="C298">
        <v>-1.0933372505272487E-2</v>
      </c>
      <c r="D298">
        <v>-0.34150012884393072</v>
      </c>
    </row>
    <row r="299" spans="1:4">
      <c r="A299">
        <v>275</v>
      </c>
      <c r="B299">
        <v>9.974368240970632</v>
      </c>
      <c r="C299">
        <v>-3.0410612483661836E-2</v>
      </c>
      <c r="D299">
        <v>-0.94986501890292441</v>
      </c>
    </row>
    <row r="300" spans="1:4">
      <c r="A300">
        <v>276</v>
      </c>
      <c r="B300">
        <v>12.790239815410404</v>
      </c>
      <c r="C300">
        <v>1.3903303793595612E-2</v>
      </c>
      <c r="D300">
        <v>0.43426491090279379</v>
      </c>
    </row>
    <row r="301" spans="1:4">
      <c r="A301">
        <v>277</v>
      </c>
      <c r="B301">
        <v>12.790239815410404</v>
      </c>
      <c r="C301">
        <v>1.3901053836695709E-2</v>
      </c>
      <c r="D301">
        <v>0.43419463427306776</v>
      </c>
    </row>
    <row r="302" spans="1:4">
      <c r="A302">
        <v>278</v>
      </c>
      <c r="B302">
        <v>12.790239815410404</v>
      </c>
      <c r="C302">
        <v>1.3898076295596695E-2</v>
      </c>
      <c r="D302">
        <v>0.43410163180118994</v>
      </c>
    </row>
    <row r="303" spans="1:4">
      <c r="A303">
        <v>279</v>
      </c>
      <c r="B303">
        <v>12.790239815410404</v>
      </c>
      <c r="C303">
        <v>1.389429154089683E-2</v>
      </c>
      <c r="D303">
        <v>0.43398341629019155</v>
      </c>
    </row>
    <row r="304" spans="1:4">
      <c r="A304">
        <v>280</v>
      </c>
      <c r="B304">
        <v>12.790239815410404</v>
      </c>
      <c r="C304">
        <v>1.3889699736996164E-2</v>
      </c>
      <c r="D304">
        <v>0.43383999287505159</v>
      </c>
    </row>
    <row r="305" spans="1:4">
      <c r="A305">
        <v>281</v>
      </c>
      <c r="B305">
        <v>12.086271921800462</v>
      </c>
      <c r="C305">
        <v>-1.0748636137561718E-2</v>
      </c>
      <c r="D305">
        <v>-0.3357299519524945</v>
      </c>
    </row>
    <row r="306" spans="1:4">
      <c r="A306">
        <v>282</v>
      </c>
      <c r="B306">
        <v>12.086271921800462</v>
      </c>
      <c r="C306">
        <v>-1.0787672534561921E-2</v>
      </c>
      <c r="D306">
        <v>-0.33694924038328228</v>
      </c>
    </row>
    <row r="307" spans="1:4">
      <c r="A307">
        <v>283</v>
      </c>
      <c r="B307">
        <v>12.086271921800462</v>
      </c>
      <c r="C307">
        <v>-1.0837274275161235E-2</v>
      </c>
      <c r="D307">
        <v>-0.3384985336866414</v>
      </c>
    </row>
    <row r="308" spans="1:4">
      <c r="A308">
        <v>284</v>
      </c>
      <c r="B308">
        <v>12.086271921800462</v>
      </c>
      <c r="C308">
        <v>-1.0899158312161816E-2</v>
      </c>
      <c r="D308">
        <v>-0.34043146029267163</v>
      </c>
    </row>
    <row r="309" spans="1:4">
      <c r="A309">
        <v>285</v>
      </c>
      <c r="B309">
        <v>12.086271921800462</v>
      </c>
      <c r="C309">
        <v>-1.0973539559062218E-2</v>
      </c>
      <c r="D309">
        <v>-0.34275473295056469</v>
      </c>
    </row>
    <row r="310" spans="1:4">
      <c r="A310">
        <v>286</v>
      </c>
      <c r="B310">
        <v>11.382304028190518</v>
      </c>
      <c r="C310">
        <v>-1.8029007619718485E-2</v>
      </c>
      <c r="D310">
        <v>-0.56312985056467946</v>
      </c>
    </row>
    <row r="311" spans="1:4">
      <c r="A311">
        <v>287</v>
      </c>
      <c r="B311">
        <v>11.382304028190518</v>
      </c>
      <c r="C311">
        <v>-1.8614191065717378E-2</v>
      </c>
      <c r="D311">
        <v>-0.5814078541824641</v>
      </c>
    </row>
    <row r="312" spans="1:4">
      <c r="A312">
        <v>288</v>
      </c>
      <c r="B312">
        <v>11.382304028190518</v>
      </c>
      <c r="C312">
        <v>-1.9313420885218591E-2</v>
      </c>
      <c r="D312">
        <v>-0.60324805704174023</v>
      </c>
    </row>
    <row r="313" spans="1:4">
      <c r="A313">
        <v>289</v>
      </c>
      <c r="B313">
        <v>11.382304028190518</v>
      </c>
      <c r="C313">
        <v>-2.0153510750617443E-2</v>
      </c>
      <c r="D313">
        <v>-0.62948797497519016</v>
      </c>
    </row>
    <row r="314" spans="1:4">
      <c r="A314">
        <v>290</v>
      </c>
      <c r="B314">
        <v>11.382304028190518</v>
      </c>
      <c r="C314">
        <v>-2.1133638696017698E-2</v>
      </c>
      <c r="D314">
        <v>-0.6601019341608223</v>
      </c>
    </row>
    <row r="315" spans="1:4">
      <c r="A315">
        <v>291</v>
      </c>
      <c r="B315">
        <v>10.678336134580576</v>
      </c>
      <c r="C315">
        <v>4.9504206135235762E-3</v>
      </c>
      <c r="D315">
        <v>0.15462468479279337</v>
      </c>
    </row>
    <row r="316" spans="1:4">
      <c r="A316">
        <v>292</v>
      </c>
      <c r="B316">
        <v>10.678336134580576</v>
      </c>
      <c r="C316">
        <v>-1.2719581109763567E-3</v>
      </c>
      <c r="D316">
        <v>-3.9729174010401366E-2</v>
      </c>
    </row>
    <row r="317" spans="1:4">
      <c r="A317">
        <v>293</v>
      </c>
      <c r="B317">
        <v>10.678336134580576</v>
      </c>
      <c r="C317">
        <v>-7.9305944112757487E-3</v>
      </c>
      <c r="D317">
        <v>-0.24770938810998899</v>
      </c>
    </row>
    <row r="318" spans="1:4">
      <c r="A318">
        <v>294</v>
      </c>
      <c r="B318">
        <v>10.678336134580576</v>
      </c>
      <c r="C318">
        <v>-1.5223857745276348E-2</v>
      </c>
      <c r="D318">
        <v>-0.47551195927939111</v>
      </c>
    </row>
    <row r="319" spans="1:4">
      <c r="A319">
        <v>295</v>
      </c>
      <c r="B319">
        <v>10.678336134580576</v>
      </c>
      <c r="C319">
        <v>-2.3069649762375022E-2</v>
      </c>
      <c r="D319">
        <v>-0.72057257378143991</v>
      </c>
    </row>
    <row r="320" spans="1:4">
      <c r="A320">
        <v>296</v>
      </c>
      <c r="B320">
        <v>9.974368240970632</v>
      </c>
      <c r="C320">
        <v>6.5795487756867388E-2</v>
      </c>
      <c r="D320">
        <v>2.0550994247643164</v>
      </c>
    </row>
    <row r="321" spans="1:4">
      <c r="A321">
        <v>297</v>
      </c>
      <c r="B321">
        <v>9.974368240970632</v>
      </c>
      <c r="C321">
        <v>3.6494072891368745E-2</v>
      </c>
      <c r="D321">
        <v>1.1398798118725237</v>
      </c>
    </row>
    <row r="322" spans="1:4">
      <c r="A322">
        <v>298</v>
      </c>
      <c r="B322">
        <v>9.974368240970632</v>
      </c>
      <c r="C322">
        <v>1.2308534346617606E-2</v>
      </c>
      <c r="D322">
        <v>0.38445283586769191</v>
      </c>
    </row>
    <row r="323" spans="1:4">
      <c r="A323">
        <v>299</v>
      </c>
      <c r="B323">
        <v>9.974368240970632</v>
      </c>
      <c r="C323">
        <v>-9.0686991621620194E-3</v>
      </c>
      <c r="D323">
        <v>-0.28325769846693721</v>
      </c>
    </row>
    <row r="324" spans="1:4">
      <c r="A324">
        <v>300</v>
      </c>
      <c r="B324">
        <v>9.974368240970632</v>
      </c>
      <c r="C324">
        <v>-2.8364278586771263E-2</v>
      </c>
      <c r="D324">
        <v>-0.88594848362446077</v>
      </c>
    </row>
    <row r="325" spans="1:4">
      <c r="A325">
        <v>301</v>
      </c>
      <c r="B325">
        <v>12.790239815410404</v>
      </c>
      <c r="C325">
        <v>-4.9701331686103245E-2</v>
      </c>
      <c r="D325">
        <v>-1.5524039966930756</v>
      </c>
    </row>
    <row r="326" spans="1:4">
      <c r="A326">
        <v>302</v>
      </c>
      <c r="B326">
        <v>12.790239815410404</v>
      </c>
      <c r="C326">
        <v>-4.9703788561503259E-2</v>
      </c>
      <c r="D326">
        <v>-1.5524807363509674</v>
      </c>
    </row>
    <row r="327" spans="1:4">
      <c r="A327">
        <v>303</v>
      </c>
      <c r="B327">
        <v>12.790239815410404</v>
      </c>
      <c r="C327">
        <v>-4.9707054380704108E-2</v>
      </c>
      <c r="D327">
        <v>-1.5525827430901811</v>
      </c>
    </row>
    <row r="328" spans="1:4">
      <c r="A328">
        <v>304</v>
      </c>
      <c r="B328">
        <v>12.790239815410404</v>
      </c>
      <c r="C328">
        <v>-4.9711199946003148E-2</v>
      </c>
      <c r="D328">
        <v>-1.5527122283961168</v>
      </c>
    </row>
    <row r="329" spans="1:4">
      <c r="A329">
        <v>305</v>
      </c>
      <c r="B329">
        <v>12.790239815410404</v>
      </c>
      <c r="C329">
        <v>-4.9716224523303154E-2</v>
      </c>
      <c r="D329">
        <v>-1.5528691693395</v>
      </c>
    </row>
    <row r="330" spans="1:4">
      <c r="A330">
        <v>306</v>
      </c>
      <c r="B330">
        <v>12.086271921800462</v>
      </c>
      <c r="C330">
        <v>-6.5055096581861704E-2</v>
      </c>
      <c r="D330">
        <v>-2.0319735611264114</v>
      </c>
    </row>
    <row r="331" spans="1:4">
      <c r="A331">
        <v>307</v>
      </c>
      <c r="B331">
        <v>12.086271921800462</v>
      </c>
      <c r="C331">
        <v>-6.5096911984362293E-2</v>
      </c>
      <c r="D331">
        <v>-2.0332796508379549</v>
      </c>
    </row>
    <row r="332" spans="1:4">
      <c r="A332">
        <v>308</v>
      </c>
      <c r="B332">
        <v>12.086271921800462</v>
      </c>
      <c r="C332">
        <v>-6.5150188438360956E-2</v>
      </c>
      <c r="D332">
        <v>-2.0349437225501479</v>
      </c>
    </row>
    <row r="333" spans="1:4">
      <c r="A333">
        <v>309</v>
      </c>
      <c r="B333">
        <v>12.086271921800462</v>
      </c>
      <c r="C333">
        <v>-6.521671638996196E-2</v>
      </c>
      <c r="D333">
        <v>-2.0370217002310977</v>
      </c>
    </row>
    <row r="334" spans="1:4">
      <c r="A334">
        <v>310</v>
      </c>
      <c r="B334">
        <v>12.086271921800462</v>
      </c>
      <c r="C334">
        <v>-6.5296721387761991E-2</v>
      </c>
      <c r="D334">
        <v>-2.0395206288136274</v>
      </c>
    </row>
    <row r="335" spans="1:4">
      <c r="A335">
        <v>311</v>
      </c>
      <c r="B335">
        <v>11.382304028190518</v>
      </c>
      <c r="C335">
        <v>-6.041413273541707E-2</v>
      </c>
      <c r="D335">
        <v>-1.8870146519923292</v>
      </c>
    </row>
    <row r="336" spans="1:4">
      <c r="A336">
        <v>312</v>
      </c>
      <c r="B336">
        <v>11.382304028190518</v>
      </c>
      <c r="C336">
        <v>-6.1047380798518347E-2</v>
      </c>
      <c r="D336">
        <v>-1.9067939373898557</v>
      </c>
    </row>
    <row r="337" spans="1:4">
      <c r="A337">
        <v>313</v>
      </c>
      <c r="B337">
        <v>11.382304028190518</v>
      </c>
      <c r="C337">
        <v>-6.1793165480818146E-2</v>
      </c>
      <c r="D337">
        <v>-1.9300882653725886</v>
      </c>
    </row>
    <row r="338" spans="1:4">
      <c r="A338">
        <v>314</v>
      </c>
      <c r="B338">
        <v>11.382304028190518</v>
      </c>
      <c r="C338">
        <v>-6.2686884779317609E-2</v>
      </c>
      <c r="D338">
        <v>-1.958003280199047</v>
      </c>
    </row>
    <row r="339" spans="1:4">
      <c r="A339">
        <v>315</v>
      </c>
      <c r="B339">
        <v>11.382304028190518</v>
      </c>
      <c r="C339">
        <v>-6.3729201209017816E-2</v>
      </c>
      <c r="D339">
        <v>-1.9905596752973678</v>
      </c>
    </row>
    <row r="340" spans="1:4">
      <c r="A340">
        <v>316</v>
      </c>
      <c r="B340">
        <v>10.678336134580576</v>
      </c>
      <c r="C340">
        <v>-2.333410710147632E-2</v>
      </c>
      <c r="D340">
        <v>-0.72883280778821724</v>
      </c>
    </row>
    <row r="341" spans="1:4">
      <c r="A341">
        <v>317</v>
      </c>
      <c r="B341">
        <v>10.678336134580576</v>
      </c>
      <c r="C341">
        <v>-3.0195901106875311E-2</v>
      </c>
      <c r="D341">
        <v>-0.94315858291517252</v>
      </c>
    </row>
    <row r="342" spans="1:4">
      <c r="A342">
        <v>318</v>
      </c>
      <c r="B342">
        <v>10.678336134580576</v>
      </c>
      <c r="C342">
        <v>-3.7351445136375006E-2</v>
      </c>
      <c r="D342">
        <v>-1.1666595389874328</v>
      </c>
    </row>
    <row r="343" spans="1:4">
      <c r="A343">
        <v>319</v>
      </c>
      <c r="B343">
        <v>10.678336134580576</v>
      </c>
      <c r="C343">
        <v>-4.5123471071075727E-2</v>
      </c>
      <c r="D343">
        <v>-1.4094160952831902</v>
      </c>
    </row>
    <row r="344" spans="1:4">
      <c r="A344">
        <v>320</v>
      </c>
      <c r="B344">
        <v>10.678336134580576</v>
      </c>
      <c r="C344">
        <v>-5.3461965886175022E-2</v>
      </c>
      <c r="D344">
        <v>-1.669866112178493</v>
      </c>
    </row>
    <row r="345" spans="1:4">
      <c r="A345">
        <v>321</v>
      </c>
      <c r="B345">
        <v>9.974368240970632</v>
      </c>
      <c r="C345">
        <v>5.3899841106268553E-2</v>
      </c>
      <c r="D345">
        <v>1.6835429940379005</v>
      </c>
    </row>
    <row r="346" spans="1:4">
      <c r="A346">
        <v>322</v>
      </c>
      <c r="B346">
        <v>9.974368240970632</v>
      </c>
      <c r="C346">
        <v>2.2347548163857311E-2</v>
      </c>
      <c r="D346">
        <v>0.69801797877305727</v>
      </c>
    </row>
    <row r="347" spans="1:4">
      <c r="A347">
        <v>323</v>
      </c>
      <c r="B347">
        <v>9.974368240970632</v>
      </c>
      <c r="C347">
        <v>-3.7499109177723255E-3</v>
      </c>
      <c r="D347">
        <v>-0.11712717745187591</v>
      </c>
    </row>
    <row r="348" spans="1:4">
      <c r="A348">
        <v>324</v>
      </c>
      <c r="B348">
        <v>9.974368240970632</v>
      </c>
      <c r="C348">
        <v>-2.6892622695621426E-2</v>
      </c>
      <c r="D348">
        <v>-0.83998181815145689</v>
      </c>
    </row>
    <row r="349" spans="1:4">
      <c r="A349">
        <v>325</v>
      </c>
      <c r="B349">
        <v>9.974368240970632</v>
      </c>
      <c r="C349">
        <v>-4.7876650249301989E-2</v>
      </c>
      <c r="D349">
        <v>-1.4954106997514174</v>
      </c>
    </row>
    <row r="350" spans="1:4">
      <c r="A350">
        <v>326</v>
      </c>
      <c r="B350">
        <v>12.790239815410404</v>
      </c>
      <c r="C350">
        <v>-3.1867693633103045E-2</v>
      </c>
      <c r="D350">
        <v>-0.99537644733274122</v>
      </c>
    </row>
    <row r="351" spans="1:4">
      <c r="A351">
        <v>327</v>
      </c>
      <c r="B351">
        <v>12.790239815410404</v>
      </c>
      <c r="C351">
        <v>-3.1870092560003727E-2</v>
      </c>
      <c r="D351">
        <v>-0.99545137698919206</v>
      </c>
    </row>
    <row r="352" spans="1:4">
      <c r="A352">
        <v>328</v>
      </c>
      <c r="B352">
        <v>12.790239815410404</v>
      </c>
      <c r="C352">
        <v>-3.187328236360365E-2</v>
      </c>
      <c r="D352">
        <v>-0.99555100940726216</v>
      </c>
    </row>
    <row r="353" spans="1:4">
      <c r="A353">
        <v>329</v>
      </c>
      <c r="B353">
        <v>12.790239815410404</v>
      </c>
      <c r="C353">
        <v>-3.1877313430603849E-2</v>
      </c>
      <c r="D353">
        <v>-0.99567691839822381</v>
      </c>
    </row>
    <row r="354" spans="1:4">
      <c r="A354">
        <v>330</v>
      </c>
      <c r="B354">
        <v>12.790239815410404</v>
      </c>
      <c r="C354">
        <v>-3.1882231760704371E-2</v>
      </c>
      <c r="D354">
        <v>-0.99583054074688293</v>
      </c>
    </row>
    <row r="355" spans="1:4">
      <c r="A355">
        <v>331</v>
      </c>
      <c r="B355">
        <v>12.086271921800462</v>
      </c>
      <c r="C355">
        <v>-4.9887752288061193E-2</v>
      </c>
      <c r="D355">
        <v>-1.558226780061803</v>
      </c>
    </row>
    <row r="356" spans="1:4">
      <c r="A356">
        <v>332</v>
      </c>
      <c r="B356">
        <v>12.086271921800462</v>
      </c>
      <c r="C356">
        <v>-4.9928824239762193E-2</v>
      </c>
      <c r="D356">
        <v>-1.5595096483433877</v>
      </c>
    </row>
    <row r="357" spans="1:4">
      <c r="A357">
        <v>333</v>
      </c>
      <c r="B357">
        <v>12.086271921800462</v>
      </c>
      <c r="C357">
        <v>-4.9981084427361822E-2</v>
      </c>
      <c r="D357">
        <v>-1.5611419773242281</v>
      </c>
    </row>
    <row r="358" spans="1:4">
      <c r="A358">
        <v>334</v>
      </c>
      <c r="B358">
        <v>12.086271921800462</v>
      </c>
      <c r="C358">
        <v>-5.0046321468862232E-2</v>
      </c>
      <c r="D358">
        <v>-1.5631796338722919</v>
      </c>
    </row>
    <row r="359" spans="1:4">
      <c r="A359">
        <v>335</v>
      </c>
      <c r="B359">
        <v>12.086271921800462</v>
      </c>
      <c r="C359">
        <v>-5.0124761818862495E-2</v>
      </c>
      <c r="D359">
        <v>-1.5656296912190744</v>
      </c>
    </row>
    <row r="360" spans="1:4">
      <c r="A360">
        <v>336</v>
      </c>
      <c r="B360">
        <v>11.382304028190518</v>
      </c>
      <c r="C360">
        <v>-4.8608912501517665E-2</v>
      </c>
      <c r="D360">
        <v>-1.5182826592825325</v>
      </c>
    </row>
    <row r="361" spans="1:4">
      <c r="A361">
        <v>337</v>
      </c>
      <c r="B361">
        <v>11.382304028190518</v>
      </c>
      <c r="C361">
        <v>-4.9230630779918627E-2</v>
      </c>
      <c r="D361">
        <v>-1.5377018158214841</v>
      </c>
    </row>
    <row r="362" spans="1:4">
      <c r="A362">
        <v>338</v>
      </c>
      <c r="B362">
        <v>11.382304028190518</v>
      </c>
      <c r="C362">
        <v>-4.9964108417317021E-2</v>
      </c>
      <c r="D362">
        <v>-1.5606117374906581</v>
      </c>
    </row>
    <row r="363" spans="1:4">
      <c r="A363">
        <v>339</v>
      </c>
      <c r="B363">
        <v>11.382304028190518</v>
      </c>
      <c r="C363">
        <v>-5.0843183830817651E-2</v>
      </c>
      <c r="D363">
        <v>-1.5880693556070469</v>
      </c>
    </row>
    <row r="364" spans="1:4">
      <c r="A364">
        <v>340</v>
      </c>
      <c r="B364">
        <v>11.382304028190518</v>
      </c>
      <c r="C364">
        <v>-5.1868367818817873E-2</v>
      </c>
      <c r="D364">
        <v>-1.6200906247828641</v>
      </c>
    </row>
    <row r="365" spans="1:4">
      <c r="A365">
        <v>341</v>
      </c>
      <c r="B365">
        <v>10.678336134580576</v>
      </c>
      <c r="C365">
        <v>-1.54370339287766E-2</v>
      </c>
      <c r="D365">
        <v>-0.48217044403299181</v>
      </c>
    </row>
    <row r="366" spans="1:4">
      <c r="A366">
        <v>342</v>
      </c>
      <c r="B366">
        <v>10.678336134580576</v>
      </c>
      <c r="C366">
        <v>-2.2135515516776394E-2</v>
      </c>
      <c r="D366">
        <v>-0.69139521198610898</v>
      </c>
    </row>
    <row r="367" spans="1:4">
      <c r="A367">
        <v>343</v>
      </c>
      <c r="B367">
        <v>10.678336134580576</v>
      </c>
      <c r="C367">
        <v>-2.9161057684875757E-2</v>
      </c>
      <c r="D367">
        <v>-0.91083560464147706</v>
      </c>
    </row>
    <row r="368" spans="1:4">
      <c r="A368">
        <v>344</v>
      </c>
      <c r="B368">
        <v>10.678336134580576</v>
      </c>
      <c r="C368">
        <v>-3.6805139671475473E-2</v>
      </c>
      <c r="D368">
        <v>-1.1495958757342724</v>
      </c>
    </row>
    <row r="369" spans="1:4">
      <c r="A369">
        <v>345</v>
      </c>
      <c r="B369">
        <v>10.678336134580576</v>
      </c>
      <c r="C369">
        <v>-4.5010277830375145E-2</v>
      </c>
      <c r="D369">
        <v>-1.4058805433512618</v>
      </c>
    </row>
    <row r="370" spans="1:4">
      <c r="A370">
        <v>346</v>
      </c>
      <c r="B370">
        <v>9.974368240970632</v>
      </c>
      <c r="C370">
        <v>5.7258065780468215E-2</v>
      </c>
      <c r="D370">
        <v>1.7884359864218153</v>
      </c>
    </row>
    <row r="371" spans="1:4">
      <c r="A371">
        <v>347</v>
      </c>
      <c r="B371">
        <v>9.974368240970632</v>
      </c>
      <c r="C371">
        <v>2.6328846508267389E-2</v>
      </c>
      <c r="D371">
        <v>0.82237246289280286</v>
      </c>
    </row>
    <row r="372" spans="1:4">
      <c r="A372">
        <v>348</v>
      </c>
      <c r="B372">
        <v>9.974368240970632</v>
      </c>
      <c r="C372">
        <v>7.581794201279024E-4</v>
      </c>
      <c r="D372">
        <v>2.3681473354688599E-2</v>
      </c>
    </row>
    <row r="373" spans="1:4">
      <c r="A373">
        <v>349</v>
      </c>
      <c r="B373">
        <v>9.974368240970632</v>
      </c>
      <c r="C373">
        <v>-2.1899625176311943E-2</v>
      </c>
      <c r="D373">
        <v>-0.68402725835397926</v>
      </c>
    </row>
    <row r="374" spans="1:4">
      <c r="A374">
        <v>350</v>
      </c>
      <c r="B374">
        <v>9.974368240970632</v>
      </c>
      <c r="C374">
        <v>-4.2421162553921477E-2</v>
      </c>
      <c r="D374">
        <v>-1.3250104184127462</v>
      </c>
    </row>
    <row r="375" spans="1:4">
      <c r="A375">
        <v>351</v>
      </c>
      <c r="B375">
        <v>12.790239815410404</v>
      </c>
      <c r="C375">
        <v>-1.8970269278502983E-2</v>
      </c>
      <c r="D375">
        <v>-0.59252983465885967</v>
      </c>
    </row>
    <row r="376" spans="1:4">
      <c r="A376">
        <v>352</v>
      </c>
      <c r="B376">
        <v>12.790239815410404</v>
      </c>
      <c r="C376">
        <v>-1.897262450210313E-2</v>
      </c>
      <c r="D376">
        <v>-0.59260339925775352</v>
      </c>
    </row>
    <row r="377" spans="1:4">
      <c r="A377">
        <v>353</v>
      </c>
      <c r="B377">
        <v>12.790239815410404</v>
      </c>
      <c r="C377">
        <v>-1.8975750269003555E-2</v>
      </c>
      <c r="D377">
        <v>-0.59270103151154485</v>
      </c>
    </row>
    <row r="378" spans="1:4">
      <c r="A378">
        <v>354</v>
      </c>
      <c r="B378">
        <v>12.790239815410404</v>
      </c>
      <c r="C378">
        <v>-1.8979723349803024E-2</v>
      </c>
      <c r="D378">
        <v>-0.59282512932347542</v>
      </c>
    </row>
    <row r="379" spans="1:4">
      <c r="A379">
        <v>355</v>
      </c>
      <c r="B379">
        <v>12.790239815410404</v>
      </c>
      <c r="C379">
        <v>-1.8984548759103603E-2</v>
      </c>
      <c r="D379">
        <v>-0.59297584932291547</v>
      </c>
    </row>
    <row r="380" spans="1:4">
      <c r="A380">
        <v>356</v>
      </c>
      <c r="B380">
        <v>12.086271921800462</v>
      </c>
      <c r="C380">
        <v>-3.8891657711561223E-2</v>
      </c>
      <c r="D380">
        <v>-1.2147675489010699</v>
      </c>
    </row>
    <row r="381" spans="1:4">
      <c r="A381">
        <v>357</v>
      </c>
      <c r="B381">
        <v>12.086271921800462</v>
      </c>
      <c r="C381">
        <v>-3.8932180346561651E-2</v>
      </c>
      <c r="D381">
        <v>-1.2160332594644911</v>
      </c>
    </row>
    <row r="382" spans="1:4">
      <c r="A382">
        <v>358</v>
      </c>
      <c r="B382">
        <v>12.086271921800462</v>
      </c>
      <c r="C382">
        <v>-3.8983693458062518E-2</v>
      </c>
      <c r="D382">
        <v>-1.2176422537803999</v>
      </c>
    </row>
    <row r="383" spans="1:4">
      <c r="A383">
        <v>359</v>
      </c>
      <c r="B383">
        <v>12.086271921800462</v>
      </c>
      <c r="C383">
        <v>-3.904799468666198E-2</v>
      </c>
      <c r="D383">
        <v>-1.2196506805344458</v>
      </c>
    </row>
    <row r="384" spans="1:4">
      <c r="A384">
        <v>360</v>
      </c>
      <c r="B384">
        <v>12.086271921800462</v>
      </c>
      <c r="C384">
        <v>-3.912529885656113E-2</v>
      </c>
      <c r="D384">
        <v>-1.2220652496866451</v>
      </c>
    </row>
    <row r="385" spans="1:4">
      <c r="A385">
        <v>361</v>
      </c>
      <c r="B385">
        <v>11.382304028190518</v>
      </c>
      <c r="C385">
        <v>-4.0035145634718106E-2</v>
      </c>
      <c r="D385">
        <v>-1.2504840007919424</v>
      </c>
    </row>
    <row r="386" spans="1:4">
      <c r="A386">
        <v>362</v>
      </c>
      <c r="B386">
        <v>11.382304028190518</v>
      </c>
      <c r="C386">
        <v>-4.0647821454518507E-2</v>
      </c>
      <c r="D386">
        <v>-1.2696207192473414</v>
      </c>
    </row>
    <row r="387" spans="1:4">
      <c r="A387">
        <v>363</v>
      </c>
      <c r="B387">
        <v>11.382304028190518</v>
      </c>
      <c r="C387">
        <v>-4.1372141987118027E-2</v>
      </c>
      <c r="D387">
        <v>-1.2922446218983996</v>
      </c>
    </row>
    <row r="388" spans="1:4">
      <c r="A388">
        <v>364</v>
      </c>
      <c r="B388">
        <v>11.382304028190518</v>
      </c>
      <c r="C388">
        <v>-4.2240485095417668E-2</v>
      </c>
      <c r="D388">
        <v>-1.3193670201540213</v>
      </c>
    </row>
    <row r="389" spans="1:4">
      <c r="A389">
        <v>365</v>
      </c>
      <c r="B389">
        <v>11.382304028190518</v>
      </c>
      <c r="C389">
        <v>-4.3253153577017756E-2</v>
      </c>
      <c r="D389">
        <v>-1.350997371793083</v>
      </c>
    </row>
    <row r="390" spans="1:4">
      <c r="A390">
        <v>366</v>
      </c>
      <c r="B390">
        <v>10.678336134580576</v>
      </c>
      <c r="C390">
        <v>-9.7090798909764686E-3</v>
      </c>
      <c r="D390">
        <v>-0.30325977022419637</v>
      </c>
    </row>
    <row r="391" spans="1:4">
      <c r="A391">
        <v>367</v>
      </c>
      <c r="B391">
        <v>10.678336134580576</v>
      </c>
      <c r="C391">
        <v>-1.628241398397634E-2</v>
      </c>
      <c r="D391">
        <v>-0.50857559922491269</v>
      </c>
    </row>
    <row r="392" spans="1:4">
      <c r="A392">
        <v>368</v>
      </c>
      <c r="B392">
        <v>10.678336134580576</v>
      </c>
      <c r="C392">
        <v>-2.3209945724975256E-2</v>
      </c>
      <c r="D392">
        <v>-0.72495466990787838</v>
      </c>
    </row>
    <row r="393" spans="1:4">
      <c r="A393">
        <v>369</v>
      </c>
      <c r="B393">
        <v>10.678336134580576</v>
      </c>
      <c r="C393">
        <v>-3.0758855601375146E-2</v>
      </c>
      <c r="D393">
        <v>-0.96074227288020886</v>
      </c>
    </row>
    <row r="394" spans="1:4">
      <c r="A394">
        <v>370</v>
      </c>
      <c r="B394">
        <v>10.678336134580576</v>
      </c>
      <c r="C394">
        <v>-3.8865526877675194E-2</v>
      </c>
      <c r="D394">
        <v>-1.2139513612943114</v>
      </c>
    </row>
    <row r="395" spans="1:4">
      <c r="A395">
        <v>371</v>
      </c>
      <c r="B395">
        <v>9.974368240970632</v>
      </c>
      <c r="C395">
        <v>5.9676420167967592E-2</v>
      </c>
      <c r="D395">
        <v>1.8639724537399331</v>
      </c>
    </row>
    <row r="396" spans="1:4">
      <c r="A396">
        <v>372</v>
      </c>
      <c r="B396">
        <v>9.974368240970632</v>
      </c>
      <c r="C396">
        <v>2.9201845050968345E-2</v>
      </c>
      <c r="D396">
        <v>0.9121095839894876</v>
      </c>
    </row>
    <row r="397" spans="1:4">
      <c r="A397">
        <v>373</v>
      </c>
      <c r="B397">
        <v>9.974368240970632</v>
      </c>
      <c r="C397">
        <v>4.0167228453178438E-3</v>
      </c>
      <c r="D397">
        <v>0.12546095621867018</v>
      </c>
    </row>
    <row r="398" spans="1:4">
      <c r="A398">
        <v>374</v>
      </c>
      <c r="B398">
        <v>9.974368240970632</v>
      </c>
      <c r="C398">
        <v>-1.8285511204151561E-2</v>
      </c>
      <c r="D398">
        <v>-0.57114165178068887</v>
      </c>
    </row>
    <row r="399" spans="1:4">
      <c r="A399">
        <v>375</v>
      </c>
      <c r="B399">
        <v>9.974368240970632</v>
      </c>
      <c r="C399">
        <v>-3.8467315823762505E-2</v>
      </c>
      <c r="D399">
        <v>-1.2015133760200805</v>
      </c>
    </row>
    <row r="400" spans="1:4">
      <c r="A400">
        <v>376</v>
      </c>
      <c r="B400">
        <v>12.790239815410404</v>
      </c>
      <c r="C400">
        <v>-9.2057513828045501E-3</v>
      </c>
      <c r="D400">
        <v>-0.28753847742925653</v>
      </c>
    </row>
    <row r="401" spans="1:4">
      <c r="A401">
        <v>377</v>
      </c>
      <c r="B401">
        <v>12.790239815410404</v>
      </c>
      <c r="C401">
        <v>-9.2080722739034115E-3</v>
      </c>
      <c r="D401">
        <v>-0.2876109696642839</v>
      </c>
    </row>
    <row r="402" spans="1:4">
      <c r="A402">
        <v>378</v>
      </c>
      <c r="B402">
        <v>12.790239815410404</v>
      </c>
      <c r="C402">
        <v>-9.2111558573044761E-3</v>
      </c>
      <c r="D402">
        <v>-0.28770728433098502</v>
      </c>
    </row>
    <row r="403" spans="1:4">
      <c r="A403">
        <v>379</v>
      </c>
      <c r="B403">
        <v>12.790239815410404</v>
      </c>
      <c r="C403">
        <v>-9.2150643956045997E-3</v>
      </c>
      <c r="D403">
        <v>-0.28782936618015281</v>
      </c>
    </row>
    <row r="404" spans="1:4">
      <c r="A404">
        <v>380</v>
      </c>
      <c r="B404">
        <v>12.790239815410404</v>
      </c>
      <c r="C404">
        <v>-9.2198255162045939E-3</v>
      </c>
      <c r="D404">
        <v>-0.28797807814414705</v>
      </c>
    </row>
    <row r="405" spans="1:4">
      <c r="A405">
        <v>381</v>
      </c>
      <c r="B405">
        <v>12.086271921800462</v>
      </c>
      <c r="C405">
        <v>-3.0550415195461866E-2</v>
      </c>
      <c r="D405">
        <v>-0.95423170851030936</v>
      </c>
    </row>
    <row r="406" spans="1:4">
      <c r="A406">
        <v>382</v>
      </c>
      <c r="B406">
        <v>12.086271921800462</v>
      </c>
      <c r="C406">
        <v>-3.0590509796661891E-2</v>
      </c>
      <c r="D406">
        <v>-0.95548404958522937</v>
      </c>
    </row>
    <row r="407" spans="1:4">
      <c r="A407">
        <v>383</v>
      </c>
      <c r="B407">
        <v>12.086271921800462</v>
      </c>
      <c r="C407">
        <v>-3.0641468869662347E-2</v>
      </c>
      <c r="D407">
        <v>-0.95707573869918128</v>
      </c>
    </row>
    <row r="408" spans="1:4">
      <c r="A408">
        <v>384</v>
      </c>
      <c r="B408">
        <v>12.086271921800462</v>
      </c>
      <c r="C408">
        <v>-3.0705057227562449E-2</v>
      </c>
      <c r="D408">
        <v>-0.95906189918217832</v>
      </c>
    </row>
    <row r="409" spans="1:4">
      <c r="A409">
        <v>385</v>
      </c>
      <c r="B409">
        <v>12.086271921800462</v>
      </c>
      <c r="C409">
        <v>-3.0781494803262532E-2</v>
      </c>
      <c r="D409">
        <v>-0.96144940056270001</v>
      </c>
    </row>
    <row r="410" spans="1:4">
      <c r="A410">
        <v>386</v>
      </c>
      <c r="B410">
        <v>11.382304028190518</v>
      </c>
      <c r="C410">
        <v>-3.3522474050318607E-2</v>
      </c>
      <c r="D410">
        <v>-1.0470629443779129</v>
      </c>
    </row>
    <row r="411" spans="1:4">
      <c r="A411">
        <v>387</v>
      </c>
      <c r="B411">
        <v>11.382304028190518</v>
      </c>
      <c r="C411">
        <v>-3.4127815447318355E-2</v>
      </c>
      <c r="D411">
        <v>-1.0659705746603614</v>
      </c>
    </row>
    <row r="412" spans="1:4">
      <c r="A412">
        <v>388</v>
      </c>
      <c r="B412">
        <v>11.382304028190518</v>
      </c>
      <c r="C412">
        <v>-3.4844966561317747E-2</v>
      </c>
      <c r="D412">
        <v>-1.0883705429879069</v>
      </c>
    </row>
    <row r="413" spans="1:4">
      <c r="A413">
        <v>389</v>
      </c>
      <c r="B413">
        <v>11.382304028190518</v>
      </c>
      <c r="C413">
        <v>-3.5705090942917295E-2</v>
      </c>
      <c r="D413">
        <v>-1.1152362321425024</v>
      </c>
    </row>
    <row r="414" spans="1:4">
      <c r="A414">
        <v>390</v>
      </c>
      <c r="B414">
        <v>11.382304028190518</v>
      </c>
      <c r="C414">
        <v>-3.6708200561417215E-2</v>
      </c>
      <c r="D414">
        <v>-1.1465680159811225</v>
      </c>
    </row>
    <row r="415" spans="1:4">
      <c r="A415">
        <v>391</v>
      </c>
      <c r="B415">
        <v>10.678336134580576</v>
      </c>
      <c r="C415">
        <v>-5.3634163111766497E-3</v>
      </c>
      <c r="D415">
        <v>-0.1675244633279617</v>
      </c>
    </row>
    <row r="416" spans="1:4">
      <c r="A416">
        <v>392</v>
      </c>
      <c r="B416">
        <v>10.678336134580576</v>
      </c>
      <c r="C416">
        <v>-1.1837594198276236E-2</v>
      </c>
      <c r="D416">
        <v>-0.3697431823496396</v>
      </c>
    </row>
    <row r="417" spans="1:4">
      <c r="A417">
        <v>393</v>
      </c>
      <c r="B417">
        <v>10.678336134580576</v>
      </c>
      <c r="C417">
        <v>-1.8688368857075588E-2</v>
      </c>
      <c r="D417">
        <v>-0.58372477197649075</v>
      </c>
    </row>
    <row r="418" spans="1:4">
      <c r="A418">
        <v>394</v>
      </c>
      <c r="B418">
        <v>10.678336134580576</v>
      </c>
      <c r="C418">
        <v>-2.6163484835175055E-2</v>
      </c>
      <c r="D418">
        <v>-0.81720744792238564</v>
      </c>
    </row>
    <row r="419" spans="1:4">
      <c r="A419">
        <v>395</v>
      </c>
      <c r="B419">
        <v>10.678336134580576</v>
      </c>
      <c r="C419">
        <v>-3.419431032247644E-2</v>
      </c>
      <c r="D419">
        <v>-1.0680475192099956</v>
      </c>
    </row>
    <row r="420" spans="1:4">
      <c r="A420">
        <v>396</v>
      </c>
      <c r="B420">
        <v>9.974368240970632</v>
      </c>
      <c r="C420">
        <v>6.1501075472268241E-2</v>
      </c>
      <c r="D420">
        <v>1.9209649344419253</v>
      </c>
    </row>
    <row r="421" spans="1:4">
      <c r="A421">
        <v>397</v>
      </c>
      <c r="B421">
        <v>9.974368240970632</v>
      </c>
      <c r="C421">
        <v>3.1372875445468296E-2</v>
      </c>
      <c r="D421">
        <v>0.97992097147201307</v>
      </c>
    </row>
    <row r="422" spans="1:4">
      <c r="A422">
        <v>398</v>
      </c>
      <c r="B422">
        <v>9.974368240970632</v>
      </c>
      <c r="C422">
        <v>6.4821390479377072E-3</v>
      </c>
      <c r="D422">
        <v>0.20246738314161478</v>
      </c>
    </row>
    <row r="423" spans="1:4">
      <c r="A423">
        <v>399</v>
      </c>
      <c r="B423">
        <v>9.974368240970632</v>
      </c>
      <c r="C423">
        <v>-1.5548132079892696E-2</v>
      </c>
      <c r="D423">
        <v>-0.48564055656251304</v>
      </c>
    </row>
    <row r="424" spans="1:4" ht="16.5" thickBot="1">
      <c r="A424" s="12">
        <v>400</v>
      </c>
      <c r="B424" s="12">
        <v>9.974368240970632</v>
      </c>
      <c r="C424" s="12">
        <v>-3.5469750186091886E-2</v>
      </c>
      <c r="D424" s="12">
        <v>-1.1078854445662674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3679-D95A-0E4A-8DC4-D4C6DB283D98}">
  <dimension ref="A1:I425"/>
  <sheetViews>
    <sheetView workbookViewId="0">
      <selection activeCell="E19" sqref="E19"/>
    </sheetView>
  </sheetViews>
  <sheetFormatPr defaultColWidth="11" defaultRowHeight="15.75"/>
  <sheetData>
    <row r="1" spans="1:9">
      <c r="A1" t="s">
        <v>2</v>
      </c>
    </row>
    <row r="2" spans="1:9" ht="16.5" thickBot="1"/>
    <row r="3" spans="1:9">
      <c r="A3" s="14" t="s">
        <v>3</v>
      </c>
      <c r="B3" s="14"/>
    </row>
    <row r="4" spans="1:9">
      <c r="A4" t="s">
        <v>4</v>
      </c>
      <c r="B4">
        <v>0.99533453719232823</v>
      </c>
    </row>
    <row r="5" spans="1:9">
      <c r="A5" t="s">
        <v>5</v>
      </c>
      <c r="B5">
        <v>0.99069084092786619</v>
      </c>
    </row>
    <row r="6" spans="1:9">
      <c r="A6" t="s">
        <v>6</v>
      </c>
      <c r="B6">
        <v>0.99064394340105444</v>
      </c>
    </row>
    <row r="7" spans="1:9">
      <c r="A7" t="s">
        <v>7</v>
      </c>
      <c r="B7">
        <v>8.619714841860153E-2</v>
      </c>
    </row>
    <row r="8" spans="1:9" ht="16.5" thickBot="1">
      <c r="A8" s="12" t="s">
        <v>8</v>
      </c>
      <c r="B8" s="12">
        <v>400</v>
      </c>
    </row>
    <row r="10" spans="1:9" ht="16.5" thickBot="1">
      <c r="A10" t="s">
        <v>9</v>
      </c>
    </row>
    <row r="11" spans="1:9">
      <c r="A11" s="13"/>
      <c r="B11" s="13" t="s">
        <v>14</v>
      </c>
      <c r="C11" s="13" t="s">
        <v>15</v>
      </c>
      <c r="D11" s="13" t="s">
        <v>16</v>
      </c>
      <c r="E11" s="13" t="s">
        <v>17</v>
      </c>
      <c r="F11" s="13" t="s">
        <v>18</v>
      </c>
    </row>
    <row r="12" spans="1:9">
      <c r="A12" t="s">
        <v>10</v>
      </c>
      <c r="B12">
        <v>2</v>
      </c>
      <c r="C12">
        <v>313.90916853814144</v>
      </c>
      <c r="D12">
        <v>156.95458426907072</v>
      </c>
      <c r="E12">
        <v>21124.586055559248</v>
      </c>
      <c r="F12">
        <v>0</v>
      </c>
    </row>
    <row r="13" spans="1:9">
      <c r="A13" t="s">
        <v>11</v>
      </c>
      <c r="B13">
        <v>397</v>
      </c>
      <c r="C13">
        <v>2.9496895130128729</v>
      </c>
      <c r="D13">
        <v>7.4299483954984201E-3</v>
      </c>
    </row>
    <row r="14" spans="1:9" ht="16.5" thickBot="1">
      <c r="A14" s="12" t="s">
        <v>12</v>
      </c>
      <c r="B14" s="12">
        <v>399</v>
      </c>
      <c r="C14" s="12">
        <v>316.8588580511543</v>
      </c>
      <c r="D14" s="12"/>
      <c r="E14" s="12"/>
      <c r="F14" s="12"/>
    </row>
    <row r="15" spans="1:9" ht="16.5" thickBot="1"/>
    <row r="16" spans="1:9">
      <c r="A16" s="13"/>
      <c r="B16" s="13" t="s">
        <v>19</v>
      </c>
      <c r="C16" s="13" t="s">
        <v>7</v>
      </c>
      <c r="D16" s="13" t="s">
        <v>20</v>
      </c>
      <c r="E16" s="13" t="s">
        <v>21</v>
      </c>
      <c r="F16" s="13" t="s">
        <v>22</v>
      </c>
      <c r="G16" s="13" t="s">
        <v>23</v>
      </c>
      <c r="H16" s="13" t="s">
        <v>42</v>
      </c>
      <c r="I16" s="13" t="s">
        <v>43</v>
      </c>
    </row>
    <row r="17" spans="1:9">
      <c r="A17" t="s">
        <v>13</v>
      </c>
      <c r="B17">
        <v>5.1801402751499817</v>
      </c>
      <c r="C17">
        <v>2.4945103289483322E-2</v>
      </c>
      <c r="D17">
        <v>207.66160857445283</v>
      </c>
      <c r="E17">
        <v>0</v>
      </c>
      <c r="F17">
        <v>5.1310992640466218</v>
      </c>
      <c r="G17">
        <v>5.2291812862533416</v>
      </c>
      <c r="H17">
        <v>5.1310992640466218</v>
      </c>
      <c r="I17">
        <v>5.2291812862533416</v>
      </c>
    </row>
    <row r="18" spans="1:9">
      <c r="A18" t="s">
        <v>24</v>
      </c>
      <c r="B18">
        <v>6.2635073009952968</v>
      </c>
      <c r="C18">
        <v>3.0475294082868174E-2</v>
      </c>
      <c r="D18">
        <v>205.52737847134858</v>
      </c>
      <c r="E18">
        <v>0</v>
      </c>
      <c r="F18">
        <v>6.2035941702236084</v>
      </c>
      <c r="G18">
        <v>6.3234204317669853</v>
      </c>
      <c r="H18">
        <v>6.2035941702236084</v>
      </c>
      <c r="I18">
        <v>6.3234204317669853</v>
      </c>
    </row>
    <row r="19" spans="1:9" ht="16.5" thickBot="1">
      <c r="A19" s="12" t="s">
        <v>25</v>
      </c>
      <c r="B19" s="12">
        <v>-1.6878812335024702E-2</v>
      </c>
      <c r="C19" s="12">
        <v>6.0950588165736399E-3</v>
      </c>
      <c r="D19" s="12">
        <v>-2.7692616007458302</v>
      </c>
      <c r="E19" s="12">
        <v>5.8818880867058934E-3</v>
      </c>
      <c r="F19" s="12">
        <v>-2.8861438489362352E-2</v>
      </c>
      <c r="G19" s="12">
        <v>-4.8961861806870507E-3</v>
      </c>
      <c r="H19" s="12">
        <v>-2.8861438489362352E-2</v>
      </c>
      <c r="I19" s="12">
        <v>-4.8961861806870507E-3</v>
      </c>
    </row>
    <row r="23" spans="1:9">
      <c r="A23" t="s">
        <v>26</v>
      </c>
    </row>
    <row r="24" spans="1:9" ht="16.5" thickBot="1"/>
    <row r="25" spans="1:9">
      <c r="A25" s="13" t="s">
        <v>27</v>
      </c>
      <c r="B25" s="13" t="s">
        <v>28</v>
      </c>
      <c r="C25" s="13" t="s">
        <v>29</v>
      </c>
      <c r="D25" s="13" t="s">
        <v>44</v>
      </c>
    </row>
    <row r="26" spans="1:9">
      <c r="A26">
        <v>1</v>
      </c>
      <c r="B26">
        <v>8.2950151133126067</v>
      </c>
      <c r="C26">
        <v>4.0856277665231033E-3</v>
      </c>
      <c r="D26">
        <v>4.7517883906330369E-2</v>
      </c>
    </row>
    <row r="27" spans="1:9">
      <c r="A27">
        <v>2</v>
      </c>
      <c r="B27">
        <v>8.2865757071450936</v>
      </c>
      <c r="C27">
        <v>-6.4412256847390381E-4</v>
      </c>
      <c r="D27">
        <v>-7.4914659825305987E-3</v>
      </c>
    </row>
    <row r="28" spans="1:9">
      <c r="A28">
        <v>3</v>
      </c>
      <c r="B28">
        <v>8.2781363009775824</v>
      </c>
      <c r="C28">
        <v>-4.2820843967117383E-3</v>
      </c>
      <c r="D28">
        <v>-4.9802772270959035E-2</v>
      </c>
    </row>
    <row r="29" spans="1:9">
      <c r="A29">
        <v>4</v>
      </c>
      <c r="B29">
        <v>8.2696968948100693</v>
      </c>
      <c r="C29">
        <v>-6.9814876841700624E-3</v>
      </c>
      <c r="D29">
        <v>-8.1198175709527726E-2</v>
      </c>
    </row>
    <row r="30" spans="1:9">
      <c r="A30">
        <v>5</v>
      </c>
      <c r="B30">
        <v>8.2612574886425563</v>
      </c>
      <c r="C30">
        <v>-8.827611502216115E-3</v>
      </c>
      <c r="D30">
        <v>-0.10266951433254608</v>
      </c>
    </row>
    <row r="31" spans="1:9">
      <c r="A31">
        <v>6</v>
      </c>
      <c r="B31">
        <v>8.9213658434121346</v>
      </c>
      <c r="C31">
        <v>-0.10561109549916381</v>
      </c>
      <c r="D31">
        <v>-1.228309592045959</v>
      </c>
    </row>
    <row r="32" spans="1:9">
      <c r="A32">
        <v>7</v>
      </c>
      <c r="B32">
        <v>8.9129264372446215</v>
      </c>
      <c r="C32">
        <v>-0.10038742364031172</v>
      </c>
      <c r="D32">
        <v>-1.1675556890625423</v>
      </c>
    </row>
    <row r="33" spans="1:4">
      <c r="A33">
        <v>8</v>
      </c>
      <c r="B33">
        <v>8.9044870310771103</v>
      </c>
      <c r="C33">
        <v>-9.4250194930159736E-2</v>
      </c>
      <c r="D33">
        <v>-1.0961766653185907</v>
      </c>
    </row>
    <row r="34" spans="1:4">
      <c r="A34">
        <v>9</v>
      </c>
      <c r="B34">
        <v>8.8960476249095972</v>
      </c>
      <c r="C34">
        <v>-8.7734736966236682E-2</v>
      </c>
      <c r="D34">
        <v>-1.020398647148878</v>
      </c>
    </row>
    <row r="35" spans="1:4">
      <c r="A35">
        <v>10</v>
      </c>
      <c r="B35">
        <v>8.8876082187420842</v>
      </c>
      <c r="C35">
        <v>-8.1020061530054477E-2</v>
      </c>
      <c r="D35">
        <v>-0.94230363064747924</v>
      </c>
    </row>
    <row r="36" spans="1:4">
      <c r="A36">
        <v>11</v>
      </c>
      <c r="B36">
        <v>9.547716573511666</v>
      </c>
      <c r="C36">
        <v>-0.16512353668786517</v>
      </c>
      <c r="D36">
        <v>-1.9204688960722265</v>
      </c>
    </row>
    <row r="37" spans="1:4">
      <c r="A37">
        <v>12</v>
      </c>
      <c r="B37">
        <v>9.539277167344153</v>
      </c>
      <c r="C37">
        <v>-0.1655508209286225</v>
      </c>
      <c r="D37">
        <v>-1.9254384244060792</v>
      </c>
    </row>
    <row r="38" spans="1:4">
      <c r="A38">
        <v>13</v>
      </c>
      <c r="B38">
        <v>9.5308377611766417</v>
      </c>
      <c r="C38">
        <v>-0.16162514070911094</v>
      </c>
      <c r="D38">
        <v>-1.8797808100603466</v>
      </c>
    </row>
    <row r="39" spans="1:4">
      <c r="A39">
        <v>14</v>
      </c>
      <c r="B39">
        <v>9.5223983550091287</v>
      </c>
      <c r="C39">
        <v>-0.15594099731130839</v>
      </c>
      <c r="D39">
        <v>-1.8136713939513085</v>
      </c>
    </row>
    <row r="40" spans="1:4">
      <c r="A40">
        <v>15</v>
      </c>
      <c r="B40">
        <v>9.5139589488416156</v>
      </c>
      <c r="C40">
        <v>-0.14937238298874611</v>
      </c>
      <c r="D40">
        <v>-1.7372751408803648</v>
      </c>
    </row>
    <row r="41" spans="1:4">
      <c r="A41">
        <v>16</v>
      </c>
      <c r="B41">
        <v>10.174067303611194</v>
      </c>
      <c r="C41">
        <v>-9.0143718655093963E-2</v>
      </c>
      <c r="D41">
        <v>-1.0484163028838276</v>
      </c>
    </row>
    <row r="42" spans="1:4">
      <c r="A42">
        <v>17</v>
      </c>
      <c r="B42">
        <v>10.165627897443681</v>
      </c>
      <c r="C42">
        <v>-0.11689838667888175</v>
      </c>
      <c r="D42">
        <v>-1.3595864049483786</v>
      </c>
    </row>
    <row r="43" spans="1:4">
      <c r="A43">
        <v>18</v>
      </c>
      <c r="B43">
        <v>10.15718849127617</v>
      </c>
      <c r="C43">
        <v>-0.12669101992277021</v>
      </c>
      <c r="D43">
        <v>-1.4734796023250838</v>
      </c>
    </row>
    <row r="44" spans="1:4">
      <c r="A44">
        <v>19</v>
      </c>
      <c r="B44">
        <v>10.148749085108657</v>
      </c>
      <c r="C44">
        <v>-0.12941761317555667</v>
      </c>
      <c r="D44">
        <v>-1.5051912385899677</v>
      </c>
    </row>
    <row r="45" spans="1:4">
      <c r="A45">
        <v>20</v>
      </c>
      <c r="B45">
        <v>10.140309678941144</v>
      </c>
      <c r="C45">
        <v>-0.12852376676624289</v>
      </c>
      <c r="D45">
        <v>-1.4947953600775188</v>
      </c>
    </row>
    <row r="46" spans="1:4">
      <c r="A46">
        <v>21</v>
      </c>
      <c r="B46">
        <v>10.800418033710725</v>
      </c>
      <c r="C46">
        <v>0.16919199025907439</v>
      </c>
      <c r="D46">
        <v>1.967787035541289</v>
      </c>
    </row>
    <row r="47" spans="1:4">
      <c r="A47">
        <v>22</v>
      </c>
      <c r="B47">
        <v>10.791978627543212</v>
      </c>
      <c r="C47">
        <v>0.10057134836758763</v>
      </c>
      <c r="D47">
        <v>1.1696948251605028</v>
      </c>
    </row>
    <row r="48" spans="1:4">
      <c r="A48">
        <v>23</v>
      </c>
      <c r="B48">
        <v>10.783539221375701</v>
      </c>
      <c r="C48">
        <v>6.5166409535398984E-2</v>
      </c>
      <c r="D48">
        <v>0.75791776927604715</v>
      </c>
    </row>
    <row r="49" spans="1:4">
      <c r="A49">
        <v>24</v>
      </c>
      <c r="B49">
        <v>10.775099815208188</v>
      </c>
      <c r="C49">
        <v>4.5197539984211943E-2</v>
      </c>
      <c r="D49">
        <v>0.52566988001680037</v>
      </c>
    </row>
    <row r="50" spans="1:4">
      <c r="A50">
        <v>25</v>
      </c>
      <c r="B50">
        <v>10.766660409040675</v>
      </c>
      <c r="C50">
        <v>3.3692085926425364E-2</v>
      </c>
      <c r="D50">
        <v>0.39185572428602067</v>
      </c>
    </row>
    <row r="51" spans="1:4">
      <c r="A51">
        <v>26</v>
      </c>
      <c r="B51">
        <v>8.2950151133126067</v>
      </c>
      <c r="C51">
        <v>8.573463348392707E-3</v>
      </c>
      <c r="D51">
        <v>9.9713644841119997E-2</v>
      </c>
    </row>
    <row r="52" spans="1:4">
      <c r="A52">
        <v>27</v>
      </c>
      <c r="B52">
        <v>8.2865757071450936</v>
      </c>
      <c r="C52">
        <v>5.6493135976669606E-3</v>
      </c>
      <c r="D52">
        <v>6.5704328202380355E-2</v>
      </c>
    </row>
    <row r="53" spans="1:4">
      <c r="A53">
        <v>28</v>
      </c>
      <c r="B53">
        <v>8.2781363009775824</v>
      </c>
      <c r="C53">
        <v>3.5529462196777217E-3</v>
      </c>
      <c r="D53">
        <v>4.1322532457663298E-2</v>
      </c>
    </row>
    <row r="54" spans="1:4">
      <c r="A54">
        <v>29</v>
      </c>
      <c r="B54">
        <v>8.2696968948100693</v>
      </c>
      <c r="C54">
        <v>2.15319088244037E-3</v>
      </c>
      <c r="D54">
        <v>2.5042681376488039E-2</v>
      </c>
    </row>
    <row r="55" spans="1:4">
      <c r="A55">
        <v>30</v>
      </c>
      <c r="B55">
        <v>8.2612574886425563</v>
      </c>
      <c r="C55">
        <v>1.3861118482445534E-3</v>
      </c>
      <c r="D55">
        <v>1.6121170515278085E-2</v>
      </c>
    </row>
    <row r="56" spans="1:4">
      <c r="A56">
        <v>31</v>
      </c>
      <c r="B56">
        <v>8.9213658434121346</v>
      </c>
      <c r="C56">
        <v>-0.10513513934480478</v>
      </c>
      <c r="D56">
        <v>-1.2227739851380928</v>
      </c>
    </row>
    <row r="57" spans="1:4">
      <c r="A57">
        <v>32</v>
      </c>
      <c r="B57">
        <v>8.9129264372446215</v>
      </c>
      <c r="C57">
        <v>-9.9680932826212043E-2</v>
      </c>
      <c r="D57">
        <v>-1.1593388493493526</v>
      </c>
    </row>
    <row r="58" spans="1:4">
      <c r="A58">
        <v>33</v>
      </c>
      <c r="B58">
        <v>8.9044870310771103</v>
      </c>
      <c r="C58">
        <v>-9.3319341550179402E-2</v>
      </c>
      <c r="D58">
        <v>-1.0853503773228632</v>
      </c>
    </row>
    <row r="59" spans="1:4">
      <c r="A59">
        <v>34</v>
      </c>
      <c r="B59">
        <v>8.8960476249095972</v>
      </c>
      <c r="C59">
        <v>-8.6585593566777419E-2</v>
      </c>
      <c r="D59">
        <v>-1.0070335376069237</v>
      </c>
    </row>
    <row r="60" spans="1:4">
      <c r="A60">
        <v>35</v>
      </c>
      <c r="B60">
        <v>8.8876082187420842</v>
      </c>
      <c r="C60">
        <v>-7.9658599565654242E-2</v>
      </c>
      <c r="D60">
        <v>-0.92646915054693157</v>
      </c>
    </row>
    <row r="61" spans="1:4">
      <c r="A61">
        <v>36</v>
      </c>
      <c r="B61">
        <v>9.547716573511666</v>
      </c>
      <c r="C61">
        <v>-0.16509793409537643</v>
      </c>
      <c r="D61">
        <v>-1.9201711251818998</v>
      </c>
    </row>
    <row r="62" spans="1:4">
      <c r="A62">
        <v>37</v>
      </c>
      <c r="B62">
        <v>9.539277167344153</v>
      </c>
      <c r="C62">
        <v>-0.16551097930151215</v>
      </c>
      <c r="D62">
        <v>-1.9249750464578526</v>
      </c>
    </row>
    <row r="63" spans="1:4">
      <c r="A63">
        <v>38</v>
      </c>
      <c r="B63">
        <v>9.5308377611766417</v>
      </c>
      <c r="C63">
        <v>-0.16157112293153197</v>
      </c>
      <c r="D63">
        <v>-1.8791525564282103</v>
      </c>
    </row>
    <row r="64" spans="1:4">
      <c r="A64">
        <v>39</v>
      </c>
      <c r="B64">
        <v>9.5223983550091287</v>
      </c>
      <c r="C64">
        <v>-0.15587289123369885</v>
      </c>
      <c r="D64">
        <v>-1.8128792863795706</v>
      </c>
    </row>
    <row r="65" spans="1:4">
      <c r="A65">
        <v>40</v>
      </c>
      <c r="B65">
        <v>9.5139589488416156</v>
      </c>
      <c r="C65">
        <v>-0.14929027100107639</v>
      </c>
      <c r="D65">
        <v>-1.7363201376053778</v>
      </c>
    </row>
    <row r="66" spans="1:4">
      <c r="A66">
        <v>41</v>
      </c>
      <c r="B66">
        <v>10.174067303611194</v>
      </c>
      <c r="C66">
        <v>-9.0146933263794082E-2</v>
      </c>
      <c r="D66">
        <v>-1.0484536903825783</v>
      </c>
    </row>
    <row r="67" spans="1:4">
      <c r="A67">
        <v>42</v>
      </c>
      <c r="B67">
        <v>10.165627897443681</v>
      </c>
      <c r="C67">
        <v>-0.11690235886778133</v>
      </c>
      <c r="D67">
        <v>-1.359632603481816</v>
      </c>
    </row>
    <row r="68" spans="1:4">
      <c r="A68">
        <v>43</v>
      </c>
      <c r="B68">
        <v>10.15718849127617</v>
      </c>
      <c r="C68">
        <v>-0.12669569855006912</v>
      </c>
      <c r="D68">
        <v>-1.4735340170886246</v>
      </c>
    </row>
    <row r="69" spans="1:4">
      <c r="A69">
        <v>44</v>
      </c>
      <c r="B69">
        <v>10.148749085108657</v>
      </c>
      <c r="C69">
        <v>-0.12942297460055663</v>
      </c>
      <c r="D69">
        <v>-1.5052535946305272</v>
      </c>
    </row>
    <row r="70" spans="1:4">
      <c r="A70">
        <v>45</v>
      </c>
      <c r="B70">
        <v>10.140309678941144</v>
      </c>
      <c r="C70">
        <v>-0.12852979938044307</v>
      </c>
      <c r="D70">
        <v>-1.4948655223824561</v>
      </c>
    </row>
    <row r="71" spans="1:4">
      <c r="A71">
        <v>46</v>
      </c>
      <c r="B71">
        <v>10.800418033710725</v>
      </c>
      <c r="C71">
        <v>0.16919091015427412</v>
      </c>
      <c r="D71">
        <v>1.9677744733850089</v>
      </c>
    </row>
    <row r="72" spans="1:4">
      <c r="A72">
        <v>47</v>
      </c>
      <c r="B72">
        <v>10.791978627543212</v>
      </c>
      <c r="C72">
        <v>0.10056988771628816</v>
      </c>
      <c r="D72">
        <v>1.1696778370590795</v>
      </c>
    </row>
    <row r="73" spans="1:4">
      <c r="A73">
        <v>48</v>
      </c>
      <c r="B73">
        <v>10.783539221375701</v>
      </c>
      <c r="C73">
        <v>6.5164593155998318E-2</v>
      </c>
      <c r="D73">
        <v>0.75789664387979894</v>
      </c>
    </row>
    <row r="74" spans="1:4">
      <c r="A74">
        <v>49</v>
      </c>
      <c r="B74">
        <v>10.775099815208188</v>
      </c>
      <c r="C74">
        <v>4.519539721551169E-2</v>
      </c>
      <c r="D74">
        <v>0.52564495855058879</v>
      </c>
    </row>
    <row r="75" spans="1:4">
      <c r="A75">
        <v>50</v>
      </c>
      <c r="B75">
        <v>10.766660409040675</v>
      </c>
      <c r="C75">
        <v>3.3689625596924344E-2</v>
      </c>
      <c r="D75">
        <v>0.39182710942967997</v>
      </c>
    </row>
    <row r="76" spans="1:4">
      <c r="A76">
        <v>51</v>
      </c>
      <c r="B76">
        <v>8.2950151133126067</v>
      </c>
      <c r="C76">
        <v>1.184661040895385E-2</v>
      </c>
      <c r="D76">
        <v>0.13778197385202512</v>
      </c>
    </row>
    <row r="77" spans="1:4">
      <c r="A77">
        <v>52</v>
      </c>
      <c r="B77">
        <v>8.2865757071450936</v>
      </c>
      <c r="C77">
        <v>1.0289757251976894E-2</v>
      </c>
      <c r="D77">
        <v>0.11967499695643019</v>
      </c>
    </row>
    <row r="78" spans="1:4">
      <c r="A78">
        <v>53</v>
      </c>
      <c r="B78">
        <v>8.2781363009775824</v>
      </c>
      <c r="C78">
        <v>9.3951728314873861E-3</v>
      </c>
      <c r="D78">
        <v>0.10927053500677796</v>
      </c>
    </row>
    <row r="79" spans="1:4">
      <c r="A79">
        <v>54</v>
      </c>
      <c r="B79">
        <v>8.2696968948100693</v>
      </c>
      <c r="C79">
        <v>9.0430325674102363E-3</v>
      </c>
      <c r="D79">
        <v>0.10517496851286742</v>
      </c>
    </row>
    <row r="80" spans="1:4">
      <c r="A80">
        <v>55</v>
      </c>
      <c r="B80">
        <v>8.2612574886425563</v>
      </c>
      <c r="C80">
        <v>9.1805391867545438E-3</v>
      </c>
      <c r="D80">
        <v>0.10677423891823655</v>
      </c>
    </row>
    <row r="81" spans="1:4">
      <c r="A81">
        <v>56</v>
      </c>
      <c r="B81">
        <v>8.9213658434121346</v>
      </c>
      <c r="C81">
        <v>-0.10479375222748466</v>
      </c>
      <c r="D81">
        <v>-1.2188034830916619</v>
      </c>
    </row>
    <row r="82" spans="1:4">
      <c r="A82">
        <v>57</v>
      </c>
      <c r="B82">
        <v>8.9129264372446215</v>
      </c>
      <c r="C82">
        <v>-9.9173138342260714E-2</v>
      </c>
      <c r="D82">
        <v>-1.1534329468257831</v>
      </c>
    </row>
    <row r="83" spans="1:4">
      <c r="A83">
        <v>58</v>
      </c>
      <c r="B83">
        <v>8.9044870310771103</v>
      </c>
      <c r="C83">
        <v>-9.2648890212050361E-2</v>
      </c>
      <c r="D83">
        <v>-1.0775526946482197</v>
      </c>
    </row>
    <row r="84" spans="1:4">
      <c r="A84">
        <v>59</v>
      </c>
      <c r="B84">
        <v>8.8960476249095972</v>
      </c>
      <c r="C84">
        <v>-8.5756185567078091E-2</v>
      </c>
      <c r="D84">
        <v>-0.99738710986242207</v>
      </c>
    </row>
    <row r="85" spans="1:4">
      <c r="A85">
        <v>60</v>
      </c>
      <c r="B85">
        <v>8.8876082187420842</v>
      </c>
      <c r="C85">
        <v>-7.8673883753644702E-2</v>
      </c>
      <c r="D85">
        <v>-0.91501641566511027</v>
      </c>
    </row>
    <row r="86" spans="1:4">
      <c r="A86">
        <v>61</v>
      </c>
      <c r="B86">
        <v>9.547716573511666</v>
      </c>
      <c r="C86">
        <v>-0.1650796272547268</v>
      </c>
      <c r="D86">
        <v>-1.9199582075157804</v>
      </c>
    </row>
    <row r="87" spans="1:4">
      <c r="A87">
        <v>62</v>
      </c>
      <c r="B87">
        <v>9.539277167344153</v>
      </c>
      <c r="C87">
        <v>-0.16548247142660344</v>
      </c>
      <c r="D87">
        <v>-1.924643485687332</v>
      </c>
    </row>
    <row r="88" spans="1:4">
      <c r="A88">
        <v>63</v>
      </c>
      <c r="B88">
        <v>9.5308377611766417</v>
      </c>
      <c r="C88">
        <v>-0.16153245768955138</v>
      </c>
      <c r="D88">
        <v>-1.8787028604244043</v>
      </c>
    </row>
    <row r="89" spans="1:4">
      <c r="A89">
        <v>64</v>
      </c>
      <c r="B89">
        <v>9.5223983550091287</v>
      </c>
      <c r="C89">
        <v>-0.15582411277584818</v>
      </c>
      <c r="D89">
        <v>-1.8123119686429257</v>
      </c>
    </row>
    <row r="90" spans="1:4">
      <c r="A90">
        <v>65</v>
      </c>
      <c r="B90">
        <v>9.5139589488416156</v>
      </c>
      <c r="C90">
        <v>-0.14923143401643557</v>
      </c>
      <c r="D90">
        <v>-1.7356358341971061</v>
      </c>
    </row>
    <row r="91" spans="1:4">
      <c r="A91">
        <v>66</v>
      </c>
      <c r="B91">
        <v>10.174067303611194</v>
      </c>
      <c r="C91">
        <v>-9.0149227128193843E-2</v>
      </c>
      <c r="D91">
        <v>-1.0484803691669595</v>
      </c>
    </row>
    <row r="92" spans="1:4">
      <c r="A92">
        <v>67</v>
      </c>
      <c r="B92">
        <v>10.165627897443681</v>
      </c>
      <c r="C92">
        <v>-0.11690519564578139</v>
      </c>
      <c r="D92">
        <v>-1.3596655966215188</v>
      </c>
    </row>
    <row r="93" spans="1:4">
      <c r="A93">
        <v>68</v>
      </c>
      <c r="B93">
        <v>10.15718849127617</v>
      </c>
      <c r="C93">
        <v>-0.12669903906386892</v>
      </c>
      <c r="D93">
        <v>-1.4735728689263341</v>
      </c>
    </row>
    <row r="94" spans="1:4">
      <c r="A94">
        <v>69</v>
      </c>
      <c r="B94">
        <v>10.148749085108657</v>
      </c>
      <c r="C94">
        <v>-0.12942680408835727</v>
      </c>
      <c r="D94">
        <v>-1.5052981334791768</v>
      </c>
    </row>
    <row r="95" spans="1:4">
      <c r="A95">
        <v>70</v>
      </c>
      <c r="B95">
        <v>10.140309678941144</v>
      </c>
      <c r="C95">
        <v>-0.12853410755154293</v>
      </c>
      <c r="D95">
        <v>-1.4949156285560654</v>
      </c>
    </row>
    <row r="96" spans="1:4">
      <c r="A96">
        <v>71</v>
      </c>
      <c r="B96">
        <v>10.800418033710725</v>
      </c>
      <c r="C96">
        <v>0.16919014457327464</v>
      </c>
      <c r="D96">
        <v>1.9677655692970368</v>
      </c>
    </row>
    <row r="97" spans="1:4">
      <c r="A97">
        <v>72</v>
      </c>
      <c r="B97">
        <v>10.791978627543212</v>
      </c>
      <c r="C97">
        <v>0.10056884299838842</v>
      </c>
      <c r="D97">
        <v>1.1696656864700608</v>
      </c>
    </row>
    <row r="98" spans="1:4">
      <c r="A98">
        <v>73</v>
      </c>
      <c r="B98">
        <v>10.783539221375701</v>
      </c>
      <c r="C98">
        <v>6.5163297360799177E-2</v>
      </c>
      <c r="D98">
        <v>0.75788157313685367</v>
      </c>
    </row>
    <row r="99" spans="1:4">
      <c r="A99">
        <v>74</v>
      </c>
      <c r="B99">
        <v>10.775099815208188</v>
      </c>
      <c r="C99">
        <v>4.5193865618511353E-2</v>
      </c>
      <c r="D99">
        <v>0.52562714531536225</v>
      </c>
    </row>
    <row r="100" spans="1:4">
      <c r="A100">
        <v>75</v>
      </c>
      <c r="B100">
        <v>10.766660409040675</v>
      </c>
      <c r="C100">
        <v>3.3687870937425757E-2</v>
      </c>
      <c r="D100">
        <v>0.39180670186660427</v>
      </c>
    </row>
    <row r="101" spans="1:4">
      <c r="A101">
        <v>76</v>
      </c>
      <c r="B101">
        <v>8.2950151133126067</v>
      </c>
      <c r="C101">
        <v>1.4338896940213175E-2</v>
      </c>
      <c r="D101">
        <v>0.16676850635605558</v>
      </c>
    </row>
    <row r="102" spans="1:4">
      <c r="A102">
        <v>77</v>
      </c>
      <c r="B102">
        <v>8.2865757071450936</v>
      </c>
      <c r="C102">
        <v>1.3851118465936452E-2</v>
      </c>
      <c r="D102">
        <v>0.16109539998483738</v>
      </c>
    </row>
    <row r="103" spans="1:4">
      <c r="A103">
        <v>78</v>
      </c>
      <c r="B103">
        <v>8.2781363009775824</v>
      </c>
      <c r="C103">
        <v>1.39151876044874E-2</v>
      </c>
      <c r="D103">
        <v>0.1618405559465694</v>
      </c>
    </row>
    <row r="104" spans="1:4">
      <c r="A104">
        <v>79</v>
      </c>
      <c r="B104">
        <v>8.2696968948100693</v>
      </c>
      <c r="C104">
        <v>1.4417673694140376E-2</v>
      </c>
      <c r="D104">
        <v>0.16768471920302669</v>
      </c>
    </row>
    <row r="105" spans="1:4">
      <c r="A105">
        <v>80</v>
      </c>
      <c r="B105">
        <v>8.2612574886425563</v>
      </c>
      <c r="C105">
        <v>1.5312118286473719E-2</v>
      </c>
      <c r="D105">
        <v>0.17808755488164515</v>
      </c>
    </row>
    <row r="106" spans="1:4">
      <c r="A106">
        <v>81</v>
      </c>
      <c r="B106">
        <v>8.9213658434121346</v>
      </c>
      <c r="C106">
        <v>-0.10453693366307526</v>
      </c>
      <c r="D106">
        <v>-1.2158165553963418</v>
      </c>
    </row>
    <row r="107" spans="1:4">
      <c r="A107">
        <v>82</v>
      </c>
      <c r="B107">
        <v>8.9129264372446215</v>
      </c>
      <c r="C107">
        <v>-9.8790557520741729E-2</v>
      </c>
      <c r="D107">
        <v>-1.1489833415018016</v>
      </c>
    </row>
    <row r="108" spans="1:4">
      <c r="A108">
        <v>83</v>
      </c>
      <c r="B108">
        <v>8.9044870310771103</v>
      </c>
      <c r="C108">
        <v>-9.2142994751499785E-2</v>
      </c>
      <c r="D108">
        <v>-1.0716688787117425</v>
      </c>
    </row>
    <row r="109" spans="1:4">
      <c r="A109">
        <v>84</v>
      </c>
      <c r="B109">
        <v>8.8960476249095972</v>
      </c>
      <c r="C109">
        <v>-8.5129395454178081E-2</v>
      </c>
      <c r="D109">
        <v>-0.99009722896273245</v>
      </c>
    </row>
    <row r="110" spans="1:4">
      <c r="A110">
        <v>85</v>
      </c>
      <c r="B110">
        <v>8.8876082187420842</v>
      </c>
      <c r="C110">
        <v>-7.7928589953243588E-2</v>
      </c>
      <c r="D110">
        <v>-0.90634827791312256</v>
      </c>
    </row>
    <row r="111" spans="1:4">
      <c r="A111">
        <v>86</v>
      </c>
      <c r="B111">
        <v>9.547716573511666</v>
      </c>
      <c r="C111">
        <v>-0.16506588467012584</v>
      </c>
      <c r="D111">
        <v>-1.9197983744186509</v>
      </c>
    </row>
    <row r="112" spans="1:4">
      <c r="A112">
        <v>87</v>
      </c>
      <c r="B112">
        <v>9.539277167344153</v>
      </c>
      <c r="C112">
        <v>-0.16546106841795272</v>
      </c>
      <c r="D112">
        <v>-1.924394558046727</v>
      </c>
    </row>
    <row r="113" spans="1:4">
      <c r="A113">
        <v>88</v>
      </c>
      <c r="B113">
        <v>9.5308377611766417</v>
      </c>
      <c r="C113">
        <v>-0.1615034153784709</v>
      </c>
      <c r="D113">
        <v>-1.8783650838952743</v>
      </c>
    </row>
    <row r="114" spans="1:4">
      <c r="A114">
        <v>89</v>
      </c>
      <c r="B114">
        <v>9.5223983550091287</v>
      </c>
      <c r="C114">
        <v>-0.15578745993163956</v>
      </c>
      <c r="D114">
        <v>-1.8118856778265637</v>
      </c>
    </row>
    <row r="115" spans="1:4">
      <c r="A115">
        <v>90</v>
      </c>
      <c r="B115">
        <v>9.5139589488416156</v>
      </c>
      <c r="C115">
        <v>-0.14918720338887503</v>
      </c>
      <c r="D115">
        <v>-1.7351214099897061</v>
      </c>
    </row>
    <row r="116" spans="1:4">
      <c r="A116">
        <v>91</v>
      </c>
      <c r="B116">
        <v>10.174067303611194</v>
      </c>
      <c r="C116">
        <v>-9.0150949213693821E-2</v>
      </c>
      <c r="D116">
        <v>-1.0485003978782226</v>
      </c>
    </row>
    <row r="117" spans="1:4">
      <c r="A117">
        <v>92</v>
      </c>
      <c r="B117">
        <v>10.165627897443681</v>
      </c>
      <c r="C117">
        <v>-0.11690732321588015</v>
      </c>
      <c r="D117">
        <v>-1.3596903413204324</v>
      </c>
    </row>
    <row r="118" spans="1:4">
      <c r="A118">
        <v>93</v>
      </c>
      <c r="B118">
        <v>10.15718849127617</v>
      </c>
      <c r="C118">
        <v>-0.12670154508746911</v>
      </c>
      <c r="D118">
        <v>-1.4736020152277851</v>
      </c>
    </row>
    <row r="119" spans="1:4">
      <c r="A119">
        <v>94</v>
      </c>
      <c r="B119">
        <v>10.148749085108657</v>
      </c>
      <c r="C119">
        <v>-0.12942967554745621</v>
      </c>
      <c r="D119">
        <v>-1.5053315299773169</v>
      </c>
    </row>
    <row r="120" spans="1:4">
      <c r="A120">
        <v>95</v>
      </c>
      <c r="B120">
        <v>10.140309678941144</v>
      </c>
      <c r="C120">
        <v>-0.12853733739274276</v>
      </c>
      <c r="D120">
        <v>-1.4949531932163671</v>
      </c>
    </row>
    <row r="121" spans="1:4">
      <c r="A121">
        <v>96</v>
      </c>
      <c r="B121">
        <v>10.800418033710725</v>
      </c>
      <c r="C121">
        <v>0.16918955974257521</v>
      </c>
      <c r="D121">
        <v>1.9677587674249946</v>
      </c>
    </row>
    <row r="122" spans="1:4">
      <c r="A122">
        <v>97</v>
      </c>
      <c r="B122">
        <v>10.791978627543212</v>
      </c>
      <c r="C122">
        <v>0.10056805369778843</v>
      </c>
      <c r="D122">
        <v>1.169656506511332</v>
      </c>
    </row>
    <row r="123" spans="1:4">
      <c r="A123">
        <v>98</v>
      </c>
      <c r="B123">
        <v>10.783539221375701</v>
      </c>
      <c r="C123">
        <v>6.5162325905998131E-2</v>
      </c>
      <c r="D123">
        <v>0.75787027463412793</v>
      </c>
    </row>
    <row r="124" spans="1:4">
      <c r="A124">
        <v>99</v>
      </c>
      <c r="B124">
        <v>10.775099815208188</v>
      </c>
      <c r="C124">
        <v>4.5192718649811781E-2</v>
      </c>
      <c r="D124">
        <v>0.5256138054986621</v>
      </c>
    </row>
    <row r="125" spans="1:4">
      <c r="A125">
        <v>100</v>
      </c>
      <c r="B125">
        <v>10.766660409040675</v>
      </c>
      <c r="C125">
        <v>3.3686552248125778E-2</v>
      </c>
      <c r="D125">
        <v>0.39179136485387439</v>
      </c>
    </row>
    <row r="126" spans="1:4">
      <c r="A126">
        <v>101</v>
      </c>
      <c r="B126">
        <v>8.2950151133126067</v>
      </c>
      <c r="C126">
        <v>4.0006282709883934E-2</v>
      </c>
      <c r="D126">
        <v>0.46529297478068399</v>
      </c>
    </row>
    <row r="127" spans="1:4">
      <c r="A127">
        <v>102</v>
      </c>
      <c r="B127">
        <v>8.2865757071450936</v>
      </c>
      <c r="C127">
        <v>4.89349278910165E-2</v>
      </c>
      <c r="D127">
        <v>0.56913756107272651</v>
      </c>
    </row>
    <row r="128" spans="1:4">
      <c r="A128">
        <v>103</v>
      </c>
      <c r="B128">
        <v>8.2781363009775824</v>
      </c>
      <c r="C128">
        <v>5.7551142309817394E-2</v>
      </c>
      <c r="D128">
        <v>0.66934842213534684</v>
      </c>
    </row>
    <row r="129" spans="1:4">
      <c r="A129">
        <v>104</v>
      </c>
      <c r="B129">
        <v>8.2696968948100693</v>
      </c>
      <c r="C129">
        <v>6.6073774464850743E-2</v>
      </c>
      <c r="D129">
        <v>0.76847087490442811</v>
      </c>
    </row>
    <row r="130" spans="1:4">
      <c r="A130">
        <v>105</v>
      </c>
      <c r="B130">
        <v>8.2612574886425563</v>
      </c>
      <c r="C130">
        <v>7.4558852851183133E-2</v>
      </c>
      <c r="D130">
        <v>0.86715655865700725</v>
      </c>
    </row>
    <row r="131" spans="1:4">
      <c r="A131">
        <v>106</v>
      </c>
      <c r="B131">
        <v>8.9213658434121346</v>
      </c>
      <c r="C131">
        <v>-3.0979731846095149E-2</v>
      </c>
      <c r="D131">
        <v>-0.36030969668212204</v>
      </c>
    </row>
    <row r="132" spans="1:4">
      <c r="A132">
        <v>107</v>
      </c>
      <c r="B132">
        <v>8.9129264372446215</v>
      </c>
      <c r="C132">
        <v>-1.3329039223812345E-2</v>
      </c>
      <c r="D132">
        <v>-0.15502335861571623</v>
      </c>
    </row>
    <row r="133" spans="1:4">
      <c r="A133">
        <v>108</v>
      </c>
      <c r="B133">
        <v>8.9044870310771103</v>
      </c>
      <c r="C133">
        <v>-8.9621586625021621E-4</v>
      </c>
      <c r="D133">
        <v>-1.0423436475646015E-2</v>
      </c>
    </row>
    <row r="134" spans="1:4">
      <c r="A134">
        <v>109</v>
      </c>
      <c r="B134">
        <v>8.8960476249095972</v>
      </c>
      <c r="C134">
        <v>9.6192780890227425E-3</v>
      </c>
      <c r="D134">
        <v>0.1118769906652252</v>
      </c>
    </row>
    <row r="135" spans="1:4">
      <c r="A135">
        <v>110</v>
      </c>
      <c r="B135">
        <v>8.8876082187420842</v>
      </c>
      <c r="C135">
        <v>1.9272237736425168E-2</v>
      </c>
      <c r="D135">
        <v>0.22414571461412938</v>
      </c>
    </row>
    <row r="136" spans="1:4">
      <c r="A136">
        <v>111</v>
      </c>
      <c r="B136">
        <v>9.547716573511666</v>
      </c>
      <c r="C136">
        <v>-0.12423774816797639</v>
      </c>
      <c r="D136">
        <v>-1.4449468310848448</v>
      </c>
    </row>
    <row r="137" spans="1:4">
      <c r="A137">
        <v>112</v>
      </c>
      <c r="B137">
        <v>9.539277167344153</v>
      </c>
      <c r="C137">
        <v>-9.8388085375383127E-2</v>
      </c>
      <c r="D137">
        <v>-1.1443023901837728</v>
      </c>
    </row>
    <row r="138" spans="1:4">
      <c r="A138">
        <v>113</v>
      </c>
      <c r="B138">
        <v>9.5308377611766417</v>
      </c>
      <c r="C138">
        <v>-7.487612181894221E-2</v>
      </c>
      <c r="D138">
        <v>-0.87084655462300953</v>
      </c>
    </row>
    <row r="139" spans="1:4">
      <c r="A139">
        <v>114</v>
      </c>
      <c r="B139">
        <v>9.5223983550091287</v>
      </c>
      <c r="C139">
        <v>-5.4746498998829551E-2</v>
      </c>
      <c r="D139">
        <v>-0.63672902485638216</v>
      </c>
    </row>
    <row r="140" spans="1:4">
      <c r="A140">
        <v>115</v>
      </c>
      <c r="B140">
        <v>9.5139589488416156</v>
      </c>
      <c r="C140">
        <v>-3.7363201693395354E-2</v>
      </c>
      <c r="D140">
        <v>-0.43455262737908729</v>
      </c>
    </row>
    <row r="141" spans="1:4">
      <c r="A141">
        <v>116</v>
      </c>
      <c r="B141">
        <v>10.174067303611194</v>
      </c>
      <c r="C141">
        <v>-6.7758360502594428E-2</v>
      </c>
      <c r="D141">
        <v>-0.78806344876238643</v>
      </c>
    </row>
    <row r="142" spans="1:4">
      <c r="A142">
        <v>117</v>
      </c>
      <c r="B142">
        <v>10.165627897443681</v>
      </c>
      <c r="C142">
        <v>-8.714738506368036E-2</v>
      </c>
      <c r="D142">
        <v>-1.0135674522596809</v>
      </c>
    </row>
    <row r="143" spans="1:4">
      <c r="A143">
        <v>118</v>
      </c>
      <c r="B143">
        <v>10.15718849127617</v>
      </c>
      <c r="C143">
        <v>-8.9655667327569688E-2</v>
      </c>
      <c r="D143">
        <v>-1.0427400230935704</v>
      </c>
    </row>
    <row r="144" spans="1:4">
      <c r="A144">
        <v>119</v>
      </c>
      <c r="B144">
        <v>10.148749085108657</v>
      </c>
      <c r="C144">
        <v>-8.5259749461256362E-2</v>
      </c>
      <c r="D144">
        <v>-0.99161331092835459</v>
      </c>
    </row>
    <row r="145" spans="1:4">
      <c r="A145">
        <v>120</v>
      </c>
      <c r="B145">
        <v>10.140309678941144</v>
      </c>
      <c r="C145">
        <v>-7.7486794449743712E-2</v>
      </c>
      <c r="D145">
        <v>-0.90120997637286471</v>
      </c>
    </row>
    <row r="146" spans="1:4">
      <c r="A146">
        <v>121</v>
      </c>
      <c r="B146">
        <v>10.800418033710725</v>
      </c>
      <c r="C146">
        <v>0.17558920469197403</v>
      </c>
      <c r="D146">
        <v>2.0421898226079915</v>
      </c>
    </row>
    <row r="147" spans="1:4">
      <c r="A147">
        <v>122</v>
      </c>
      <c r="B147">
        <v>10.791978627543212</v>
      </c>
      <c r="C147">
        <v>0.10922029559928781</v>
      </c>
      <c r="D147">
        <v>1.2702863851247757</v>
      </c>
    </row>
    <row r="148" spans="1:4">
      <c r="A148">
        <v>123</v>
      </c>
      <c r="B148">
        <v>10.783539221375701</v>
      </c>
      <c r="C148">
        <v>7.5825007779698694E-2</v>
      </c>
      <c r="D148">
        <v>0.88188257050605812</v>
      </c>
    </row>
    <row r="149" spans="1:4">
      <c r="A149">
        <v>124</v>
      </c>
      <c r="B149">
        <v>10.775099815208188</v>
      </c>
      <c r="C149">
        <v>5.771912281041125E-2</v>
      </c>
      <c r="D149">
        <v>0.67130211894325231</v>
      </c>
    </row>
    <row r="150" spans="1:4">
      <c r="A150">
        <v>125</v>
      </c>
      <c r="B150">
        <v>10.766660409040675</v>
      </c>
      <c r="C150">
        <v>4.7976269520024317E-2</v>
      </c>
      <c r="D150">
        <v>0.55798788719594927</v>
      </c>
    </row>
    <row r="151" spans="1:4">
      <c r="A151">
        <v>126</v>
      </c>
      <c r="B151">
        <v>8.2950151133126067</v>
      </c>
      <c r="C151">
        <v>3.2725104758753787E-2</v>
      </c>
      <c r="D151">
        <v>0.38060925214249292</v>
      </c>
    </row>
    <row r="152" spans="1:4">
      <c r="A152">
        <v>127</v>
      </c>
      <c r="B152">
        <v>8.2865757071450936</v>
      </c>
      <c r="C152">
        <v>4.1861697759026484E-2</v>
      </c>
      <c r="D152">
        <v>0.48687237504461045</v>
      </c>
    </row>
    <row r="153" spans="1:4">
      <c r="A153">
        <v>128</v>
      </c>
      <c r="B153">
        <v>8.2781363009775824</v>
      </c>
      <c r="C153">
        <v>5.0554707014066835E-2</v>
      </c>
      <c r="D153">
        <v>0.58797639826530423</v>
      </c>
    </row>
    <row r="154" spans="1:4">
      <c r="A154">
        <v>129</v>
      </c>
      <c r="B154">
        <v>8.2696968948100693</v>
      </c>
      <c r="C154">
        <v>5.9113881221870557E-2</v>
      </c>
      <c r="D154">
        <v>0.68752385329119137</v>
      </c>
    </row>
    <row r="155" spans="1:4">
      <c r="A155">
        <v>130</v>
      </c>
      <c r="B155">
        <v>8.2612574886425563</v>
      </c>
      <c r="C155">
        <v>6.7619166372153927E-2</v>
      </c>
      <c r="D155">
        <v>0.7864445517632741</v>
      </c>
    </row>
    <row r="156" spans="1:4">
      <c r="A156">
        <v>131</v>
      </c>
      <c r="B156">
        <v>8.9213658434121346</v>
      </c>
      <c r="C156">
        <v>-4.3185021672185187E-2</v>
      </c>
      <c r="D156">
        <v>-0.50226329063197406</v>
      </c>
    </row>
    <row r="157" spans="1:4">
      <c r="A157">
        <v>132</v>
      </c>
      <c r="B157">
        <v>8.9129264372446215</v>
      </c>
      <c r="C157">
        <v>-2.3019572157771506E-2</v>
      </c>
      <c r="D157">
        <v>-0.26772907858349698</v>
      </c>
    </row>
    <row r="158" spans="1:4">
      <c r="A158">
        <v>133</v>
      </c>
      <c r="B158">
        <v>8.9044870310771103</v>
      </c>
      <c r="C158">
        <v>-9.3069762918105425E-3</v>
      </c>
      <c r="D158">
        <v>-0.10824476536431471</v>
      </c>
    </row>
    <row r="159" spans="1:4">
      <c r="A159">
        <v>134</v>
      </c>
      <c r="B159">
        <v>8.8960476249095972</v>
      </c>
      <c r="C159">
        <v>1.9312001041029703E-3</v>
      </c>
      <c r="D159">
        <v>2.2460818163264052E-2</v>
      </c>
    </row>
    <row r="160" spans="1:4">
      <c r="A160">
        <v>135</v>
      </c>
      <c r="B160">
        <v>8.8876082187420842</v>
      </c>
      <c r="C160">
        <v>1.2028609082376462E-2</v>
      </c>
      <c r="D160">
        <v>0.13989870898528017</v>
      </c>
    </row>
    <row r="161" spans="1:4">
      <c r="A161">
        <v>136</v>
      </c>
      <c r="B161">
        <v>9.547716573511666</v>
      </c>
      <c r="C161">
        <v>-0.13771813698572544</v>
      </c>
      <c r="D161">
        <v>-1.6017304607886134</v>
      </c>
    </row>
    <row r="162" spans="1:4">
      <c r="A162">
        <v>137</v>
      </c>
      <c r="B162">
        <v>9.539277167344153</v>
      </c>
      <c r="C162">
        <v>-0.11412085273699368</v>
      </c>
      <c r="D162">
        <v>-1.3272823031214891</v>
      </c>
    </row>
    <row r="163" spans="1:4">
      <c r="A163">
        <v>138</v>
      </c>
      <c r="B163">
        <v>9.5308377611766417</v>
      </c>
      <c r="C163">
        <v>-9.0868350785612506E-2</v>
      </c>
      <c r="D163">
        <v>-1.056844135133969</v>
      </c>
    </row>
    <row r="164" spans="1:4">
      <c r="A164">
        <v>139</v>
      </c>
      <c r="B164">
        <v>9.5223983550091287</v>
      </c>
      <c r="C164">
        <v>-7.0184937351758236E-2</v>
      </c>
      <c r="D164">
        <v>-0.81628574496693784</v>
      </c>
    </row>
    <row r="165" spans="1:4">
      <c r="A165">
        <v>140</v>
      </c>
      <c r="B165">
        <v>9.5139589488416156</v>
      </c>
      <c r="C165">
        <v>-5.1965056481424909E-2</v>
      </c>
      <c r="D165">
        <v>-0.60437946435135337</v>
      </c>
    </row>
    <row r="166" spans="1:4">
      <c r="A166">
        <v>141</v>
      </c>
      <c r="B166">
        <v>10.174067303611194</v>
      </c>
      <c r="C166">
        <v>-7.1799625189294503E-2</v>
      </c>
      <c r="D166">
        <v>-0.8350653679755965</v>
      </c>
    </row>
    <row r="167" spans="1:4">
      <c r="A167">
        <v>142</v>
      </c>
      <c r="B167">
        <v>10.165627897443681</v>
      </c>
      <c r="C167">
        <v>-9.2585925276681635E-2</v>
      </c>
      <c r="D167">
        <v>-1.0768203811189412</v>
      </c>
    </row>
    <row r="168" spans="1:4">
      <c r="A168">
        <v>143</v>
      </c>
      <c r="B168">
        <v>10.15718849127617</v>
      </c>
      <c r="C168">
        <v>-9.6394211770070015E-2</v>
      </c>
      <c r="D168">
        <v>-1.1211126480155102</v>
      </c>
    </row>
    <row r="169" spans="1:4">
      <c r="A169">
        <v>144</v>
      </c>
      <c r="B169">
        <v>10.148749085108657</v>
      </c>
      <c r="C169">
        <v>-9.317030088445577E-2</v>
      </c>
      <c r="D169">
        <v>-1.0836169602188364</v>
      </c>
    </row>
    <row r="170" spans="1:4">
      <c r="A170">
        <v>145</v>
      </c>
      <c r="B170">
        <v>10.140309678941144</v>
      </c>
      <c r="C170">
        <v>-8.6428182017543875E-2</v>
      </c>
      <c r="D170">
        <v>-1.0052027629623796</v>
      </c>
    </row>
    <row r="171" spans="1:4">
      <c r="A171">
        <v>146</v>
      </c>
      <c r="B171">
        <v>10.800418033710725</v>
      </c>
      <c r="C171">
        <v>0.17453029884227433</v>
      </c>
      <c r="D171">
        <v>2.0298742206713563</v>
      </c>
    </row>
    <row r="172" spans="1:4">
      <c r="A172">
        <v>147</v>
      </c>
      <c r="B172">
        <v>10.791978627543212</v>
      </c>
      <c r="C172">
        <v>0.10779464569848685</v>
      </c>
      <c r="D172">
        <v>1.2537053673843901</v>
      </c>
    </row>
    <row r="173" spans="1:4">
      <c r="A173">
        <v>148</v>
      </c>
      <c r="B173">
        <v>10.783539221375701</v>
      </c>
      <c r="C173">
        <v>7.407609208459931E-2</v>
      </c>
      <c r="D173">
        <v>0.86154181072303604</v>
      </c>
    </row>
    <row r="174" spans="1:4">
      <c r="A174">
        <v>149</v>
      </c>
      <c r="B174">
        <v>10.775099815208188</v>
      </c>
      <c r="C174">
        <v>5.5674509362312108E-2</v>
      </c>
      <c r="D174">
        <v>0.64752224715557427</v>
      </c>
    </row>
    <row r="175" spans="1:4">
      <c r="A175">
        <v>150</v>
      </c>
      <c r="B175">
        <v>10.766660409040675</v>
      </c>
      <c r="C175">
        <v>4.5655774531725868E-2</v>
      </c>
      <c r="D175">
        <v>0.53099937581890244</v>
      </c>
    </row>
    <row r="176" spans="1:4">
      <c r="A176">
        <v>151</v>
      </c>
      <c r="B176">
        <v>8.2950151133126067</v>
      </c>
      <c r="C176">
        <v>2.7312518750832737E-2</v>
      </c>
      <c r="D176">
        <v>0.31765818360295855</v>
      </c>
    </row>
    <row r="177" spans="1:4">
      <c r="A177">
        <v>152</v>
      </c>
      <c r="B177">
        <v>8.2865757071450936</v>
      </c>
      <c r="C177">
        <v>3.6688116135206172E-2</v>
      </c>
      <c r="D177">
        <v>0.42670104641918671</v>
      </c>
    </row>
    <row r="178" spans="1:4">
      <c r="A178">
        <v>153</v>
      </c>
      <c r="B178">
        <v>8.2781363009775824</v>
      </c>
      <c r="C178">
        <v>4.5470296332347004E-2</v>
      </c>
      <c r="D178">
        <v>0.52884217206738682</v>
      </c>
    </row>
    <row r="179" spans="1:4">
      <c r="A179">
        <v>154</v>
      </c>
      <c r="B179">
        <v>8.2696968948100693</v>
      </c>
      <c r="C179">
        <v>5.407212591008026E-2</v>
      </c>
      <c r="D179">
        <v>0.6288857302705877</v>
      </c>
    </row>
    <row r="180" spans="1:4">
      <c r="A180">
        <v>155</v>
      </c>
      <c r="B180">
        <v>8.2612574886425563</v>
      </c>
      <c r="C180">
        <v>6.2601072340322972E-2</v>
      </c>
      <c r="D180">
        <v>0.7280816212022958</v>
      </c>
    </row>
    <row r="181" spans="1:4">
      <c r="A181">
        <v>156</v>
      </c>
      <c r="B181">
        <v>8.9213658434121346</v>
      </c>
      <c r="C181">
        <v>-5.3834886738714616E-2</v>
      </c>
      <c r="D181">
        <v>-0.62612652065894459</v>
      </c>
    </row>
    <row r="182" spans="1:4">
      <c r="A182">
        <v>157</v>
      </c>
      <c r="B182">
        <v>8.9129264372446215</v>
      </c>
      <c r="C182">
        <v>-3.1283102433292242E-2</v>
      </c>
      <c r="D182">
        <v>-0.36383804756644511</v>
      </c>
    </row>
    <row r="183" spans="1:4">
      <c r="A183">
        <v>158</v>
      </c>
      <c r="B183">
        <v>8.9044870310771103</v>
      </c>
      <c r="C183">
        <v>-1.6270646997980975E-2</v>
      </c>
      <c r="D183">
        <v>-0.18923572075409498</v>
      </c>
    </row>
    <row r="184" spans="1:4">
      <c r="A184">
        <v>159</v>
      </c>
      <c r="B184">
        <v>8.8960476249095972</v>
      </c>
      <c r="C184">
        <v>-4.2718266019878826E-3</v>
      </c>
      <c r="D184">
        <v>-4.9683469014109E-2</v>
      </c>
    </row>
    <row r="185" spans="1:4">
      <c r="A185">
        <v>160</v>
      </c>
      <c r="B185">
        <v>8.8876082187420842</v>
      </c>
      <c r="C185">
        <v>6.3038724714861161E-3</v>
      </c>
      <c r="D185">
        <v>7.3317173609113537E-2</v>
      </c>
    </row>
    <row r="186" spans="1:4">
      <c r="A186">
        <v>161</v>
      </c>
      <c r="B186">
        <v>9.547716573511666</v>
      </c>
      <c r="C186">
        <v>-0.14746771431960681</v>
      </c>
      <c r="D186">
        <v>-1.7151228965075969</v>
      </c>
    </row>
    <row r="187" spans="1:4">
      <c r="A187">
        <v>162</v>
      </c>
      <c r="B187">
        <v>9.539277167344153</v>
      </c>
      <c r="C187">
        <v>-0.12636017907178321</v>
      </c>
      <c r="D187">
        <v>-1.4696317586038603</v>
      </c>
    </row>
    <row r="188" spans="1:4">
      <c r="A188">
        <v>163</v>
      </c>
      <c r="B188">
        <v>9.5308377611766417</v>
      </c>
      <c r="C188">
        <v>-0.10388130398041184</v>
      </c>
      <c r="D188">
        <v>-1.2081912559499224</v>
      </c>
    </row>
    <row r="189" spans="1:4">
      <c r="A189">
        <v>164</v>
      </c>
      <c r="B189">
        <v>9.5223983550091287</v>
      </c>
      <c r="C189">
        <v>-8.3122131706648617E-2</v>
      </c>
      <c r="D189">
        <v>-0.96675175277764658</v>
      </c>
    </row>
    <row r="190" spans="1:4">
      <c r="A190">
        <v>165</v>
      </c>
      <c r="B190">
        <v>9.5139589488416156</v>
      </c>
      <c r="C190">
        <v>-6.4443378011954877E-2</v>
      </c>
      <c r="D190">
        <v>-0.74950855288263296</v>
      </c>
    </row>
    <row r="191" spans="1:4">
      <c r="A191">
        <v>166</v>
      </c>
      <c r="B191">
        <v>10.174067303611194</v>
      </c>
      <c r="C191">
        <v>-7.4633435593693065E-2</v>
      </c>
      <c r="D191">
        <v>-0.86802399306428291</v>
      </c>
    </row>
    <row r="192" spans="1:4">
      <c r="A192">
        <v>167</v>
      </c>
      <c r="B192">
        <v>10.165627897443681</v>
      </c>
      <c r="C192">
        <v>-9.641065377068081E-2</v>
      </c>
      <c r="D192">
        <v>-1.1213038766640457</v>
      </c>
    </row>
    <row r="193" spans="1:4">
      <c r="A193">
        <v>168</v>
      </c>
      <c r="B193">
        <v>10.15718849127617</v>
      </c>
      <c r="C193">
        <v>-0.10117136616496936</v>
      </c>
      <c r="D193">
        <v>-1.1766733307089856</v>
      </c>
    </row>
    <row r="194" spans="1:4">
      <c r="A194">
        <v>169</v>
      </c>
      <c r="B194">
        <v>10.148749085108657</v>
      </c>
      <c r="C194">
        <v>-9.8837488917757454E-2</v>
      </c>
      <c r="D194">
        <v>-1.149529177001851</v>
      </c>
    </row>
    <row r="195" spans="1:4">
      <c r="A195">
        <v>170</v>
      </c>
      <c r="B195">
        <v>10.140309678941144</v>
      </c>
      <c r="C195">
        <v>-9.2908050970743616E-2</v>
      </c>
      <c r="D195">
        <v>-1.0805668632285215</v>
      </c>
    </row>
    <row r="196" spans="1:4">
      <c r="A196">
        <v>171</v>
      </c>
      <c r="B196">
        <v>10.800418033710725</v>
      </c>
      <c r="C196">
        <v>0.17377188576467439</v>
      </c>
      <c r="D196">
        <v>2.0210534991974796</v>
      </c>
    </row>
    <row r="197" spans="1:4">
      <c r="A197">
        <v>172</v>
      </c>
      <c r="B197">
        <v>10.791978627543212</v>
      </c>
      <c r="C197">
        <v>0.10677209978138791</v>
      </c>
      <c r="D197">
        <v>1.2418126495563659</v>
      </c>
    </row>
    <row r="198" spans="1:4">
      <c r="A198">
        <v>173</v>
      </c>
      <c r="B198">
        <v>10.783539221375701</v>
      </c>
      <c r="C198">
        <v>7.2819725775298494E-2</v>
      </c>
      <c r="D198">
        <v>0.84692964538620563</v>
      </c>
    </row>
    <row r="199" spans="1:4">
      <c r="A199">
        <v>174</v>
      </c>
      <c r="B199">
        <v>10.775099815208188</v>
      </c>
      <c r="C199">
        <v>5.4203274495511877E-2</v>
      </c>
      <c r="D199">
        <v>0.63041105357783611</v>
      </c>
    </row>
    <row r="200" spans="1:4">
      <c r="A200">
        <v>175</v>
      </c>
      <c r="B200">
        <v>10.766660409040675</v>
      </c>
      <c r="C200">
        <v>4.3983109304825518E-2</v>
      </c>
      <c r="D200">
        <v>0.5115454469227696</v>
      </c>
    </row>
    <row r="201" spans="1:4">
      <c r="A201">
        <v>176</v>
      </c>
      <c r="B201">
        <v>8.2950151133126067</v>
      </c>
      <c r="C201">
        <v>2.3059754448222947E-2</v>
      </c>
      <c r="D201">
        <v>0.26819641861589227</v>
      </c>
    </row>
    <row r="202" spans="1:4">
      <c r="A202">
        <v>177</v>
      </c>
      <c r="B202">
        <v>8.2865757071450936</v>
      </c>
      <c r="C202">
        <v>3.2703153325355672E-2</v>
      </c>
      <c r="D202">
        <v>0.38035394604918304</v>
      </c>
    </row>
    <row r="203" spans="1:4">
      <c r="A203">
        <v>178</v>
      </c>
      <c r="B203">
        <v>8.2781363009775824</v>
      </c>
      <c r="C203">
        <v>4.1586272466958007E-2</v>
      </c>
      <c r="D203">
        <v>0.48366904184802939</v>
      </c>
    </row>
    <row r="204" spans="1:4">
      <c r="A204">
        <v>179</v>
      </c>
      <c r="B204">
        <v>8.2696968948100693</v>
      </c>
      <c r="C204">
        <v>5.023668479905119E-2</v>
      </c>
      <c r="D204">
        <v>0.58427764165889717</v>
      </c>
    </row>
    <row r="205" spans="1:4">
      <c r="A205">
        <v>180</v>
      </c>
      <c r="B205">
        <v>8.2612574886425563</v>
      </c>
      <c r="C205">
        <v>5.8792625983333124E-2</v>
      </c>
      <c r="D205">
        <v>0.68378749501249458</v>
      </c>
    </row>
    <row r="206" spans="1:4">
      <c r="A206">
        <v>181</v>
      </c>
      <c r="B206">
        <v>8.9213658434121346</v>
      </c>
      <c r="C206">
        <v>-6.341105010734438E-2</v>
      </c>
      <c r="D206">
        <v>-0.7375020656723964</v>
      </c>
    </row>
    <row r="207" spans="1:4">
      <c r="A207">
        <v>182</v>
      </c>
      <c r="B207">
        <v>8.9129264372446215</v>
      </c>
      <c r="C207">
        <v>-3.8655087076522321E-2</v>
      </c>
      <c r="D207">
        <v>-0.44957789721857477</v>
      </c>
    </row>
    <row r="208" spans="1:4">
      <c r="A208">
        <v>183</v>
      </c>
      <c r="B208">
        <v>8.9044870310771103</v>
      </c>
      <c r="C208">
        <v>-2.2355374083860013E-2</v>
      </c>
      <c r="D208">
        <v>-0.26000412448328697</v>
      </c>
    </row>
    <row r="209" spans="1:4">
      <c r="A209">
        <v>184</v>
      </c>
      <c r="B209">
        <v>8.8960476249095972</v>
      </c>
      <c r="C209">
        <v>-9.5757897674975112E-3</v>
      </c>
      <c r="D209">
        <v>-0.11137119984638227</v>
      </c>
    </row>
    <row r="210" spans="1:4">
      <c r="A210">
        <v>185</v>
      </c>
      <c r="B210">
        <v>8.8876082187420842</v>
      </c>
      <c r="C210">
        <v>1.5018723118362942E-3</v>
      </c>
      <c r="D210">
        <v>1.7467522308499926E-2</v>
      </c>
    </row>
    <row r="211" spans="1:4">
      <c r="A211">
        <v>186</v>
      </c>
      <c r="B211">
        <v>9.547716573511666</v>
      </c>
      <c r="C211">
        <v>-0.15466591710264588</v>
      </c>
      <c r="D211">
        <v>-1.7988415766529875</v>
      </c>
    </row>
    <row r="212" spans="1:4">
      <c r="A212">
        <v>187</v>
      </c>
      <c r="B212">
        <v>9.539277167344153</v>
      </c>
      <c r="C212">
        <v>-0.1360277548308737</v>
      </c>
      <c r="D212">
        <v>-1.5820704752045784</v>
      </c>
    </row>
    <row r="213" spans="1:4">
      <c r="A213">
        <v>188</v>
      </c>
      <c r="B213">
        <v>9.5308377611766417</v>
      </c>
      <c r="C213">
        <v>-0.11460829716461163</v>
      </c>
      <c r="D213">
        <v>-1.3329515243638463</v>
      </c>
    </row>
    <row r="214" spans="1:4">
      <c r="A214">
        <v>189</v>
      </c>
      <c r="B214">
        <v>9.5223983550091287</v>
      </c>
      <c r="C214">
        <v>-9.4102710617448793E-2</v>
      </c>
      <c r="D214">
        <v>-1.0944613493745328</v>
      </c>
    </row>
    <row r="215" spans="1:4">
      <c r="A215">
        <v>190</v>
      </c>
      <c r="B215">
        <v>9.5139589488416156</v>
      </c>
      <c r="C215">
        <v>-7.5255651571525917E-2</v>
      </c>
      <c r="D215">
        <v>-0.87526067449708178</v>
      </c>
    </row>
    <row r="216" spans="1:4">
      <c r="A216">
        <v>191</v>
      </c>
      <c r="B216">
        <v>10.174067303611194</v>
      </c>
      <c r="C216">
        <v>-7.6724431708193208E-2</v>
      </c>
      <c r="D216">
        <v>-0.89234331834191616</v>
      </c>
    </row>
    <row r="217" spans="1:4">
      <c r="A217">
        <v>192</v>
      </c>
      <c r="B217">
        <v>10.165627897443681</v>
      </c>
      <c r="C217">
        <v>-9.9233745163980203E-2</v>
      </c>
      <c r="D217">
        <v>-1.1541378343199391</v>
      </c>
    </row>
    <row r="218" spans="1:4">
      <c r="A218">
        <v>193</v>
      </c>
      <c r="B218">
        <v>10.15718849127617</v>
      </c>
      <c r="C218">
        <v>-0.10471393264326956</v>
      </c>
      <c r="D218">
        <v>-1.217875141609537</v>
      </c>
    </row>
    <row r="219" spans="1:4">
      <c r="A219">
        <v>194</v>
      </c>
      <c r="B219">
        <v>10.148749085108657</v>
      </c>
      <c r="C219">
        <v>-0.10306973854775592</v>
      </c>
      <c r="D219">
        <v>-1.1987523461384804</v>
      </c>
    </row>
    <row r="220" spans="1:4">
      <c r="A220">
        <v>195</v>
      </c>
      <c r="B220">
        <v>10.140309678941144</v>
      </c>
      <c r="C220">
        <v>-9.7787190909343735E-2</v>
      </c>
      <c r="D220">
        <v>-1.1373136885425768</v>
      </c>
    </row>
    <row r="221" spans="1:4">
      <c r="A221">
        <v>196</v>
      </c>
      <c r="B221">
        <v>10.800418033710725</v>
      </c>
      <c r="C221">
        <v>0.17320195933897509</v>
      </c>
      <c r="D221">
        <v>2.0144249712749329</v>
      </c>
    </row>
    <row r="222" spans="1:4">
      <c r="A222">
        <v>197</v>
      </c>
      <c r="B222">
        <v>10.791978627543212</v>
      </c>
      <c r="C222">
        <v>0.10600287915858786</v>
      </c>
      <c r="D222">
        <v>1.2328662309540483</v>
      </c>
    </row>
    <row r="223" spans="1:4">
      <c r="A223">
        <v>198</v>
      </c>
      <c r="B223">
        <v>10.783539221375701</v>
      </c>
      <c r="C223">
        <v>7.1873535050798409E-2</v>
      </c>
      <c r="D223">
        <v>0.83592497644195085</v>
      </c>
    </row>
    <row r="224" spans="1:4">
      <c r="A224">
        <v>199</v>
      </c>
      <c r="B224">
        <v>10.775099815208188</v>
      </c>
      <c r="C224">
        <v>5.309391979311151E-2</v>
      </c>
      <c r="D224">
        <v>0.61750870638127242</v>
      </c>
    </row>
    <row r="225" spans="1:4">
      <c r="A225">
        <v>200</v>
      </c>
      <c r="B225">
        <v>10.766660409040675</v>
      </c>
      <c r="C225">
        <v>4.2720259774224445E-2</v>
      </c>
      <c r="D225">
        <v>0.49685787849620866</v>
      </c>
    </row>
    <row r="226" spans="1:4">
      <c r="A226">
        <v>201</v>
      </c>
      <c r="B226">
        <v>8.2950151133126067</v>
      </c>
      <c r="C226">
        <v>8.0877282875423617E-2</v>
      </c>
      <c r="D226">
        <v>0.94064304384839725</v>
      </c>
    </row>
    <row r="227" spans="1:4">
      <c r="A227">
        <v>202</v>
      </c>
      <c r="B227">
        <v>8.2865757071450936</v>
      </c>
      <c r="C227">
        <v>8.9437574215516236E-2</v>
      </c>
      <c r="D227">
        <v>1.040203491678682</v>
      </c>
    </row>
    <row r="228" spans="1:4">
      <c r="A228">
        <v>203</v>
      </c>
      <c r="B228">
        <v>8.2781363009775824</v>
      </c>
      <c r="C228">
        <v>9.7919969306348165E-2</v>
      </c>
      <c r="D228">
        <v>1.1388579673694006</v>
      </c>
    </row>
    <row r="229" spans="1:4">
      <c r="A229">
        <v>204</v>
      </c>
      <c r="B229">
        <v>8.2696968948100693</v>
      </c>
      <c r="C229">
        <v>0.10637943894847091</v>
      </c>
      <c r="D229">
        <v>1.2372458086840779</v>
      </c>
    </row>
    <row r="230" spans="1:4">
      <c r="A230">
        <v>205</v>
      </c>
      <c r="B230">
        <v>8.2612574886425563</v>
      </c>
      <c r="C230">
        <v>0.11482980546896293</v>
      </c>
      <c r="D230">
        <v>1.3355277761645361</v>
      </c>
    </row>
    <row r="231" spans="1:4">
      <c r="A231">
        <v>206</v>
      </c>
      <c r="B231">
        <v>8.9213658434121346</v>
      </c>
      <c r="C231">
        <v>1.7445586638595856E-2</v>
      </c>
      <c r="D231">
        <v>0.20290085341673</v>
      </c>
    </row>
    <row r="232" spans="1:4">
      <c r="A232">
        <v>207</v>
      </c>
      <c r="B232">
        <v>8.9129264372446215</v>
      </c>
      <c r="C232">
        <v>2.8952596687638277E-2</v>
      </c>
      <c r="D232">
        <v>0.33673310610006624</v>
      </c>
    </row>
    <row r="233" spans="1:4">
      <c r="A233">
        <v>208</v>
      </c>
      <c r="B233">
        <v>8.9044870310771103</v>
      </c>
      <c r="C233">
        <v>3.859672012023907E-2</v>
      </c>
      <c r="D233">
        <v>0.4488990604739847</v>
      </c>
    </row>
    <row r="234" spans="1:4">
      <c r="A234">
        <v>209</v>
      </c>
      <c r="B234">
        <v>8.8960476249095972</v>
      </c>
      <c r="C234">
        <v>4.7629077459513169E-2</v>
      </c>
      <c r="D234">
        <v>0.5539498707717051</v>
      </c>
    </row>
    <row r="235" spans="1:4">
      <c r="A235">
        <v>210</v>
      </c>
      <c r="B235">
        <v>8.8876082187420842</v>
      </c>
      <c r="C235">
        <v>5.6403193991515721E-2</v>
      </c>
      <c r="D235">
        <v>0.65599721198191996</v>
      </c>
    </row>
    <row r="236" spans="1:4">
      <c r="A236">
        <v>211</v>
      </c>
      <c r="B236">
        <v>9.547716573511666</v>
      </c>
      <c r="C236">
        <v>-5.7023090531805209E-2</v>
      </c>
      <c r="D236">
        <v>-0.66320691720195257</v>
      </c>
    </row>
    <row r="237" spans="1:4">
      <c r="A237">
        <v>212</v>
      </c>
      <c r="B237">
        <v>9.539277167344153</v>
      </c>
      <c r="C237">
        <v>-3.1034818681062504E-2</v>
      </c>
      <c r="D237">
        <v>-0.36095038398364132</v>
      </c>
    </row>
    <row r="238" spans="1:4">
      <c r="A238">
        <v>213</v>
      </c>
      <c r="B238">
        <v>9.5308377611766417</v>
      </c>
      <c r="C238">
        <v>-1.1676382981541167E-2</v>
      </c>
      <c r="D238">
        <v>-0.1358021441671606</v>
      </c>
    </row>
    <row r="239" spans="1:4">
      <c r="A239">
        <v>214</v>
      </c>
      <c r="B239">
        <v>9.5223983550091287</v>
      </c>
      <c r="C239">
        <v>3.7540458239604391E-3</v>
      </c>
      <c r="D239">
        <v>4.3661420921319694E-2</v>
      </c>
    </row>
    <row r="240" spans="1:4">
      <c r="A240">
        <v>215</v>
      </c>
      <c r="B240">
        <v>9.5139589488416156</v>
      </c>
      <c r="C240">
        <v>1.6883229771304187E-2</v>
      </c>
      <c r="D240">
        <v>0.19636036322502715</v>
      </c>
    </row>
    <row r="241" spans="1:4">
      <c r="A241">
        <v>216</v>
      </c>
      <c r="B241">
        <v>10.174067303611194</v>
      </c>
      <c r="C241">
        <v>-4.2568869162193934E-2</v>
      </c>
      <c r="D241">
        <v>-0.49509713034731501</v>
      </c>
    </row>
    <row r="242" spans="1:4">
      <c r="A242">
        <v>217</v>
      </c>
      <c r="B242">
        <v>10.165627897443681</v>
      </c>
      <c r="C242">
        <v>-5.4200211750980998E-2</v>
      </c>
      <c r="D242">
        <v>-0.63037543233494042</v>
      </c>
    </row>
    <row r="243" spans="1:4">
      <c r="A243">
        <v>218</v>
      </c>
      <c r="B243">
        <v>10.15718849127617</v>
      </c>
      <c r="C243">
        <v>-5.0416631263368927E-2</v>
      </c>
      <c r="D243">
        <v>-0.58637050857909667</v>
      </c>
    </row>
    <row r="244" spans="1:4">
      <c r="A244">
        <v>219</v>
      </c>
      <c r="B244">
        <v>10.148749085108657</v>
      </c>
      <c r="C244">
        <v>-4.1097516978457094E-2</v>
      </c>
      <c r="D244">
        <v>-0.4779845723152279</v>
      </c>
    </row>
    <row r="245" spans="1:4">
      <c r="A245">
        <v>220</v>
      </c>
      <c r="B245">
        <v>10.140309678941144</v>
      </c>
      <c r="C245">
        <v>-2.9582196995344034E-2</v>
      </c>
      <c r="D245">
        <v>-0.34405567096368128</v>
      </c>
    </row>
    <row r="246" spans="1:4">
      <c r="A246">
        <v>221</v>
      </c>
      <c r="B246">
        <v>10.800418033710725</v>
      </c>
      <c r="C246">
        <v>0.18187299240647548</v>
      </c>
      <c r="D246">
        <v>2.1152734004993299</v>
      </c>
    </row>
    <row r="247" spans="1:4">
      <c r="A247">
        <v>222</v>
      </c>
      <c r="B247">
        <v>10.791978627543212</v>
      </c>
      <c r="C247">
        <v>0.11763089601448762</v>
      </c>
      <c r="D247">
        <v>1.3681058530133314</v>
      </c>
    </row>
    <row r="248" spans="1:4">
      <c r="A248">
        <v>223</v>
      </c>
      <c r="B248">
        <v>10.783539221375701</v>
      </c>
      <c r="C248">
        <v>8.6077261235299574E-2</v>
      </c>
      <c r="D248">
        <v>1.0011213796489915</v>
      </c>
    </row>
    <row r="249" spans="1:4">
      <c r="A249">
        <v>224</v>
      </c>
      <c r="B249">
        <v>10.775099815208188</v>
      </c>
      <c r="C249">
        <v>6.9624164733211202E-2</v>
      </c>
      <c r="D249">
        <v>0.80976368037644697</v>
      </c>
    </row>
    <row r="250" spans="1:4">
      <c r="A250">
        <v>225</v>
      </c>
      <c r="B250">
        <v>10.766660409040675</v>
      </c>
      <c r="C250">
        <v>6.1392879463225469E-2</v>
      </c>
      <c r="D250">
        <v>0.71402973685277482</v>
      </c>
    </row>
    <row r="251" spans="1:4">
      <c r="A251">
        <v>226</v>
      </c>
      <c r="B251">
        <v>8.2950151133126067</v>
      </c>
      <c r="C251">
        <v>6.7583235522453933E-2</v>
      </c>
      <c r="D251">
        <v>0.78602665810230732</v>
      </c>
    </row>
    <row r="252" spans="1:4">
      <c r="A252">
        <v>227</v>
      </c>
      <c r="B252">
        <v>8.2865757071450936</v>
      </c>
      <c r="C252">
        <v>7.6198654608825578E-2</v>
      </c>
      <c r="D252">
        <v>0.88622826905302321</v>
      </c>
    </row>
    <row r="253" spans="1:4">
      <c r="A253">
        <v>228</v>
      </c>
      <c r="B253">
        <v>8.2781363009775824</v>
      </c>
      <c r="C253">
        <v>8.4700844797728436E-2</v>
      </c>
      <c r="D253">
        <v>0.98511297158421807</v>
      </c>
    </row>
    <row r="254" spans="1:4">
      <c r="A254">
        <v>229</v>
      </c>
      <c r="B254">
        <v>8.2696968948100693</v>
      </c>
      <c r="C254">
        <v>9.3169607422451506E-2</v>
      </c>
      <c r="D254">
        <v>1.0836088949106646</v>
      </c>
    </row>
    <row r="255" spans="1:4">
      <c r="A255">
        <v>230</v>
      </c>
      <c r="B255">
        <v>8.2612574886425563</v>
      </c>
      <c r="C255">
        <v>0.10162507042541336</v>
      </c>
      <c r="D255">
        <v>1.1819501370182233</v>
      </c>
    </row>
    <row r="256" spans="1:4">
      <c r="A256">
        <v>231</v>
      </c>
      <c r="B256">
        <v>8.9213658434121346</v>
      </c>
      <c r="C256">
        <v>3.6811066720456864E-3</v>
      </c>
      <c r="D256">
        <v>4.2813102290505972E-2</v>
      </c>
    </row>
    <row r="257" spans="1:4">
      <c r="A257">
        <v>232</v>
      </c>
      <c r="B257">
        <v>8.9129264372446215</v>
      </c>
      <c r="C257">
        <v>1.6319106335139111E-2</v>
      </c>
      <c r="D257">
        <v>0.18979932695829346</v>
      </c>
    </row>
    <row r="258" spans="1:4">
      <c r="A258">
        <v>233</v>
      </c>
      <c r="B258">
        <v>8.9044870310771103</v>
      </c>
      <c r="C258">
        <v>2.6441826799919355E-2</v>
      </c>
      <c r="D258">
        <v>0.3075316029632133</v>
      </c>
    </row>
    <row r="259" spans="1:4">
      <c r="A259">
        <v>234</v>
      </c>
      <c r="B259">
        <v>8.8960476249095972</v>
      </c>
      <c r="C259">
        <v>3.57191553795424E-2</v>
      </c>
      <c r="D259">
        <v>0.41543155068227966</v>
      </c>
    </row>
    <row r="260" spans="1:4">
      <c r="A260">
        <v>235</v>
      </c>
      <c r="B260">
        <v>8.8876082187420842</v>
      </c>
      <c r="C260">
        <v>4.4634957902475847E-2</v>
      </c>
      <c r="D260">
        <v>0.51912677046904365</v>
      </c>
    </row>
    <row r="261" spans="1:4">
      <c r="A261">
        <v>236</v>
      </c>
      <c r="B261">
        <v>9.547716573511666</v>
      </c>
      <c r="C261">
        <v>-7.6718838698036862E-2</v>
      </c>
      <c r="D261">
        <v>-0.89227826885075257</v>
      </c>
    </row>
    <row r="262" spans="1:4">
      <c r="A262">
        <v>237</v>
      </c>
      <c r="B262">
        <v>9.539277167344153</v>
      </c>
      <c r="C262">
        <v>-4.9539055523963427E-2</v>
      </c>
      <c r="D262">
        <v>-0.57616386605385994</v>
      </c>
    </row>
    <row r="263" spans="1:4">
      <c r="A263">
        <v>238</v>
      </c>
      <c r="B263">
        <v>9.5308377611766417</v>
      </c>
      <c r="C263">
        <v>-2.8551686133361898E-2</v>
      </c>
      <c r="D263">
        <v>-0.33207031686336114</v>
      </c>
    </row>
    <row r="264" spans="1:4">
      <c r="A264">
        <v>239</v>
      </c>
      <c r="B264">
        <v>9.5223983550091287</v>
      </c>
      <c r="C264">
        <v>-1.1719155895018929E-2</v>
      </c>
      <c r="D264">
        <v>-0.13629961443442909</v>
      </c>
    </row>
    <row r="265" spans="1:4">
      <c r="A265">
        <v>240</v>
      </c>
      <c r="B265">
        <v>9.5139589488416156</v>
      </c>
      <c r="C265">
        <v>2.5213883426538075E-3</v>
      </c>
      <c r="D265">
        <v>2.9325001051419414E-2</v>
      </c>
    </row>
    <row r="266" spans="1:4">
      <c r="A266">
        <v>241</v>
      </c>
      <c r="B266">
        <v>10.174067303611194</v>
      </c>
      <c r="C266">
        <v>-5.105925092029473E-2</v>
      </c>
      <c r="D266">
        <v>-0.59384449495248393</v>
      </c>
    </row>
    <row r="267" spans="1:4">
      <c r="A267">
        <v>242</v>
      </c>
      <c r="B267">
        <v>10.165627897443681</v>
      </c>
      <c r="C267">
        <v>-6.509142678178037E-2</v>
      </c>
      <c r="D267">
        <v>-0.75704568254053473</v>
      </c>
    </row>
    <row r="268" spans="1:4">
      <c r="A268">
        <v>243</v>
      </c>
      <c r="B268">
        <v>10.15718849127617</v>
      </c>
      <c r="C268">
        <v>-6.3086978923269754E-2</v>
      </c>
      <c r="D268">
        <v>-0.73373295654590598</v>
      </c>
    </row>
    <row r="269" spans="1:4">
      <c r="A269">
        <v>244</v>
      </c>
      <c r="B269">
        <v>10.148749085108657</v>
      </c>
      <c r="C269">
        <v>-5.5024167900656451E-2</v>
      </c>
      <c r="D269">
        <v>-0.63995845235085935</v>
      </c>
    </row>
    <row r="270" spans="1:4">
      <c r="A270">
        <v>245</v>
      </c>
      <c r="B270">
        <v>10.140309678941144</v>
      </c>
      <c r="C270">
        <v>-4.4354142487144088E-2</v>
      </c>
      <c r="D270">
        <v>-0.51586074745682042</v>
      </c>
    </row>
    <row r="271" spans="1:4">
      <c r="A271">
        <v>246</v>
      </c>
      <c r="B271">
        <v>10.800418033710725</v>
      </c>
      <c r="C271">
        <v>0.17979161903387464</v>
      </c>
      <c r="D271">
        <v>2.0910659924981987</v>
      </c>
    </row>
    <row r="272" spans="1:4">
      <c r="A272">
        <v>247</v>
      </c>
      <c r="B272">
        <v>10.791978627543212</v>
      </c>
      <c r="C272">
        <v>0.11485447550248828</v>
      </c>
      <c r="D272">
        <v>1.3358147009300834</v>
      </c>
    </row>
    <row r="273" spans="1:4">
      <c r="A273">
        <v>248</v>
      </c>
      <c r="B273">
        <v>10.783539221375701</v>
      </c>
      <c r="C273">
        <v>8.270531622309818E-2</v>
      </c>
      <c r="D273">
        <v>0.96190398129929533</v>
      </c>
    </row>
    <row r="274" spans="1:4">
      <c r="A274">
        <v>249</v>
      </c>
      <c r="B274">
        <v>10.775099815208188</v>
      </c>
      <c r="C274">
        <v>6.5723884160711066E-2</v>
      </c>
      <c r="D274">
        <v>0.76440147656415569</v>
      </c>
    </row>
    <row r="275" spans="1:4">
      <c r="A275">
        <v>250</v>
      </c>
      <c r="B275">
        <v>10.766660409040675</v>
      </c>
      <c r="C275">
        <v>5.7015271306925186E-2</v>
      </c>
      <c r="D275">
        <v>0.66311597572580272</v>
      </c>
    </row>
    <row r="276" spans="1:4">
      <c r="A276">
        <v>251</v>
      </c>
      <c r="B276">
        <v>8.2950151133126067</v>
      </c>
      <c r="C276">
        <v>5.7920794442363643E-2</v>
      </c>
      <c r="D276">
        <v>0.67364766037334434</v>
      </c>
    </row>
    <row r="277" spans="1:4">
      <c r="A277">
        <v>252</v>
      </c>
      <c r="B277">
        <v>8.2865757071450936</v>
      </c>
      <c r="C277">
        <v>6.6600916505755947E-2</v>
      </c>
      <c r="D277">
        <v>0.77460179914258898</v>
      </c>
    </row>
    <row r="278" spans="1:4">
      <c r="A278">
        <v>253</v>
      </c>
      <c r="B278">
        <v>8.2781363009775824</v>
      </c>
      <c r="C278">
        <v>7.5126477415267345E-2</v>
      </c>
      <c r="D278">
        <v>0.8737583147835789</v>
      </c>
    </row>
    <row r="279" spans="1:4">
      <c r="A279">
        <v>254</v>
      </c>
      <c r="B279">
        <v>8.2696968948100693</v>
      </c>
      <c r="C279">
        <v>8.3606232576061146E-2</v>
      </c>
      <c r="D279">
        <v>0.97238208677434212</v>
      </c>
    </row>
    <row r="280" spans="1:4">
      <c r="A280">
        <v>255</v>
      </c>
      <c r="B280">
        <v>8.2612574886425563</v>
      </c>
      <c r="C280">
        <v>9.2067714225313679E-2</v>
      </c>
      <c r="D280">
        <v>1.0707933287331004</v>
      </c>
    </row>
    <row r="281" spans="1:4">
      <c r="A281">
        <v>256</v>
      </c>
      <c r="B281">
        <v>8.9213658434121346</v>
      </c>
      <c r="C281">
        <v>-7.1656121982943688E-3</v>
      </c>
      <c r="D281">
        <v>-8.3339635427947922E-2</v>
      </c>
    </row>
    <row r="282" spans="1:4">
      <c r="A282">
        <v>257</v>
      </c>
      <c r="B282">
        <v>8.9129264372446215</v>
      </c>
      <c r="C282">
        <v>6.6780509274178002E-3</v>
      </c>
      <c r="D282">
        <v>7.7669055240352489E-2</v>
      </c>
    </row>
    <row r="283" spans="1:4">
      <c r="A283">
        <v>258</v>
      </c>
      <c r="B283">
        <v>8.9044870310771103</v>
      </c>
      <c r="C283">
        <v>1.7328390991139031E-2</v>
      </c>
      <c r="D283">
        <v>0.20153780972101912</v>
      </c>
    </row>
    <row r="284" spans="1:4">
      <c r="A284">
        <v>259</v>
      </c>
      <c r="B284">
        <v>8.8960476249095972</v>
      </c>
      <c r="C284">
        <v>2.6880669268093627E-2</v>
      </c>
      <c r="D284">
        <v>0.31263555923322328</v>
      </c>
    </row>
    <row r="285" spans="1:4">
      <c r="A285">
        <v>260</v>
      </c>
      <c r="B285">
        <v>8.8876082187420842</v>
      </c>
      <c r="C285">
        <v>3.5957273488225638E-2</v>
      </c>
      <c r="D285">
        <v>0.41820098277227991</v>
      </c>
    </row>
    <row r="286" spans="1:4">
      <c r="A286">
        <v>261</v>
      </c>
      <c r="B286">
        <v>9.547716573511666</v>
      </c>
      <c r="C286">
        <v>-9.2375186901396233E-2</v>
      </c>
      <c r="D286">
        <v>-1.074369388952334</v>
      </c>
    </row>
    <row r="287" spans="1:4">
      <c r="A287">
        <v>262</v>
      </c>
      <c r="B287">
        <v>9.539277167344153</v>
      </c>
      <c r="C287">
        <v>-6.4812743453343202E-2</v>
      </c>
      <c r="D287">
        <v>-0.75380445675980812</v>
      </c>
    </row>
    <row r="288" spans="1:4">
      <c r="A288">
        <v>263</v>
      </c>
      <c r="B288">
        <v>9.5308377611766417</v>
      </c>
      <c r="C288">
        <v>-4.2661606982361988E-2</v>
      </c>
      <c r="D288">
        <v>-0.49617571734160248</v>
      </c>
    </row>
    <row r="289" spans="1:4">
      <c r="A289">
        <v>264</v>
      </c>
      <c r="B289">
        <v>9.5223983550091287</v>
      </c>
      <c r="C289">
        <v>-2.467129049024841E-2</v>
      </c>
      <c r="D289">
        <v>-0.28693938467444746</v>
      </c>
    </row>
    <row r="290" spans="1:4">
      <c r="A290">
        <v>265</v>
      </c>
      <c r="B290">
        <v>9.5139589488416156</v>
      </c>
      <c r="C290">
        <v>-9.4443252925948684E-3</v>
      </c>
      <c r="D290">
        <v>-0.10984220258740128</v>
      </c>
    </row>
    <row r="291" spans="1:4">
      <c r="A291">
        <v>266</v>
      </c>
      <c r="B291">
        <v>10.174067303611194</v>
      </c>
      <c r="C291">
        <v>-5.7089519268094691E-2</v>
      </c>
      <c r="D291">
        <v>-0.66397951645950415</v>
      </c>
    </row>
    <row r="292" spans="1:4">
      <c r="A292">
        <v>267</v>
      </c>
      <c r="B292">
        <v>10.165627897443681</v>
      </c>
      <c r="C292">
        <v>-7.2964157649181516E-2</v>
      </c>
      <c r="D292">
        <v>-0.84860945994782133</v>
      </c>
    </row>
    <row r="293" spans="1:4">
      <c r="A293">
        <v>268</v>
      </c>
      <c r="B293">
        <v>10.15718849127617</v>
      </c>
      <c r="C293">
        <v>-7.2427527031770467E-2</v>
      </c>
      <c r="D293">
        <v>-0.84236817884344384</v>
      </c>
    </row>
    <row r="294" spans="1:4">
      <c r="A294">
        <v>269</v>
      </c>
      <c r="B294">
        <v>10.148749085108657</v>
      </c>
      <c r="C294">
        <v>-6.5486038209956021E-2</v>
      </c>
      <c r="D294">
        <v>-0.76163520980628441</v>
      </c>
    </row>
    <row r="295" spans="1:4">
      <c r="A295">
        <v>270</v>
      </c>
      <c r="B295">
        <v>10.140309678941144</v>
      </c>
      <c r="C295">
        <v>-5.564260309964375E-2</v>
      </c>
      <c r="D295">
        <v>-0.64715116144439355</v>
      </c>
    </row>
    <row r="296" spans="1:4">
      <c r="A296">
        <v>271</v>
      </c>
      <c r="B296">
        <v>10.800418033710725</v>
      </c>
      <c r="C296">
        <v>0.17829684669197476</v>
      </c>
      <c r="D296">
        <v>2.073681046372958</v>
      </c>
    </row>
    <row r="297" spans="1:4">
      <c r="A297">
        <v>272</v>
      </c>
      <c r="B297">
        <v>10.791978627543212</v>
      </c>
      <c r="C297">
        <v>0.11285478117348724</v>
      </c>
      <c r="D297">
        <v>1.3125572608489762</v>
      </c>
    </row>
    <row r="298" spans="1:4">
      <c r="A298">
        <v>273</v>
      </c>
      <c r="B298">
        <v>10.783539221375701</v>
      </c>
      <c r="C298">
        <v>8.0269104023498627E-2</v>
      </c>
      <c r="D298">
        <v>0.93356962117468889</v>
      </c>
    </row>
    <row r="299" spans="1:4">
      <c r="A299">
        <v>274</v>
      </c>
      <c r="B299">
        <v>10.775099815208188</v>
      </c>
      <c r="C299">
        <v>6.2896628705711777E-2</v>
      </c>
      <c r="D299">
        <v>0.73151908879868288</v>
      </c>
    </row>
    <row r="300" spans="1:4">
      <c r="A300">
        <v>275</v>
      </c>
      <c r="B300">
        <v>10.766660409040675</v>
      </c>
      <c r="C300">
        <v>5.3831102274424225E-2</v>
      </c>
      <c r="D300">
        <v>0.62608250545612265</v>
      </c>
    </row>
    <row r="301" spans="1:4">
      <c r="A301">
        <v>276</v>
      </c>
      <c r="B301">
        <v>8.2950151133126067</v>
      </c>
      <c r="C301">
        <v>5.0556653903193194E-2</v>
      </c>
      <c r="D301">
        <v>0.58799904155460303</v>
      </c>
    </row>
    <row r="302" spans="1:4">
      <c r="A302">
        <v>277</v>
      </c>
      <c r="B302">
        <v>8.2865757071450936</v>
      </c>
      <c r="C302">
        <v>5.9310761707836335E-2</v>
      </c>
      <c r="D302">
        <v>0.68981367130941607</v>
      </c>
    </row>
    <row r="303" spans="1:4">
      <c r="A303">
        <v>278</v>
      </c>
      <c r="B303">
        <v>8.2781363009775824</v>
      </c>
      <c r="C303">
        <v>6.7863162947666922E-2</v>
      </c>
      <c r="D303">
        <v>0.78928235334759111</v>
      </c>
    </row>
    <row r="304" spans="1:4">
      <c r="A304">
        <v>279</v>
      </c>
      <c r="B304">
        <v>8.2696968948100693</v>
      </c>
      <c r="C304">
        <v>7.6355571336049977E-2</v>
      </c>
      <c r="D304">
        <v>0.88805328867138067</v>
      </c>
    </row>
    <row r="305" spans="1:4">
      <c r="A305">
        <v>280</v>
      </c>
      <c r="B305">
        <v>8.2612574886425563</v>
      </c>
      <c r="C305">
        <v>8.482401116398286E-2</v>
      </c>
      <c r="D305">
        <v>0.9865454577105357</v>
      </c>
    </row>
    <row r="306" spans="1:4">
      <c r="A306">
        <v>281</v>
      </c>
      <c r="B306">
        <v>8.9213658434121346</v>
      </c>
      <c r="C306">
        <v>-1.6193899589675098E-2</v>
      </c>
      <c r="D306">
        <v>-0.18834311020648897</v>
      </c>
    </row>
    <row r="307" spans="1:4">
      <c r="A307">
        <v>282</v>
      </c>
      <c r="B307">
        <v>8.9129264372446215</v>
      </c>
      <c r="C307">
        <v>-1.0981847317719229E-3</v>
      </c>
      <c r="D307">
        <v>-1.2772434880050568E-2</v>
      </c>
    </row>
    <row r="308" spans="1:4">
      <c r="A308">
        <v>283</v>
      </c>
      <c r="B308">
        <v>8.9044870310771103</v>
      </c>
      <c r="C308">
        <v>1.0118722776459421E-2</v>
      </c>
      <c r="D308">
        <v>0.1176857809005251</v>
      </c>
    </row>
    <row r="309" spans="1:4">
      <c r="A309">
        <v>284</v>
      </c>
      <c r="B309">
        <v>8.8960476249095972</v>
      </c>
      <c r="C309">
        <v>1.9971565153863224E-2</v>
      </c>
      <c r="D309">
        <v>0.23227924045968501</v>
      </c>
    </row>
    <row r="310" spans="1:4">
      <c r="A310">
        <v>285</v>
      </c>
      <c r="B310">
        <v>8.8876082187420842</v>
      </c>
      <c r="C310">
        <v>2.922593349063618E-2</v>
      </c>
      <c r="D310">
        <v>0.3399121491295381</v>
      </c>
    </row>
    <row r="311" spans="1:4">
      <c r="A311">
        <v>286</v>
      </c>
      <c r="B311">
        <v>9.547716573511666</v>
      </c>
      <c r="C311">
        <v>-0.1050790128933663</v>
      </c>
      <c r="D311">
        <v>-1.2221212065797078</v>
      </c>
    </row>
    <row r="312" spans="1:4">
      <c r="A312">
        <v>287</v>
      </c>
      <c r="B312">
        <v>9.539277167344153</v>
      </c>
      <c r="C312">
        <v>-7.7720784515612706E-2</v>
      </c>
      <c r="D312">
        <v>-0.90393139727084815</v>
      </c>
    </row>
    <row r="313" spans="1:4">
      <c r="A313">
        <v>288</v>
      </c>
      <c r="B313">
        <v>9.5308377611766417</v>
      </c>
      <c r="C313">
        <v>-5.4806025996962049E-2</v>
      </c>
      <c r="D313">
        <v>-0.63742135346490825</v>
      </c>
    </row>
    <row r="314" spans="1:4">
      <c r="A314">
        <v>289</v>
      </c>
      <c r="B314">
        <v>9.5223983550091287</v>
      </c>
      <c r="C314">
        <v>-3.5894471828319396E-2</v>
      </c>
      <c r="D314">
        <v>-0.41747056821787487</v>
      </c>
    </row>
    <row r="315" spans="1:4">
      <c r="A315">
        <v>290</v>
      </c>
      <c r="B315">
        <v>9.5139589488416156</v>
      </c>
      <c r="C315">
        <v>-1.9816450838476385E-2</v>
      </c>
      <c r="D315">
        <v>-0.2304751837878668</v>
      </c>
    </row>
    <row r="316" spans="1:4">
      <c r="A316">
        <v>291</v>
      </c>
      <c r="B316">
        <v>10.174067303611194</v>
      </c>
      <c r="C316">
        <v>-6.1572661462394151E-2</v>
      </c>
      <c r="D316">
        <v>-0.71612069096145403</v>
      </c>
    </row>
    <row r="317" spans="1:4">
      <c r="A317">
        <v>292</v>
      </c>
      <c r="B317">
        <v>10.165627897443681</v>
      </c>
      <c r="C317">
        <v>-7.8887488566580899E-2</v>
      </c>
      <c r="D317">
        <v>-0.91750074592791664</v>
      </c>
    </row>
    <row r="318" spans="1:4">
      <c r="A318">
        <v>293</v>
      </c>
      <c r="B318">
        <v>10.15718849127617</v>
      </c>
      <c r="C318">
        <v>-7.955974574966973E-2</v>
      </c>
      <c r="D318">
        <v>-0.92531943147801921</v>
      </c>
    </row>
    <row r="319" spans="1:4">
      <c r="A319">
        <v>294</v>
      </c>
      <c r="B319">
        <v>10.148749085108657</v>
      </c>
      <c r="C319">
        <v>-7.3594604447256629E-2</v>
      </c>
      <c r="D319">
        <v>-0.85594186991564003</v>
      </c>
    </row>
    <row r="320" spans="1:4">
      <c r="A320">
        <v>295</v>
      </c>
      <c r="B320">
        <v>10.140309678941144</v>
      </c>
      <c r="C320">
        <v>-6.451603314214438E-2</v>
      </c>
      <c r="D320">
        <v>-0.75035356819945465</v>
      </c>
    </row>
    <row r="321" spans="1:4">
      <c r="A321">
        <v>296</v>
      </c>
      <c r="B321">
        <v>10.800418033710725</v>
      </c>
      <c r="C321">
        <v>0.17717133346537395</v>
      </c>
      <c r="D321">
        <v>2.0605907674995669</v>
      </c>
    </row>
    <row r="322" spans="1:4">
      <c r="A322">
        <v>297</v>
      </c>
      <c r="B322">
        <v>10.791978627543212</v>
      </c>
      <c r="C322">
        <v>0.11134590101958786</v>
      </c>
      <c r="D322">
        <v>1.295008233850226</v>
      </c>
    </row>
    <row r="323" spans="1:4">
      <c r="A323">
        <v>298</v>
      </c>
      <c r="B323">
        <v>10.783539221375701</v>
      </c>
      <c r="C323">
        <v>7.8426650004198351E-2</v>
      </c>
      <c r="D323">
        <v>0.91214096413715173</v>
      </c>
    </row>
    <row r="324" spans="1:4">
      <c r="A324">
        <v>299</v>
      </c>
      <c r="B324">
        <v>10.775099815208188</v>
      </c>
      <c r="C324">
        <v>6.0753255628412717E-2</v>
      </c>
      <c r="D324">
        <v>0.70659059338126395</v>
      </c>
    </row>
    <row r="325" spans="1:4">
      <c r="A325">
        <v>300</v>
      </c>
      <c r="B325">
        <v>10.766660409040675</v>
      </c>
      <c r="C325">
        <v>5.1411041731725504E-2</v>
      </c>
      <c r="D325">
        <v>0.59793599713823176</v>
      </c>
    </row>
    <row r="326" spans="1:4">
      <c r="A326">
        <v>301</v>
      </c>
      <c r="B326">
        <v>8.2950151133126067</v>
      </c>
      <c r="C326">
        <v>0.11953708908949245</v>
      </c>
      <c r="D326">
        <v>1.3902758269848499</v>
      </c>
    </row>
    <row r="327" spans="1:4">
      <c r="A327">
        <v>302</v>
      </c>
      <c r="B327">
        <v>8.2865757071450936</v>
      </c>
      <c r="C327">
        <v>0.12802771011949687</v>
      </c>
      <c r="D327">
        <v>1.4890259744413181</v>
      </c>
    </row>
    <row r="328" spans="1:4">
      <c r="A328">
        <v>303</v>
      </c>
      <c r="B328">
        <v>8.2781363009775824</v>
      </c>
      <c r="C328">
        <v>0.13648522654454709</v>
      </c>
      <c r="D328">
        <v>1.5873910988695339</v>
      </c>
    </row>
    <row r="329" spans="1:4">
      <c r="A329">
        <v>304</v>
      </c>
      <c r="B329">
        <v>8.2696968948100693</v>
      </c>
      <c r="C329">
        <v>0.14493306509707082</v>
      </c>
      <c r="D329">
        <v>1.6856436648246207</v>
      </c>
    </row>
    <row r="330" spans="1:4">
      <c r="A330">
        <v>305</v>
      </c>
      <c r="B330">
        <v>8.2612574886425563</v>
      </c>
      <c r="C330">
        <v>0.15337706168284448</v>
      </c>
      <c r="D330">
        <v>1.7838515467946665</v>
      </c>
    </row>
    <row r="331" spans="1:4">
      <c r="A331">
        <v>306</v>
      </c>
      <c r="B331">
        <v>8.9213658434121346</v>
      </c>
      <c r="C331">
        <v>5.3951234606165244E-2</v>
      </c>
      <c r="D331">
        <v>0.62747970425133359</v>
      </c>
    </row>
    <row r="332" spans="1:4">
      <c r="A332">
        <v>307</v>
      </c>
      <c r="B332">
        <v>8.9129264372446215</v>
      </c>
      <c r="C332">
        <v>6.3835805325219042E-2</v>
      </c>
      <c r="D332">
        <v>0.74244218021169828</v>
      </c>
    </row>
    <row r="333" spans="1:4">
      <c r="A333">
        <v>308</v>
      </c>
      <c r="B333">
        <v>8.9044870310771103</v>
      </c>
      <c r="C333">
        <v>7.2822975266010559E-2</v>
      </c>
      <c r="D333">
        <v>0.84696743858011225</v>
      </c>
    </row>
    <row r="334" spans="1:4">
      <c r="A334">
        <v>309</v>
      </c>
      <c r="B334">
        <v>8.8960476249095972</v>
      </c>
      <c r="C334">
        <v>8.1526839142293639E-2</v>
      </c>
      <c r="D334">
        <v>0.94819770644704748</v>
      </c>
    </row>
    <row r="335" spans="1:4">
      <c r="A335">
        <v>310</v>
      </c>
      <c r="B335">
        <v>8.8876082187420842</v>
      </c>
      <c r="C335">
        <v>9.0113709973506317E-2</v>
      </c>
      <c r="D335">
        <v>1.0480672869848395</v>
      </c>
    </row>
    <row r="336" spans="1:4">
      <c r="A336">
        <v>311</v>
      </c>
      <c r="B336">
        <v>9.547716573511666</v>
      </c>
      <c r="C336">
        <v>-9.3334407482768E-3</v>
      </c>
      <c r="D336">
        <v>-0.1085525601615578</v>
      </c>
    </row>
    <row r="337" spans="1:4">
      <c r="A337">
        <v>312</v>
      </c>
      <c r="B337">
        <v>9.539277167344153</v>
      </c>
      <c r="C337">
        <v>1.2187760718576968E-2</v>
      </c>
      <c r="D337">
        <v>0.14174972170710576</v>
      </c>
    </row>
    <row r="338" spans="1:4">
      <c r="A338">
        <v>313</v>
      </c>
      <c r="B338">
        <v>9.5308377611766417</v>
      </c>
      <c r="C338">
        <v>2.7719015654387391E-2</v>
      </c>
      <c r="D338">
        <v>0.32238594486150085</v>
      </c>
    </row>
    <row r="339" spans="1:4">
      <c r="A339">
        <v>314</v>
      </c>
      <c r="B339">
        <v>9.5223983550091287</v>
      </c>
      <c r="C339">
        <v>4.0341655557002198E-2</v>
      </c>
      <c r="D339">
        <v>0.46919352787200563</v>
      </c>
    </row>
    <row r="340" spans="1:4">
      <c r="A340">
        <v>315</v>
      </c>
      <c r="B340">
        <v>9.5139589488416156</v>
      </c>
      <c r="C340">
        <v>5.1435924821493728E-2</v>
      </c>
      <c r="D340">
        <v>0.59822539985389889</v>
      </c>
    </row>
    <row r="341" spans="1:4">
      <c r="A341">
        <v>316</v>
      </c>
      <c r="B341">
        <v>10.174067303611194</v>
      </c>
      <c r="C341">
        <v>-1.7286041038293121E-2</v>
      </c>
      <c r="D341">
        <v>-0.2010452586963615</v>
      </c>
    </row>
    <row r="342" spans="1:4">
      <c r="A342">
        <v>317</v>
      </c>
      <c r="B342">
        <v>10.165627897443681</v>
      </c>
      <c r="C342">
        <v>-2.3071806370580816E-2</v>
      </c>
      <c r="D342">
        <v>-0.26833658846987207</v>
      </c>
    </row>
    <row r="343" spans="1:4">
      <c r="A343">
        <v>318</v>
      </c>
      <c r="B343">
        <v>10.15718849127617</v>
      </c>
      <c r="C343">
        <v>-1.5620940602369515E-2</v>
      </c>
      <c r="D343">
        <v>-0.18167931208347871</v>
      </c>
    </row>
    <row r="344" spans="1:4">
      <c r="A344">
        <v>319</v>
      </c>
      <c r="B344">
        <v>10.148749085108657</v>
      </c>
      <c r="C344">
        <v>-4.1712126461561638E-3</v>
      </c>
      <c r="D344">
        <v>-4.8513278642939452E-2</v>
      </c>
    </row>
    <row r="345" spans="1:4">
      <c r="A345">
        <v>320</v>
      </c>
      <c r="B345">
        <v>10.140309678941144</v>
      </c>
      <c r="C345">
        <v>8.4341056353558486E-3</v>
      </c>
      <c r="D345">
        <v>9.8092845295014386E-2</v>
      </c>
    </row>
    <row r="346" spans="1:4">
      <c r="A346">
        <v>321</v>
      </c>
      <c r="B346">
        <v>10.800418033710725</v>
      </c>
      <c r="C346">
        <v>0.18803863573057455</v>
      </c>
      <c r="D346">
        <v>2.1869829003424122</v>
      </c>
    </row>
    <row r="347" spans="1:4">
      <c r="A347">
        <v>322</v>
      </c>
      <c r="B347">
        <v>10.791978627543212</v>
      </c>
      <c r="C347">
        <v>0.12580054747368763</v>
      </c>
      <c r="D347">
        <v>1.4631229646489843</v>
      </c>
    </row>
    <row r="348" spans="1:4">
      <c r="A348">
        <v>323</v>
      </c>
      <c r="B348">
        <v>10.783539221375701</v>
      </c>
      <c r="C348">
        <v>9.5928068547898704E-2</v>
      </c>
      <c r="D348">
        <v>1.115691170391838</v>
      </c>
    </row>
    <row r="349" spans="1:4">
      <c r="A349">
        <v>324</v>
      </c>
      <c r="B349">
        <v>10.775099815208188</v>
      </c>
      <c r="C349">
        <v>8.0932814946711673E-2</v>
      </c>
      <c r="D349">
        <v>0.94128890946987287</v>
      </c>
    </row>
    <row r="350" spans="1:4">
      <c r="A350">
        <v>325</v>
      </c>
      <c r="B350">
        <v>10.766660409040675</v>
      </c>
      <c r="C350">
        <v>7.3987374598624811E-2</v>
      </c>
      <c r="D350">
        <v>0.86050998221591157</v>
      </c>
    </row>
    <row r="351" spans="1:4">
      <c r="A351">
        <v>326</v>
      </c>
      <c r="B351">
        <v>8.2950151133126067</v>
      </c>
      <c r="C351">
        <v>0.10041150197986326</v>
      </c>
      <c r="D351">
        <v>1.1678357321327508</v>
      </c>
    </row>
    <row r="352" spans="1:4">
      <c r="A352">
        <v>327</v>
      </c>
      <c r="B352">
        <v>8.2865757071450936</v>
      </c>
      <c r="C352">
        <v>0.10892659030710661</v>
      </c>
      <c r="D352">
        <v>1.2668704464308751</v>
      </c>
    </row>
    <row r="353" spans="1:4">
      <c r="A353">
        <v>328</v>
      </c>
      <c r="B353">
        <v>8.2781363009775824</v>
      </c>
      <c r="C353">
        <v>0.1173928234580881</v>
      </c>
      <c r="D353">
        <v>1.3653369507190574</v>
      </c>
    </row>
    <row r="354" spans="1:4">
      <c r="A354">
        <v>329</v>
      </c>
      <c r="B354">
        <v>8.2696968948100693</v>
      </c>
      <c r="C354">
        <v>0.12584473258342044</v>
      </c>
      <c r="D354">
        <v>1.4636368594613984</v>
      </c>
    </row>
    <row r="355" spans="1:4">
      <c r="A355">
        <v>330</v>
      </c>
      <c r="B355">
        <v>8.2612574886425563</v>
      </c>
      <c r="C355">
        <v>0.13429095202504371</v>
      </c>
      <c r="D355">
        <v>1.5618705943510538</v>
      </c>
    </row>
    <row r="356" spans="1:4">
      <c r="A356">
        <v>331</v>
      </c>
      <c r="B356">
        <v>8.9213658434121346</v>
      </c>
      <c r="C356">
        <v>3.6312082471965823E-2</v>
      </c>
      <c r="D356">
        <v>0.42232758780380897</v>
      </c>
    </row>
    <row r="357" spans="1:4">
      <c r="A357">
        <v>332</v>
      </c>
      <c r="B357">
        <v>8.9129264372446215</v>
      </c>
      <c r="C357">
        <v>4.6797161718618696E-2</v>
      </c>
      <c r="D357">
        <v>0.54427427674926843</v>
      </c>
    </row>
    <row r="358" spans="1:4">
      <c r="A358">
        <v>333</v>
      </c>
      <c r="B358">
        <v>8.9044870310771103</v>
      </c>
      <c r="C358">
        <v>5.602315042123962E-2</v>
      </c>
      <c r="D358">
        <v>0.65157711615241298</v>
      </c>
    </row>
    <row r="359" spans="1:4">
      <c r="A359">
        <v>334</v>
      </c>
      <c r="B359">
        <v>8.8960476249095972</v>
      </c>
      <c r="C359">
        <v>6.4845282425832096E-2</v>
      </c>
      <c r="D359">
        <v>0.75418290120103393</v>
      </c>
    </row>
    <row r="360" spans="1:4">
      <c r="A360">
        <v>335</v>
      </c>
      <c r="B360">
        <v>8.8876082187420842</v>
      </c>
      <c r="C360">
        <v>7.3499163785575305E-2</v>
      </c>
      <c r="D360">
        <v>0.85483184752963692</v>
      </c>
    </row>
    <row r="361" spans="1:4">
      <c r="A361">
        <v>336</v>
      </c>
      <c r="B361">
        <v>9.547716573511666</v>
      </c>
      <c r="C361">
        <v>-3.1417905616326181E-2</v>
      </c>
      <c r="D361">
        <v>-0.36540587566231242</v>
      </c>
    </row>
    <row r="362" spans="1:4">
      <c r="A362">
        <v>337</v>
      </c>
      <c r="B362">
        <v>9.539277167344153</v>
      </c>
      <c r="C362">
        <v>-7.6852753052634171E-3</v>
      </c>
      <c r="D362">
        <v>-8.9383575942962659E-2</v>
      </c>
    </row>
    <row r="363" spans="1:4">
      <c r="A363">
        <v>338</v>
      </c>
      <c r="B363">
        <v>9.5308377611766417</v>
      </c>
      <c r="C363">
        <v>9.5390393128980122E-3</v>
      </c>
      <c r="D363">
        <v>0.11094377377260416</v>
      </c>
    </row>
    <row r="364" spans="1:4">
      <c r="A364">
        <v>339</v>
      </c>
      <c r="B364">
        <v>9.5223983550091287</v>
      </c>
      <c r="C364">
        <v>2.3341424619511386E-2</v>
      </c>
      <c r="D364">
        <v>0.27147238286521264</v>
      </c>
    </row>
    <row r="365" spans="1:4">
      <c r="A365">
        <v>340</v>
      </c>
      <c r="B365">
        <v>9.5139589488416156</v>
      </c>
      <c r="C365">
        <v>3.5264035366274982E-2</v>
      </c>
      <c r="D365">
        <v>0.41013827846323636</v>
      </c>
    </row>
    <row r="366" spans="1:4">
      <c r="A366">
        <v>341</v>
      </c>
      <c r="B366">
        <v>10.174067303611194</v>
      </c>
      <c r="C366">
        <v>-2.9852460331394326E-2</v>
      </c>
      <c r="D366">
        <v>-0.34719896804321532</v>
      </c>
    </row>
    <row r="367" spans="1:4">
      <c r="A367">
        <v>342</v>
      </c>
      <c r="B367">
        <v>10.165627897443681</v>
      </c>
      <c r="C367">
        <v>-3.8308724075580614E-2</v>
      </c>
      <c r="D367">
        <v>-0.44554952316965785</v>
      </c>
    </row>
    <row r="368" spans="1:4">
      <c r="A368">
        <v>343</v>
      </c>
      <c r="B368">
        <v>10.15718849127617</v>
      </c>
      <c r="C368">
        <v>-3.2410985880169108E-2</v>
      </c>
      <c r="D368">
        <v>-0.37695589328105267</v>
      </c>
    </row>
    <row r="369" spans="1:4">
      <c r="A369">
        <v>344</v>
      </c>
      <c r="B369">
        <v>10.148749085108657</v>
      </c>
      <c r="C369">
        <v>-2.1772138017956522E-2</v>
      </c>
      <c r="D369">
        <v>-0.25322079882237591</v>
      </c>
    </row>
    <row r="370" spans="1:4">
      <c r="A370">
        <v>345</v>
      </c>
      <c r="B370">
        <v>10.140309678941144</v>
      </c>
      <c r="C370">
        <v>-9.5026688234440826E-3</v>
      </c>
      <c r="D370">
        <v>-0.11052076688253717</v>
      </c>
    </row>
    <row r="371" spans="1:4">
      <c r="A371">
        <v>346</v>
      </c>
      <c r="B371">
        <v>10.800418033710725</v>
      </c>
      <c r="C371">
        <v>0.18497045361387521</v>
      </c>
      <c r="D371">
        <v>2.1512984156178359</v>
      </c>
    </row>
    <row r="372" spans="1:4">
      <c r="A372">
        <v>347</v>
      </c>
      <c r="B372">
        <v>10.791978627543212</v>
      </c>
      <c r="C372">
        <v>0.12174539128928785</v>
      </c>
      <c r="D372">
        <v>1.4159594804052082</v>
      </c>
    </row>
    <row r="373" spans="1:4">
      <c r="A373">
        <v>348</v>
      </c>
      <c r="B373">
        <v>10.783539221375701</v>
      </c>
      <c r="C373">
        <v>9.1051704978898584E-2</v>
      </c>
      <c r="D373">
        <v>1.0589766356377341</v>
      </c>
    </row>
    <row r="374" spans="1:4">
      <c r="A374">
        <v>349</v>
      </c>
      <c r="B374">
        <v>10.775099815208188</v>
      </c>
      <c r="C374">
        <v>7.5350688824311618E-2</v>
      </c>
      <c r="D374">
        <v>0.8763660050368951</v>
      </c>
    </row>
    <row r="375" spans="1:4">
      <c r="A375">
        <v>350</v>
      </c>
      <c r="B375">
        <v>10.766660409040675</v>
      </c>
      <c r="C375">
        <v>6.7788688286125165E-2</v>
      </c>
      <c r="D375">
        <v>0.78841617597575575</v>
      </c>
    </row>
    <row r="376" spans="1:4">
      <c r="A376">
        <v>351</v>
      </c>
      <c r="B376">
        <v>8.2950151133126067</v>
      </c>
      <c r="C376">
        <v>8.6504445355062742E-2</v>
      </c>
      <c r="D376">
        <v>1.0060897435258622</v>
      </c>
    </row>
    <row r="377" spans="1:4">
      <c r="A377">
        <v>352</v>
      </c>
      <c r="B377">
        <v>8.2865757071450936</v>
      </c>
      <c r="C377">
        <v>9.5048550976725821E-2</v>
      </c>
      <c r="D377">
        <v>1.1054619433969037</v>
      </c>
    </row>
    <row r="378" spans="1:4">
      <c r="A378">
        <v>353</v>
      </c>
      <c r="B378">
        <v>8.2781363009775824</v>
      </c>
      <c r="C378">
        <v>0.10352515205230794</v>
      </c>
      <c r="D378">
        <v>1.204049031807203</v>
      </c>
    </row>
    <row r="379" spans="1:4">
      <c r="A379">
        <v>354</v>
      </c>
      <c r="B379">
        <v>8.2696968948100693</v>
      </c>
      <c r="C379">
        <v>0.11198191100875121</v>
      </c>
      <c r="D379">
        <v>1.3024053464986085</v>
      </c>
    </row>
    <row r="380" spans="1:4">
      <c r="A380">
        <v>355</v>
      </c>
      <c r="B380">
        <v>8.2612574886425563</v>
      </c>
      <c r="C380">
        <v>0.12043079223550457</v>
      </c>
      <c r="D380">
        <v>1.4006700392738136</v>
      </c>
    </row>
    <row r="381" spans="1:4">
      <c r="A381">
        <v>356</v>
      </c>
      <c r="B381">
        <v>8.9213658434121346</v>
      </c>
      <c r="C381">
        <v>2.3006780872435684E-2</v>
      </c>
      <c r="D381">
        <v>0.26758030957018142</v>
      </c>
    </row>
    <row r="382" spans="1:4">
      <c r="A382">
        <v>357</v>
      </c>
      <c r="B382">
        <v>8.9129264372446215</v>
      </c>
      <c r="C382">
        <v>3.4159143359548949E-2</v>
      </c>
      <c r="D382">
        <v>0.39728783463797329</v>
      </c>
    </row>
    <row r="383" spans="1:4">
      <c r="A383">
        <v>358</v>
      </c>
      <c r="B383">
        <v>8.9044870310771103</v>
      </c>
      <c r="C383">
        <v>4.3656560812140199E-2</v>
      </c>
      <c r="D383">
        <v>0.50774752546444424</v>
      </c>
    </row>
    <row r="384" spans="1:4">
      <c r="A384">
        <v>359</v>
      </c>
      <c r="B384">
        <v>8.8960476249095972</v>
      </c>
      <c r="C384">
        <v>5.2614730842462265E-2</v>
      </c>
      <c r="D384">
        <v>0.61193550044393252</v>
      </c>
    </row>
    <row r="385" spans="1:4">
      <c r="A385">
        <v>360</v>
      </c>
      <c r="B385">
        <v>8.8876082187420842</v>
      </c>
      <c r="C385">
        <v>6.1346261356135301E-2</v>
      </c>
      <c r="D385">
        <v>0.71348754507045087</v>
      </c>
    </row>
    <row r="386" spans="1:4">
      <c r="A386">
        <v>361</v>
      </c>
      <c r="B386">
        <v>9.547716573511666</v>
      </c>
      <c r="C386">
        <v>-4.92742804872357E-2</v>
      </c>
      <c r="D386">
        <v>-0.57308440062638921</v>
      </c>
    </row>
    <row r="387" spans="1:4">
      <c r="A387">
        <v>362</v>
      </c>
      <c r="B387">
        <v>9.539277167344153</v>
      </c>
      <c r="C387">
        <v>-2.3906847483333493E-2</v>
      </c>
      <c r="D387">
        <v>-0.27804853212218433</v>
      </c>
    </row>
    <row r="388" spans="1:4">
      <c r="A388">
        <v>363</v>
      </c>
      <c r="B388">
        <v>9.5308377611766417</v>
      </c>
      <c r="C388">
        <v>-5.2030922933017365E-3</v>
      </c>
      <c r="D388">
        <v>-6.0514552395808933E-2</v>
      </c>
    </row>
    <row r="389" spans="1:4">
      <c r="A389">
        <v>364</v>
      </c>
      <c r="B389">
        <v>9.5223983550091287</v>
      </c>
      <c r="C389">
        <v>9.7077050293314926E-3</v>
      </c>
      <c r="D389">
        <v>0.11290543998168337</v>
      </c>
    </row>
    <row r="390" spans="1:4">
      <c r="A390">
        <v>365</v>
      </c>
      <c r="B390">
        <v>9.5139589488416156</v>
      </c>
      <c r="C390">
        <v>2.2443026385024822E-2</v>
      </c>
      <c r="D390">
        <v>0.26102356436104573</v>
      </c>
    </row>
    <row r="391" spans="1:4">
      <c r="A391">
        <v>366</v>
      </c>
      <c r="B391">
        <v>10.174067303611194</v>
      </c>
      <c r="C391">
        <v>-3.8927622515393168E-2</v>
      </c>
      <c r="D391">
        <v>-0.45274761998449542</v>
      </c>
    </row>
    <row r="392" spans="1:4">
      <c r="A392">
        <v>367</v>
      </c>
      <c r="B392">
        <v>10.165627897443681</v>
      </c>
      <c r="C392">
        <v>-4.9598962149781656E-2</v>
      </c>
      <c r="D392">
        <v>-0.57686060992127131</v>
      </c>
    </row>
    <row r="393" spans="1:4">
      <c r="A393">
        <v>368</v>
      </c>
      <c r="B393">
        <v>10.15718849127617</v>
      </c>
      <c r="C393">
        <v>-4.5146930153769915E-2</v>
      </c>
      <c r="D393">
        <v>-0.52508126250563891</v>
      </c>
    </row>
    <row r="394" spans="1:4">
      <c r="A394">
        <v>369</v>
      </c>
      <c r="B394">
        <v>10.148749085108657</v>
      </c>
      <c r="C394">
        <v>-3.5388210553357169E-2</v>
      </c>
      <c r="D394">
        <v>-0.41158249767776345</v>
      </c>
    </row>
    <row r="395" spans="1:4">
      <c r="A395">
        <v>370</v>
      </c>
      <c r="B395">
        <v>10.140309678941144</v>
      </c>
      <c r="C395">
        <v>-2.3602845519944182E-2</v>
      </c>
      <c r="D395">
        <v>-0.27451283801857707</v>
      </c>
    </row>
    <row r="396" spans="1:4">
      <c r="A396">
        <v>371</v>
      </c>
      <c r="B396">
        <v>10.800418033710725</v>
      </c>
      <c r="C396">
        <v>0.18276098750937386</v>
      </c>
      <c r="D396">
        <v>2.1256012254065957</v>
      </c>
    </row>
    <row r="397" spans="1:4">
      <c r="A397">
        <v>372</v>
      </c>
      <c r="B397">
        <v>10.791978627543212</v>
      </c>
      <c r="C397">
        <v>0.11881257942788714</v>
      </c>
      <c r="D397">
        <v>1.3818494191091091</v>
      </c>
    </row>
    <row r="398" spans="1:4">
      <c r="A398">
        <v>373</v>
      </c>
      <c r="B398">
        <v>10.783539221375701</v>
      </c>
      <c r="C398">
        <v>8.7508678081698932E-2</v>
      </c>
      <c r="D398">
        <v>1.0177694698362807</v>
      </c>
    </row>
    <row r="399" spans="1:4">
      <c r="A399">
        <v>374</v>
      </c>
      <c r="B399">
        <v>10.775099815208188</v>
      </c>
      <c r="C399">
        <v>7.1275332355211773E-2</v>
      </c>
      <c r="D399">
        <v>0.82896758143052773</v>
      </c>
    </row>
    <row r="400" spans="1:4">
      <c r="A400">
        <v>375</v>
      </c>
      <c r="B400">
        <v>10.766660409040675</v>
      </c>
      <c r="C400">
        <v>6.3240868156924535E-2</v>
      </c>
      <c r="D400">
        <v>0.73552276490758772</v>
      </c>
    </row>
    <row r="401" spans="1:4">
      <c r="A401">
        <v>376</v>
      </c>
      <c r="B401">
        <v>8.2950151133126067</v>
      </c>
      <c r="C401">
        <v>7.5920353732293222E-2</v>
      </c>
      <c r="D401">
        <v>0.88299149137825517</v>
      </c>
    </row>
    <row r="402" spans="1:4">
      <c r="A402">
        <v>377</v>
      </c>
      <c r="B402">
        <v>8.2865757071450936</v>
      </c>
      <c r="C402">
        <v>8.4497939345236972E-2</v>
      </c>
      <c r="D402">
        <v>0.98275308020731578</v>
      </c>
    </row>
    <row r="403" spans="1:4">
      <c r="A403">
        <v>378</v>
      </c>
      <c r="B403">
        <v>8.2781363009775824</v>
      </c>
      <c r="C403">
        <v>9.2986535941127713E-2</v>
      </c>
      <c r="D403">
        <v>1.0814796824876967</v>
      </c>
    </row>
    <row r="404" spans="1:4">
      <c r="A404">
        <v>379</v>
      </c>
      <c r="B404">
        <v>8.2696968948100693</v>
      </c>
      <c r="C404">
        <v>0.1014489098681004</v>
      </c>
      <c r="D404">
        <v>1.1799013020803319</v>
      </c>
    </row>
    <row r="405" spans="1:4">
      <c r="A405">
        <v>380</v>
      </c>
      <c r="B405">
        <v>8.2612574886425563</v>
      </c>
      <c r="C405">
        <v>0.10990086868287285</v>
      </c>
      <c r="D405">
        <v>1.2782017887355868</v>
      </c>
    </row>
    <row r="406" spans="1:4">
      <c r="A406">
        <v>381</v>
      </c>
      <c r="B406">
        <v>8.9213658434121346</v>
      </c>
      <c r="C406">
        <v>1.2431583757885889E-2</v>
      </c>
      <c r="D406">
        <v>0.14458550497901887</v>
      </c>
    </row>
    <row r="407" spans="1:4">
      <c r="A407">
        <v>382</v>
      </c>
      <c r="B407">
        <v>8.9129264372446215</v>
      </c>
      <c r="C407">
        <v>2.4305298203858072E-2</v>
      </c>
      <c r="D407">
        <v>0.28268271226835884</v>
      </c>
    </row>
    <row r="408" spans="1:4">
      <c r="A408">
        <v>383</v>
      </c>
      <c r="B408">
        <v>8.9044870310771103</v>
      </c>
      <c r="C408">
        <v>3.4102838908140143E-2</v>
      </c>
      <c r="D408">
        <v>0.39663298585136197</v>
      </c>
    </row>
    <row r="409" spans="1:4">
      <c r="A409">
        <v>384</v>
      </c>
      <c r="B409">
        <v>8.8960476249095972</v>
      </c>
      <c r="C409">
        <v>4.3213239523002045E-2</v>
      </c>
      <c r="D409">
        <v>0.50259147827799222</v>
      </c>
    </row>
    <row r="410" spans="1:4">
      <c r="A410">
        <v>385</v>
      </c>
      <c r="B410">
        <v>8.8876082187420842</v>
      </c>
      <c r="C410">
        <v>5.2032320690296174E-2</v>
      </c>
      <c r="D410">
        <v>0.60516178057075676</v>
      </c>
    </row>
    <row r="411" spans="1:4">
      <c r="A411">
        <v>386</v>
      </c>
      <c r="B411">
        <v>9.547716573511666</v>
      </c>
      <c r="C411">
        <v>-6.4129101598766169E-2</v>
      </c>
      <c r="D411">
        <v>-0.74585336181535966</v>
      </c>
    </row>
    <row r="412" spans="1:4">
      <c r="A412">
        <v>387</v>
      </c>
      <c r="B412">
        <v>9.539277167344153</v>
      </c>
      <c r="C412">
        <v>-3.7638356114493732E-2</v>
      </c>
      <c r="D412">
        <v>-0.43775281021150253</v>
      </c>
    </row>
    <row r="413" spans="1:4">
      <c r="A413">
        <v>388</v>
      </c>
      <c r="B413">
        <v>9.5308377611766417</v>
      </c>
      <c r="C413">
        <v>-1.7681913525001036E-2</v>
      </c>
      <c r="D413">
        <v>-0.20564945270033591</v>
      </c>
    </row>
    <row r="414" spans="1:4">
      <c r="A414">
        <v>389</v>
      </c>
      <c r="B414">
        <v>9.5223983550091287</v>
      </c>
      <c r="C414">
        <v>-1.7573488243378677E-3</v>
      </c>
      <c r="D414">
        <v>-2.0438841272335657E-2</v>
      </c>
    </row>
    <row r="415" spans="1:4">
      <c r="A415">
        <v>390</v>
      </c>
      <c r="B415">
        <v>9.5139589488416156</v>
      </c>
      <c r="C415">
        <v>1.1754846332785007E-2</v>
      </c>
      <c r="D415">
        <v>0.13671471198497709</v>
      </c>
    </row>
    <row r="416" spans="1:4">
      <c r="A416">
        <v>391</v>
      </c>
      <c r="B416">
        <v>10.174067303611194</v>
      </c>
      <c r="C416">
        <v>-4.5755603071894413E-2</v>
      </c>
      <c r="D416">
        <v>-0.53216043141509162</v>
      </c>
    </row>
    <row r="417" spans="1:4">
      <c r="A417">
        <v>392</v>
      </c>
      <c r="B417">
        <v>10.165627897443681</v>
      </c>
      <c r="C417">
        <v>-5.8261329404080797E-2</v>
      </c>
      <c r="D417">
        <v>-0.67760825142608549</v>
      </c>
    </row>
    <row r="418" spans="1:4">
      <c r="A418">
        <v>393</v>
      </c>
      <c r="B418">
        <v>10.15718849127617</v>
      </c>
      <c r="C418">
        <v>-5.5108075458170092E-2</v>
      </c>
      <c r="D418">
        <v>-0.64093433899659502</v>
      </c>
    </row>
    <row r="419" spans="1:4">
      <c r="A419">
        <v>394</v>
      </c>
      <c r="B419">
        <v>10.148749085108657</v>
      </c>
      <c r="C419">
        <v>-4.6220306308455861E-2</v>
      </c>
      <c r="D419">
        <v>-0.53756516128959375</v>
      </c>
    </row>
    <row r="420" spans="1:4">
      <c r="A420">
        <v>395</v>
      </c>
      <c r="B420">
        <v>10.140309678941144</v>
      </c>
      <c r="C420">
        <v>-3.4984040418343909E-2</v>
      </c>
      <c r="D420">
        <v>-0.40688179789514234</v>
      </c>
    </row>
    <row r="421" spans="1:4">
      <c r="A421">
        <v>396</v>
      </c>
      <c r="B421">
        <v>10.800418033710725</v>
      </c>
      <c r="C421">
        <v>0.18109402215517534</v>
      </c>
      <c r="D421">
        <v>2.1062135888662046</v>
      </c>
    </row>
    <row r="422" spans="1:4">
      <c r="A422">
        <v>397</v>
      </c>
      <c r="B422">
        <v>10.791978627543212</v>
      </c>
      <c r="C422">
        <v>0.1165928924260875</v>
      </c>
      <c r="D422">
        <v>1.3560333547764385</v>
      </c>
    </row>
    <row r="423" spans="1:4">
      <c r="A423">
        <v>398</v>
      </c>
      <c r="B423">
        <v>10.783539221375701</v>
      </c>
      <c r="C423">
        <v>8.4818049609898694E-2</v>
      </c>
      <c r="D423">
        <v>0.98647612187010647</v>
      </c>
    </row>
    <row r="424" spans="1:4">
      <c r="A424">
        <v>399</v>
      </c>
      <c r="B424">
        <v>10.775099815208188</v>
      </c>
      <c r="C424">
        <v>6.8169403992811795E-2</v>
      </c>
      <c r="D424">
        <v>0.79284408908616799</v>
      </c>
    </row>
    <row r="425" spans="1:4" ht="16.5" thickBot="1">
      <c r="A425" s="12">
        <v>400</v>
      </c>
      <c r="B425" s="12">
        <v>10.766660409040675</v>
      </c>
      <c r="C425" s="12">
        <v>5.9762123245324261E-2</v>
      </c>
      <c r="D425" s="12">
        <v>0.6950632305849509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376E-6CFB-394C-A8B6-7F98A6FAC57C}">
  <dimension ref="A1:I424"/>
  <sheetViews>
    <sheetView workbookViewId="0">
      <selection activeCell="J23" sqref="J23"/>
    </sheetView>
  </sheetViews>
  <sheetFormatPr defaultColWidth="11" defaultRowHeight="15.75"/>
  <sheetData>
    <row r="1" spans="1:9">
      <c r="A1" t="s">
        <v>2</v>
      </c>
    </row>
    <row r="2" spans="1:9" ht="16.5" thickBot="1"/>
    <row r="3" spans="1:9">
      <c r="A3" s="14" t="s">
        <v>3</v>
      </c>
      <c r="B3" s="14"/>
    </row>
    <row r="4" spans="1:9">
      <c r="A4" t="s">
        <v>4</v>
      </c>
      <c r="B4">
        <v>0.99524419959171218</v>
      </c>
    </row>
    <row r="5" spans="1:9">
      <c r="A5" t="s">
        <v>5</v>
      </c>
      <c r="B5">
        <v>0.99051101682094789</v>
      </c>
    </row>
    <row r="6" spans="1:9">
      <c r="A6" t="s">
        <v>6</v>
      </c>
      <c r="B6">
        <v>0.99048717515466889</v>
      </c>
    </row>
    <row r="7" spans="1:9">
      <c r="A7" t="s">
        <v>7</v>
      </c>
      <c r="B7">
        <v>8.6916299686587803E-2</v>
      </c>
    </row>
    <row r="8" spans="1:9" ht="16.5" thickBot="1">
      <c r="A8" s="12" t="s">
        <v>8</v>
      </c>
      <c r="B8" s="12">
        <v>400</v>
      </c>
    </row>
    <row r="10" spans="1:9" ht="16.5" thickBot="1">
      <c r="A10" t="s">
        <v>9</v>
      </c>
    </row>
    <row r="11" spans="1:9">
      <c r="A11" s="13"/>
      <c r="B11" s="13" t="s">
        <v>14</v>
      </c>
      <c r="C11" s="13" t="s">
        <v>15</v>
      </c>
      <c r="D11" s="13" t="s">
        <v>16</v>
      </c>
      <c r="E11" s="13" t="s">
        <v>17</v>
      </c>
      <c r="F11" s="13" t="s">
        <v>18</v>
      </c>
    </row>
    <row r="12" spans="1:9">
      <c r="A12" t="s">
        <v>10</v>
      </c>
      <c r="B12">
        <v>1</v>
      </c>
      <c r="C12">
        <v>313.85218967697324</v>
      </c>
      <c r="D12">
        <v>313.85218967697324</v>
      </c>
      <c r="E12">
        <v>41545.377123760023</v>
      </c>
      <c r="F12">
        <v>0</v>
      </c>
    </row>
    <row r="13" spans="1:9">
      <c r="A13" t="s">
        <v>11</v>
      </c>
      <c r="B13">
        <v>398</v>
      </c>
      <c r="C13">
        <v>3.0066683741810794</v>
      </c>
      <c r="D13">
        <v>7.5544431512087418E-3</v>
      </c>
    </row>
    <row r="14" spans="1:9" ht="16.5" thickBot="1">
      <c r="A14" s="12" t="s">
        <v>12</v>
      </c>
      <c r="B14" s="12">
        <v>399</v>
      </c>
      <c r="C14" s="12">
        <v>316.8588580511543</v>
      </c>
      <c r="D14" s="12"/>
      <c r="E14" s="12"/>
      <c r="F14" s="12"/>
    </row>
    <row r="15" spans="1:9" ht="16.5" thickBot="1"/>
    <row r="16" spans="1:9">
      <c r="A16" s="13"/>
      <c r="B16" s="13" t="s">
        <v>19</v>
      </c>
      <c r="C16" s="13" t="s">
        <v>7</v>
      </c>
      <c r="D16" s="13" t="s">
        <v>20</v>
      </c>
      <c r="E16" s="13" t="s">
        <v>21</v>
      </c>
      <c r="F16" s="13" t="s">
        <v>22</v>
      </c>
      <c r="G16" s="13" t="s">
        <v>23</v>
      </c>
      <c r="H16" s="13" t="s">
        <v>42</v>
      </c>
      <c r="I16" s="13" t="s">
        <v>43</v>
      </c>
    </row>
    <row r="17" spans="1:9">
      <c r="A17" t="s">
        <v>13</v>
      </c>
      <c r="B17">
        <v>5.1463826504799037</v>
      </c>
      <c r="C17">
        <v>2.1945289947721339E-2</v>
      </c>
      <c r="D17">
        <v>234.50966757512683</v>
      </c>
      <c r="E17">
        <v>0</v>
      </c>
      <c r="F17">
        <v>5.1032394761597475</v>
      </c>
      <c r="G17">
        <v>5.18952582480006</v>
      </c>
      <c r="H17">
        <v>5.1032394761597475</v>
      </c>
      <c r="I17">
        <v>5.18952582480006</v>
      </c>
    </row>
    <row r="18" spans="1:9" ht="16.5" thickBot="1">
      <c r="A18" s="12" t="s">
        <v>24</v>
      </c>
      <c r="B18" s="12">
        <v>6.2635073009953377</v>
      </c>
      <c r="C18" s="12">
        <v>3.0729552452014273E-2</v>
      </c>
      <c r="D18" s="12">
        <v>203.82683121650132</v>
      </c>
      <c r="E18" s="12">
        <v>0</v>
      </c>
      <c r="F18" s="12">
        <v>6.2030947732330741</v>
      </c>
      <c r="G18" s="12">
        <v>6.3239198287576013</v>
      </c>
      <c r="H18" s="12">
        <v>6.2030947732330741</v>
      </c>
      <c r="I18" s="12">
        <v>6.3239198287576013</v>
      </c>
    </row>
    <row r="22" spans="1:9">
      <c r="A22" t="s">
        <v>26</v>
      </c>
    </row>
    <row r="23" spans="1:9" ht="16.5" thickBot="1"/>
    <row r="24" spans="1:9">
      <c r="A24" s="13" t="s">
        <v>27</v>
      </c>
      <c r="B24" s="13" t="s">
        <v>28</v>
      </c>
      <c r="C24" s="13" t="s">
        <v>29</v>
      </c>
      <c r="D24" s="13" t="s">
        <v>44</v>
      </c>
    </row>
    <row r="25" spans="1:9">
      <c r="A25">
        <v>1</v>
      </c>
      <c r="B25">
        <v>8.2781363009775717</v>
      </c>
      <c r="C25">
        <v>2.0964440101558068E-2</v>
      </c>
      <c r="D25">
        <v>0.24150545859427847</v>
      </c>
    </row>
    <row r="26" spans="1:9">
      <c r="A26">
        <v>2</v>
      </c>
      <c r="B26">
        <v>8.2781363009775717</v>
      </c>
      <c r="C26">
        <v>7.7952835990480196E-3</v>
      </c>
      <c r="D26">
        <v>8.9799848283123734E-2</v>
      </c>
    </row>
    <row r="27" spans="1:9">
      <c r="A27">
        <v>3</v>
      </c>
      <c r="B27">
        <v>8.2781363009775717</v>
      </c>
      <c r="C27">
        <v>-4.2820843967010802E-3</v>
      </c>
      <c r="D27">
        <v>-4.9328613163765883E-2</v>
      </c>
    </row>
    <row r="28" spans="1:9">
      <c r="A28">
        <v>4</v>
      </c>
      <c r="B28">
        <v>8.2781363009775717</v>
      </c>
      <c r="C28">
        <v>-1.5420893851672446E-2</v>
      </c>
      <c r="D28">
        <v>-0.17764509920324847</v>
      </c>
    </row>
    <row r="29" spans="1:9">
      <c r="A29">
        <v>5</v>
      </c>
      <c r="B29">
        <v>8.2781363009775717</v>
      </c>
      <c r="C29">
        <v>-2.570642383723154E-2</v>
      </c>
      <c r="D29">
        <v>-0.29613200484033442</v>
      </c>
    </row>
    <row r="30" spans="1:9">
      <c r="A30">
        <v>6</v>
      </c>
      <c r="B30">
        <v>8.9044870310771067</v>
      </c>
      <c r="C30">
        <v>-8.873228316413595E-2</v>
      </c>
      <c r="D30">
        <v>-1.0221751992355574</v>
      </c>
    </row>
    <row r="31" spans="1:9">
      <c r="A31">
        <v>7</v>
      </c>
      <c r="B31">
        <v>8.9044870310771067</v>
      </c>
      <c r="C31">
        <v>-9.1948017472796906E-2</v>
      </c>
      <c r="D31">
        <v>-1.0592197081834878</v>
      </c>
    </row>
    <row r="32" spans="1:9">
      <c r="A32">
        <v>8</v>
      </c>
      <c r="B32">
        <v>8.9044870310771067</v>
      </c>
      <c r="C32">
        <v>-9.4250194930156184E-2</v>
      </c>
      <c r="D32">
        <v>-1.0857402553534379</v>
      </c>
    </row>
    <row r="33" spans="1:4">
      <c r="A33">
        <v>9</v>
      </c>
      <c r="B33">
        <v>8.9044870310771067</v>
      </c>
      <c r="C33">
        <v>-9.6174143133746171E-2</v>
      </c>
      <c r="D33">
        <v>-1.1079036897675583</v>
      </c>
    </row>
    <row r="34" spans="1:4">
      <c r="A34">
        <v>10</v>
      </c>
      <c r="B34">
        <v>8.9044870310771067</v>
      </c>
      <c r="C34">
        <v>-9.7898873865077007E-2</v>
      </c>
      <c r="D34">
        <v>-1.1277721853822225</v>
      </c>
    </row>
    <row r="35" spans="1:4">
      <c r="A35">
        <v>11</v>
      </c>
      <c r="B35">
        <v>9.5308377611766399</v>
      </c>
      <c r="C35">
        <v>-0.14824472435283909</v>
      </c>
      <c r="D35">
        <v>-1.7077446364214621</v>
      </c>
    </row>
    <row r="36" spans="1:4">
      <c r="A36">
        <v>12</v>
      </c>
      <c r="B36">
        <v>9.5308377611766399</v>
      </c>
      <c r="C36">
        <v>-0.15711141476110946</v>
      </c>
      <c r="D36">
        <v>-1.809886841168618</v>
      </c>
    </row>
    <row r="37" spans="1:4">
      <c r="A37">
        <v>13</v>
      </c>
      <c r="B37">
        <v>9.5308377611766399</v>
      </c>
      <c r="C37">
        <v>-0.16162514070910916</v>
      </c>
      <c r="D37">
        <v>-1.861883910957262</v>
      </c>
    </row>
    <row r="38" spans="1:4">
      <c r="A38">
        <v>14</v>
      </c>
      <c r="B38">
        <v>9.5308377611766399</v>
      </c>
      <c r="C38">
        <v>-0.16438040347881966</v>
      </c>
      <c r="D38">
        <v>-1.8936238952126594</v>
      </c>
    </row>
    <row r="39" spans="1:4">
      <c r="A39">
        <v>15</v>
      </c>
      <c r="B39">
        <v>9.5308377611766399</v>
      </c>
      <c r="C39">
        <v>-0.16625119532377042</v>
      </c>
      <c r="D39">
        <v>-1.9151749807775771</v>
      </c>
    </row>
    <row r="40" spans="1:4">
      <c r="A40">
        <v>16</v>
      </c>
      <c r="B40">
        <v>10.157188491276173</v>
      </c>
      <c r="C40">
        <v>-7.3264906320073209E-2</v>
      </c>
      <c r="D40">
        <v>-0.84399462680527915</v>
      </c>
    </row>
    <row r="41" spans="1:4">
      <c r="A41">
        <v>17</v>
      </c>
      <c r="B41">
        <v>10.157188491276173</v>
      </c>
      <c r="C41">
        <v>-0.10845898051137404</v>
      </c>
      <c r="D41">
        <v>-1.249422150087405</v>
      </c>
    </row>
    <row r="42" spans="1:4">
      <c r="A42">
        <v>18</v>
      </c>
      <c r="B42">
        <v>10.157188491276173</v>
      </c>
      <c r="C42">
        <v>-0.12669101992277376</v>
      </c>
      <c r="D42">
        <v>-1.4594509902485984</v>
      </c>
    </row>
    <row r="43" spans="1:4">
      <c r="A43">
        <v>19</v>
      </c>
      <c r="B43">
        <v>10.157188491276173</v>
      </c>
      <c r="C43">
        <v>-0.13785701934307326</v>
      </c>
      <c r="D43">
        <v>-1.58808069834476</v>
      </c>
    </row>
    <row r="44" spans="1:4">
      <c r="A44">
        <v>20</v>
      </c>
      <c r="B44">
        <v>10.157188491276173</v>
      </c>
      <c r="C44">
        <v>-0.14540257910127252</v>
      </c>
      <c r="D44">
        <v>-1.6750037862463067</v>
      </c>
    </row>
    <row r="45" spans="1:4">
      <c r="A45">
        <v>21</v>
      </c>
      <c r="B45">
        <v>10.783539221375708</v>
      </c>
      <c r="C45">
        <v>0.18607080259409159</v>
      </c>
      <c r="D45">
        <v>2.143492232265809</v>
      </c>
    </row>
    <row r="46" spans="1:4">
      <c r="A46">
        <v>22</v>
      </c>
      <c r="B46">
        <v>10.783539221375708</v>
      </c>
      <c r="C46">
        <v>0.10901075453509179</v>
      </c>
      <c r="D46">
        <v>1.2557784581019684</v>
      </c>
    </row>
    <row r="47" spans="1:4">
      <c r="A47">
        <v>23</v>
      </c>
      <c r="B47">
        <v>10.783539221375708</v>
      </c>
      <c r="C47">
        <v>6.5166409535391878E-2</v>
      </c>
      <c r="D47">
        <v>0.75070183336867324</v>
      </c>
    </row>
    <row r="48" spans="1:4">
      <c r="A48">
        <v>24</v>
      </c>
      <c r="B48">
        <v>10.783539221375708</v>
      </c>
      <c r="C48">
        <v>3.6758133816691796E-2</v>
      </c>
      <c r="D48">
        <v>0.42344512524378131</v>
      </c>
    </row>
    <row r="49" spans="1:4">
      <c r="A49">
        <v>25</v>
      </c>
      <c r="B49">
        <v>10.783539221375708</v>
      </c>
      <c r="C49">
        <v>1.6813273591392175E-2</v>
      </c>
      <c r="D49">
        <v>0.19368498893793323</v>
      </c>
    </row>
    <row r="50" spans="1:4">
      <c r="A50">
        <v>26</v>
      </c>
      <c r="B50">
        <v>8.2781363009775717</v>
      </c>
      <c r="C50">
        <v>2.5452275683427672E-2</v>
      </c>
      <c r="D50">
        <v>0.29320427740578536</v>
      </c>
    </row>
    <row r="51" spans="1:4">
      <c r="A51">
        <v>27</v>
      </c>
      <c r="B51">
        <v>8.2781363009775717</v>
      </c>
      <c r="C51">
        <v>1.4088719765188884E-2</v>
      </c>
      <c r="D51">
        <v>0.1622987645467977</v>
      </c>
    </row>
    <row r="52" spans="1:4">
      <c r="A52">
        <v>28</v>
      </c>
      <c r="B52">
        <v>8.2781363009775717</v>
      </c>
      <c r="C52">
        <v>3.5529462196883799E-3</v>
      </c>
      <c r="D52">
        <v>4.09291114854472E-2</v>
      </c>
    </row>
    <row r="53" spans="1:4">
      <c r="A53">
        <v>29</v>
      </c>
      <c r="B53">
        <v>8.2781363009775717</v>
      </c>
      <c r="C53">
        <v>-6.2862152850620134E-3</v>
      </c>
      <c r="D53">
        <v>-7.2415733398405235E-2</v>
      </c>
    </row>
    <row r="54" spans="1:4">
      <c r="A54">
        <v>30</v>
      </c>
      <c r="B54">
        <v>8.2781363009775717</v>
      </c>
      <c r="C54">
        <v>-1.5492700486770872E-2</v>
      </c>
      <c r="D54">
        <v>-0.17847229488582089</v>
      </c>
    </row>
    <row r="55" spans="1:4">
      <c r="A55">
        <v>31</v>
      </c>
      <c r="B55">
        <v>8.9044870310771067</v>
      </c>
      <c r="C55">
        <v>-8.8256327009776925E-2</v>
      </c>
      <c r="D55">
        <v>-1.0166922953863531</v>
      </c>
    </row>
    <row r="56" spans="1:4">
      <c r="A56">
        <v>32</v>
      </c>
      <c r="B56">
        <v>8.9044870310771067</v>
      </c>
      <c r="C56">
        <v>-9.1241526658697225E-2</v>
      </c>
      <c r="D56">
        <v>-1.0510810988418957</v>
      </c>
    </row>
    <row r="57" spans="1:4">
      <c r="A57">
        <v>33</v>
      </c>
      <c r="B57">
        <v>8.9044870310771067</v>
      </c>
      <c r="C57">
        <v>-9.3319341550175849E-2</v>
      </c>
      <c r="D57">
        <v>-1.0750170416006661</v>
      </c>
    </row>
    <row r="58" spans="1:4">
      <c r="A58">
        <v>34</v>
      </c>
      <c r="B58">
        <v>8.9044870310771067</v>
      </c>
      <c r="C58">
        <v>-9.5024999734286908E-2</v>
      </c>
      <c r="D58">
        <v>-1.0946658259213222</v>
      </c>
    </row>
    <row r="59" spans="1:4">
      <c r="A59">
        <v>35</v>
      </c>
      <c r="B59">
        <v>8.9044870310771067</v>
      </c>
      <c r="C59">
        <v>-9.6537411900676773E-2</v>
      </c>
      <c r="D59">
        <v>-1.112088461205553</v>
      </c>
    </row>
    <row r="60" spans="1:4">
      <c r="A60">
        <v>36</v>
      </c>
      <c r="B60">
        <v>9.5308377611766399</v>
      </c>
      <c r="C60">
        <v>-0.14821912176035035</v>
      </c>
      <c r="D60">
        <v>-1.7074497005295308</v>
      </c>
    </row>
    <row r="61" spans="1:4">
      <c r="A61">
        <v>37</v>
      </c>
      <c r="B61">
        <v>9.5308377611766399</v>
      </c>
      <c r="C61">
        <v>-0.15707157313399911</v>
      </c>
      <c r="D61">
        <v>-1.809427874920065</v>
      </c>
    </row>
    <row r="62" spans="1:4">
      <c r="A62">
        <v>38</v>
      </c>
      <c r="B62">
        <v>9.5308377611766399</v>
      </c>
      <c r="C62">
        <v>-0.1615711229315302</v>
      </c>
      <c r="D62">
        <v>-1.8612616387628578</v>
      </c>
    </row>
    <row r="63" spans="1:4">
      <c r="A63">
        <v>39</v>
      </c>
      <c r="B63">
        <v>9.5308377611766399</v>
      </c>
      <c r="C63">
        <v>-0.16431229740121012</v>
      </c>
      <c r="D63">
        <v>-1.8928393290889531</v>
      </c>
    </row>
    <row r="64" spans="1:4">
      <c r="A64">
        <v>40</v>
      </c>
      <c r="B64">
        <v>9.5308377611766399</v>
      </c>
      <c r="C64">
        <v>-0.1661690833361007</v>
      </c>
      <c r="D64">
        <v>-1.9142290698378048</v>
      </c>
    </row>
    <row r="65" spans="1:4">
      <c r="A65">
        <v>41</v>
      </c>
      <c r="B65">
        <v>10.157188491276173</v>
      </c>
      <c r="C65">
        <v>-7.3268120928773328E-2</v>
      </c>
      <c r="D65">
        <v>-0.8440316583474794</v>
      </c>
    </row>
    <row r="66" spans="1:4">
      <c r="A66">
        <v>42</v>
      </c>
      <c r="B66">
        <v>10.157188491276173</v>
      </c>
      <c r="C66">
        <v>-0.10846295270027362</v>
      </c>
      <c r="D66">
        <v>-1.2494679087767462</v>
      </c>
    </row>
    <row r="67" spans="1:4">
      <c r="A67">
        <v>43</v>
      </c>
      <c r="B67">
        <v>10.157188491276173</v>
      </c>
      <c r="C67">
        <v>-0.12669569855007268</v>
      </c>
      <c r="D67">
        <v>-1.459504886943475</v>
      </c>
    </row>
    <row r="68" spans="1:4">
      <c r="A68">
        <v>44</v>
      </c>
      <c r="B68">
        <v>10.157188491276173</v>
      </c>
      <c r="C68">
        <v>-0.13786238076807322</v>
      </c>
      <c r="D68">
        <v>-1.588142460709844</v>
      </c>
    </row>
    <row r="69" spans="1:4">
      <c r="A69">
        <v>45</v>
      </c>
      <c r="B69">
        <v>10.157188491276173</v>
      </c>
      <c r="C69">
        <v>-0.1454086117154727</v>
      </c>
      <c r="D69">
        <v>-1.6750732805543769</v>
      </c>
    </row>
    <row r="70" spans="1:4">
      <c r="A70">
        <v>46</v>
      </c>
      <c r="B70">
        <v>10.783539221375708</v>
      </c>
      <c r="C70">
        <v>0.18606972248929132</v>
      </c>
      <c r="D70">
        <v>2.1434797897105176</v>
      </c>
    </row>
    <row r="71" spans="1:4">
      <c r="A71">
        <v>47</v>
      </c>
      <c r="B71">
        <v>10.783539221375708</v>
      </c>
      <c r="C71">
        <v>0.10900929388379232</v>
      </c>
      <c r="D71">
        <v>1.2557616317397944</v>
      </c>
    </row>
    <row r="72" spans="1:4">
      <c r="A72">
        <v>48</v>
      </c>
      <c r="B72">
        <v>10.783539221375708</v>
      </c>
      <c r="C72">
        <v>6.5164593155991213E-2</v>
      </c>
      <c r="D72">
        <v>0.7506809091017711</v>
      </c>
    </row>
    <row r="73" spans="1:4">
      <c r="A73">
        <v>49</v>
      </c>
      <c r="B73">
        <v>10.783539221375708</v>
      </c>
      <c r="C73">
        <v>3.6755991047991543E-2</v>
      </c>
      <c r="D73">
        <v>0.42342044104830034</v>
      </c>
    </row>
    <row r="74" spans="1:4">
      <c r="A74">
        <v>50</v>
      </c>
      <c r="B74">
        <v>10.783539221375708</v>
      </c>
      <c r="C74">
        <v>1.6810813261891155E-2</v>
      </c>
      <c r="D74">
        <v>0.19365664651612</v>
      </c>
    </row>
    <row r="75" spans="1:4">
      <c r="A75">
        <v>51</v>
      </c>
      <c r="B75">
        <v>8.2781363009775717</v>
      </c>
      <c r="C75">
        <v>2.8725422743988815E-2</v>
      </c>
      <c r="D75">
        <v>0.33091016786019273</v>
      </c>
    </row>
    <row r="76" spans="1:4">
      <c r="A76">
        <v>52</v>
      </c>
      <c r="B76">
        <v>8.2781363009775717</v>
      </c>
      <c r="C76">
        <v>1.8729163419498818E-2</v>
      </c>
      <c r="D76">
        <v>0.21575559274664743</v>
      </c>
    </row>
    <row r="77" spans="1:4">
      <c r="A77">
        <v>53</v>
      </c>
      <c r="B77">
        <v>8.2781363009775717</v>
      </c>
      <c r="C77">
        <v>9.3951728314980443E-3</v>
      </c>
      <c r="D77">
        <v>0.10823019895841678</v>
      </c>
    </row>
    <row r="78" spans="1:4">
      <c r="A78">
        <v>54</v>
      </c>
      <c r="B78">
        <v>8.2781363009775717</v>
      </c>
      <c r="C78">
        <v>6.0362639990785283E-4</v>
      </c>
      <c r="D78">
        <v>6.9536352901943274E-3</v>
      </c>
    </row>
    <row r="79" spans="1:4">
      <c r="A79">
        <v>55</v>
      </c>
      <c r="B79">
        <v>8.2781363009775717</v>
      </c>
      <c r="C79">
        <v>-7.6982731482608813E-3</v>
      </c>
      <c r="D79">
        <v>-8.8682310524314495E-2</v>
      </c>
    </row>
    <row r="80" spans="1:4">
      <c r="A80">
        <v>56</v>
      </c>
      <c r="B80">
        <v>8.9044870310771067</v>
      </c>
      <c r="C80">
        <v>-8.79149398924568E-2</v>
      </c>
      <c r="D80">
        <v>-1.0127595954464941</v>
      </c>
    </row>
    <row r="81" spans="1:4">
      <c r="A81">
        <v>57</v>
      </c>
      <c r="B81">
        <v>8.9044870310771067</v>
      </c>
      <c r="C81">
        <v>-9.0733732174745896E-2</v>
      </c>
      <c r="D81">
        <v>-1.0452314248642349</v>
      </c>
    </row>
    <row r="82" spans="1:4">
      <c r="A82">
        <v>58</v>
      </c>
      <c r="B82">
        <v>8.9044870310771067</v>
      </c>
      <c r="C82">
        <v>-9.2648890212046808E-2</v>
      </c>
      <c r="D82">
        <v>-1.067293598613607</v>
      </c>
    </row>
    <row r="83" spans="1:4">
      <c r="A83">
        <v>59</v>
      </c>
      <c r="B83">
        <v>8.9044870310771067</v>
      </c>
      <c r="C83">
        <v>-9.419559173458758E-2</v>
      </c>
      <c r="D83">
        <v>-1.0851112392803814</v>
      </c>
    </row>
    <row r="84" spans="1:4">
      <c r="A84">
        <v>60</v>
      </c>
      <c r="B84">
        <v>8.9044870310771067</v>
      </c>
      <c r="C84">
        <v>-9.5552696088667233E-2</v>
      </c>
      <c r="D84">
        <v>-1.1007447648028656</v>
      </c>
    </row>
    <row r="85" spans="1:4">
      <c r="A85">
        <v>61</v>
      </c>
      <c r="B85">
        <v>9.5308377611766399</v>
      </c>
      <c r="C85">
        <v>-0.14820081491970072</v>
      </c>
      <c r="D85">
        <v>-1.7072388099965576</v>
      </c>
    </row>
    <row r="86" spans="1:4">
      <c r="A86">
        <v>62</v>
      </c>
      <c r="B86">
        <v>9.5308377611766399</v>
      </c>
      <c r="C86">
        <v>-0.1570430652590904</v>
      </c>
      <c r="D86">
        <v>-1.8090994708525092</v>
      </c>
    </row>
    <row r="87" spans="1:4">
      <c r="A87">
        <v>63</v>
      </c>
      <c r="B87">
        <v>9.5308377611766399</v>
      </c>
      <c r="C87">
        <v>-0.1615324576895496</v>
      </c>
      <c r="D87">
        <v>-1.860816224196528</v>
      </c>
    </row>
    <row r="88" spans="1:4">
      <c r="A88">
        <v>64</v>
      </c>
      <c r="B88">
        <v>9.5308377611766399</v>
      </c>
      <c r="C88">
        <v>-0.16426351894335944</v>
      </c>
      <c r="D88">
        <v>-1.8922774126353927</v>
      </c>
    </row>
    <row r="89" spans="1:4">
      <c r="A89">
        <v>65</v>
      </c>
      <c r="B89">
        <v>9.5308377611766399</v>
      </c>
      <c r="C89">
        <v>-0.16611024635145988</v>
      </c>
      <c r="D89">
        <v>-1.9135512815024545</v>
      </c>
    </row>
    <row r="90" spans="1:4">
      <c r="A90">
        <v>66</v>
      </c>
      <c r="B90">
        <v>10.157188491276173</v>
      </c>
      <c r="C90">
        <v>-7.3270414793173089E-2</v>
      </c>
      <c r="D90">
        <v>-0.84405808313016539</v>
      </c>
    </row>
    <row r="91" spans="1:4">
      <c r="A91">
        <v>67</v>
      </c>
      <c r="B91">
        <v>10.157188491276173</v>
      </c>
      <c r="C91">
        <v>-0.10846578947827368</v>
      </c>
      <c r="D91">
        <v>-1.2495005877974361</v>
      </c>
    </row>
    <row r="92" spans="1:4">
      <c r="A92">
        <v>68</v>
      </c>
      <c r="B92">
        <v>10.157188491276173</v>
      </c>
      <c r="C92">
        <v>-0.12669903906387248</v>
      </c>
      <c r="D92">
        <v>-1.4595433688830477</v>
      </c>
    </row>
    <row r="93" spans="1:4">
      <c r="A93">
        <v>69</v>
      </c>
      <c r="B93">
        <v>10.157188491276173</v>
      </c>
      <c r="C93">
        <v>-0.13786621025587387</v>
      </c>
      <c r="D93">
        <v>-1.58818657551582</v>
      </c>
    </row>
    <row r="94" spans="1:4">
      <c r="A94">
        <v>70</v>
      </c>
      <c r="B94">
        <v>10.157188491276173</v>
      </c>
      <c r="C94">
        <v>-0.14541291988657257</v>
      </c>
      <c r="D94">
        <v>-1.6751229096802747</v>
      </c>
    </row>
    <row r="95" spans="1:4">
      <c r="A95">
        <v>71</v>
      </c>
      <c r="B95">
        <v>10.783539221375708</v>
      </c>
      <c r="C95">
        <v>0.18606895690829184</v>
      </c>
      <c r="D95">
        <v>2.1434709703960273</v>
      </c>
    </row>
    <row r="96" spans="1:4">
      <c r="A96">
        <v>72</v>
      </c>
      <c r="B96">
        <v>10.783539221375708</v>
      </c>
      <c r="C96">
        <v>0.10900824916589258</v>
      </c>
      <c r="D96">
        <v>1.2557495968333405</v>
      </c>
    </row>
    <row r="97" spans="1:4">
      <c r="A97">
        <v>73</v>
      </c>
      <c r="B97">
        <v>10.783539221375708</v>
      </c>
      <c r="C97">
        <v>6.5163297360792072E-2</v>
      </c>
      <c r="D97">
        <v>0.75066598184340905</v>
      </c>
    </row>
    <row r="98" spans="1:4">
      <c r="A98">
        <v>74</v>
      </c>
      <c r="B98">
        <v>10.783539221375708</v>
      </c>
      <c r="C98">
        <v>3.6754459450991206E-2</v>
      </c>
      <c r="D98">
        <v>0.42340279740820519</v>
      </c>
    </row>
    <row r="99" spans="1:4">
      <c r="A99">
        <v>75</v>
      </c>
      <c r="B99">
        <v>10.783539221375708</v>
      </c>
      <c r="C99">
        <v>1.6809058602392568E-2</v>
      </c>
      <c r="D99">
        <v>0.19363643324808946</v>
      </c>
    </row>
    <row r="100" spans="1:4">
      <c r="A100">
        <v>76</v>
      </c>
      <c r="B100">
        <v>8.2781363009775717</v>
      </c>
      <c r="C100">
        <v>3.121770927524814E-2</v>
      </c>
      <c r="D100">
        <v>0.3596207272056528</v>
      </c>
    </row>
    <row r="101" spans="1:4">
      <c r="A101">
        <v>77</v>
      </c>
      <c r="B101">
        <v>8.2781363009775717</v>
      </c>
      <c r="C101">
        <v>2.2290524633458375E-2</v>
      </c>
      <c r="D101">
        <v>0.25678164300273121</v>
      </c>
    </row>
    <row r="102" spans="1:4">
      <c r="A102">
        <v>78</v>
      </c>
      <c r="B102">
        <v>8.2781363009775717</v>
      </c>
      <c r="C102">
        <v>1.3915187604498058E-2</v>
      </c>
      <c r="D102">
        <v>0.16029971454376998</v>
      </c>
    </row>
    <row r="103" spans="1:4">
      <c r="A103">
        <v>79</v>
      </c>
      <c r="B103">
        <v>8.2781363009775717</v>
      </c>
      <c r="C103">
        <v>5.9782675266379925E-3</v>
      </c>
      <c r="D103">
        <v>6.8868247071033867E-2</v>
      </c>
    </row>
    <row r="104" spans="1:4">
      <c r="A104">
        <v>80</v>
      </c>
      <c r="B104">
        <v>8.2781363009775717</v>
      </c>
      <c r="C104">
        <v>-1.5666940485417058E-3</v>
      </c>
      <c r="D104">
        <v>-1.8047949901694321E-2</v>
      </c>
    </row>
    <row r="105" spans="1:4">
      <c r="A105">
        <v>81</v>
      </c>
      <c r="B105">
        <v>8.9044870310771067</v>
      </c>
      <c r="C105">
        <v>-8.76581213280474E-2</v>
      </c>
      <c r="D105">
        <v>-1.0098011055048235</v>
      </c>
    </row>
    <row r="106" spans="1:4">
      <c r="A106">
        <v>82</v>
      </c>
      <c r="B106">
        <v>8.9044870310771067</v>
      </c>
      <c r="C106">
        <v>-9.0351151353226911E-2</v>
      </c>
      <c r="D106">
        <v>-1.0408241830632268</v>
      </c>
    </row>
    <row r="107" spans="1:4">
      <c r="A107">
        <v>83</v>
      </c>
      <c r="B107">
        <v>8.9044870310771067</v>
      </c>
      <c r="C107">
        <v>-9.2142994751496232E-2</v>
      </c>
      <c r="D107">
        <v>-1.0614658009424471</v>
      </c>
    </row>
    <row r="108" spans="1:4">
      <c r="A108">
        <v>84</v>
      </c>
      <c r="B108">
        <v>8.9044870310771067</v>
      </c>
      <c r="C108">
        <v>-9.356880162168757E-2</v>
      </c>
      <c r="D108">
        <v>-1.0778907634210224</v>
      </c>
    </row>
    <row r="109" spans="1:4">
      <c r="A109">
        <v>85</v>
      </c>
      <c r="B109">
        <v>8.9044870310771067</v>
      </c>
      <c r="C109">
        <v>-9.4807402288266118E-2</v>
      </c>
      <c r="D109">
        <v>-1.0921591541125057</v>
      </c>
    </row>
    <row r="110" spans="1:4">
      <c r="A110">
        <v>86</v>
      </c>
      <c r="B110">
        <v>9.5308377611766399</v>
      </c>
      <c r="C110">
        <v>-0.14818707233509976</v>
      </c>
      <c r="D110">
        <v>-1.7070804986283432</v>
      </c>
    </row>
    <row r="111" spans="1:4">
      <c r="A111">
        <v>87</v>
      </c>
      <c r="B111">
        <v>9.5308377611766399</v>
      </c>
      <c r="C111">
        <v>-0.15702166225043968</v>
      </c>
      <c r="D111">
        <v>-1.8088529131865545</v>
      </c>
    </row>
    <row r="112" spans="1:4">
      <c r="A112">
        <v>88</v>
      </c>
      <c r="B112">
        <v>9.5308377611766399</v>
      </c>
      <c r="C112">
        <v>-0.16150341537846913</v>
      </c>
      <c r="D112">
        <v>-1.8604816635489672</v>
      </c>
    </row>
    <row r="113" spans="1:4">
      <c r="A113">
        <v>89</v>
      </c>
      <c r="B113">
        <v>9.5308377611766399</v>
      </c>
      <c r="C113">
        <v>-0.16422686609915083</v>
      </c>
      <c r="D113">
        <v>-1.891855180421868</v>
      </c>
    </row>
    <row r="114" spans="1:4">
      <c r="A114">
        <v>90</v>
      </c>
      <c r="B114">
        <v>9.5308377611766399</v>
      </c>
      <c r="C114">
        <v>-0.16606601572389934</v>
      </c>
      <c r="D114">
        <v>-1.913041754992747</v>
      </c>
    </row>
    <row r="115" spans="1:4">
      <c r="A115">
        <v>91</v>
      </c>
      <c r="B115">
        <v>10.157188491276173</v>
      </c>
      <c r="C115">
        <v>-7.3272136878673066E-2</v>
      </c>
      <c r="D115">
        <v>-0.84407792115333202</v>
      </c>
    </row>
    <row r="116" spans="1:4">
      <c r="A116">
        <v>92</v>
      </c>
      <c r="B116">
        <v>10.157188491276173</v>
      </c>
      <c r="C116">
        <v>-0.10846791704837244</v>
      </c>
      <c r="D116">
        <v>-1.2495250969085741</v>
      </c>
    </row>
    <row r="117" spans="1:4">
      <c r="A117">
        <v>93</v>
      </c>
      <c r="B117">
        <v>10.157188491276173</v>
      </c>
      <c r="C117">
        <v>-0.12670154508747267</v>
      </c>
      <c r="D117">
        <v>-1.459572237690222</v>
      </c>
    </row>
    <row r="118" spans="1:4">
      <c r="A118">
        <v>94</v>
      </c>
      <c r="B118">
        <v>10.157188491276173</v>
      </c>
      <c r="C118">
        <v>-0.13786908171497281</v>
      </c>
      <c r="D118">
        <v>-1.5882196540546774</v>
      </c>
    </row>
    <row r="119" spans="1:4">
      <c r="A119">
        <v>95</v>
      </c>
      <c r="B119">
        <v>10.157188491276173</v>
      </c>
      <c r="C119">
        <v>-0.14541614972777239</v>
      </c>
      <c r="D119">
        <v>-1.6751601166973173</v>
      </c>
    </row>
    <row r="120" spans="1:4">
      <c r="A120">
        <v>96</v>
      </c>
      <c r="B120">
        <v>10.783539221375708</v>
      </c>
      <c r="C120">
        <v>0.18606837207759241</v>
      </c>
      <c r="D120">
        <v>2.1434642332828213</v>
      </c>
    </row>
    <row r="121" spans="1:4">
      <c r="A121">
        <v>97</v>
      </c>
      <c r="B121">
        <v>10.783539221375708</v>
      </c>
      <c r="C121">
        <v>0.10900745986529259</v>
      </c>
      <c r="D121">
        <v>1.2557405042745864</v>
      </c>
    </row>
    <row r="122" spans="1:4">
      <c r="A122">
        <v>98</v>
      </c>
      <c r="B122">
        <v>10.783539221375708</v>
      </c>
      <c r="C122">
        <v>6.5162325905991025E-2</v>
      </c>
      <c r="D122">
        <v>0.7506547909107586</v>
      </c>
    </row>
    <row r="123" spans="1:4">
      <c r="A123">
        <v>99</v>
      </c>
      <c r="B123">
        <v>10.783539221375708</v>
      </c>
      <c r="C123">
        <v>3.6753312482291634E-2</v>
      </c>
      <c r="D123">
        <v>0.42338958459639425</v>
      </c>
    </row>
    <row r="124" spans="1:4">
      <c r="A124">
        <v>100</v>
      </c>
      <c r="B124">
        <v>10.783539221375708</v>
      </c>
      <c r="C124">
        <v>1.680773991309259E-2</v>
      </c>
      <c r="D124">
        <v>0.1936212422550273</v>
      </c>
    </row>
    <row r="125" spans="1:4">
      <c r="A125">
        <v>101</v>
      </c>
      <c r="B125">
        <v>8.2781363009775717</v>
      </c>
      <c r="C125">
        <v>5.6885095044918899E-2</v>
      </c>
      <c r="D125">
        <v>0.65530302261596052</v>
      </c>
    </row>
    <row r="126" spans="1:4">
      <c r="A126">
        <v>102</v>
      </c>
      <c r="B126">
        <v>8.2781363009775717</v>
      </c>
      <c r="C126">
        <v>5.7374334058538423E-2</v>
      </c>
      <c r="D126">
        <v>0.66093894190471913</v>
      </c>
    </row>
    <row r="127" spans="1:4">
      <c r="A127">
        <v>103</v>
      </c>
      <c r="B127">
        <v>8.2781363009775717</v>
      </c>
      <c r="C127">
        <v>5.7551142309828052E-2</v>
      </c>
      <c r="D127">
        <v>0.66297573170707502</v>
      </c>
    </row>
    <row r="128" spans="1:4">
      <c r="A128">
        <v>104</v>
      </c>
      <c r="B128">
        <v>8.2781363009775717</v>
      </c>
      <c r="C128">
        <v>5.763436829734836E-2</v>
      </c>
      <c r="D128">
        <v>0.66393447566521013</v>
      </c>
    </row>
    <row r="129" spans="1:4">
      <c r="A129">
        <v>105</v>
      </c>
      <c r="B129">
        <v>8.2781363009775717</v>
      </c>
      <c r="C129">
        <v>5.7680040516167708E-2</v>
      </c>
      <c r="D129">
        <v>0.66446060896987036</v>
      </c>
    </row>
    <row r="130" spans="1:4">
      <c r="A130">
        <v>106</v>
      </c>
      <c r="B130">
        <v>8.9044870310771067</v>
      </c>
      <c r="C130">
        <v>-1.4100919511067289E-2</v>
      </c>
      <c r="D130">
        <v>-0.16243930277289986</v>
      </c>
    </row>
    <row r="131" spans="1:4">
      <c r="A131">
        <v>107</v>
      </c>
      <c r="B131">
        <v>8.9044870310771067</v>
      </c>
      <c r="C131">
        <v>-4.8896330562975265E-3</v>
      </c>
      <c r="D131">
        <v>-5.6327431970440059E-2</v>
      </c>
    </row>
    <row r="132" spans="1:4">
      <c r="A132">
        <v>108</v>
      </c>
      <c r="B132">
        <v>8.9044870310771067</v>
      </c>
      <c r="C132">
        <v>-8.962158662466635E-4</v>
      </c>
      <c r="D132">
        <v>-1.0324197676105989E-2</v>
      </c>
    </row>
    <row r="133" spans="1:4">
      <c r="A133">
        <v>109</v>
      </c>
      <c r="B133">
        <v>8.9044870310771067</v>
      </c>
      <c r="C133">
        <v>1.1798719215132536E-3</v>
      </c>
      <c r="D133">
        <v>1.3591849250788901E-2</v>
      </c>
    </row>
    <row r="134" spans="1:4">
      <c r="A134">
        <v>110</v>
      </c>
      <c r="B134">
        <v>8.9044870310771067</v>
      </c>
      <c r="C134">
        <v>2.3934254014026379E-3</v>
      </c>
      <c r="D134">
        <v>2.7571702195565935E-2</v>
      </c>
    </row>
    <row r="135" spans="1:4">
      <c r="A135">
        <v>111</v>
      </c>
      <c r="B135">
        <v>9.5308377611766399</v>
      </c>
      <c r="C135">
        <v>-0.10735893583295031</v>
      </c>
      <c r="D135">
        <v>-1.236749892051896</v>
      </c>
    </row>
    <row r="136" spans="1:4">
      <c r="A136">
        <v>112</v>
      </c>
      <c r="B136">
        <v>9.5308377611766399</v>
      </c>
      <c r="C136">
        <v>-8.9948679207870086E-2</v>
      </c>
      <c r="D136">
        <v>-1.0361877978526053</v>
      </c>
    </row>
    <row r="137" spans="1:4">
      <c r="A137">
        <v>113</v>
      </c>
      <c r="B137">
        <v>9.5308377611766399</v>
      </c>
      <c r="C137">
        <v>-7.4876121818940433E-2</v>
      </c>
      <c r="D137">
        <v>-0.86255545342707951</v>
      </c>
    </row>
    <row r="138" spans="1:4">
      <c r="A138">
        <v>114</v>
      </c>
      <c r="B138">
        <v>9.5308377611766399</v>
      </c>
      <c r="C138">
        <v>-6.3185905166340817E-2</v>
      </c>
      <c r="D138">
        <v>-0.72788688512399768</v>
      </c>
    </row>
    <row r="139" spans="1:4">
      <c r="A139">
        <v>115</v>
      </c>
      <c r="B139">
        <v>9.5308377611766399</v>
      </c>
      <c r="C139">
        <v>-5.4242014028419661E-2</v>
      </c>
      <c r="D139">
        <v>-0.62485534598356429</v>
      </c>
    </row>
    <row r="140" spans="1:4">
      <c r="A140">
        <v>116</v>
      </c>
      <c r="B140">
        <v>10.157188491276173</v>
      </c>
      <c r="C140">
        <v>-5.0879548167573674E-2</v>
      </c>
      <c r="D140">
        <v>-0.58612052378953561</v>
      </c>
    </row>
    <row r="141" spans="1:4">
      <c r="A141">
        <v>117</v>
      </c>
      <c r="B141">
        <v>10.157188491276173</v>
      </c>
      <c r="C141">
        <v>-7.8707978896172648E-2</v>
      </c>
      <c r="D141">
        <v>-0.90669755291658227</v>
      </c>
    </row>
    <row r="142" spans="1:4">
      <c r="A142">
        <v>118</v>
      </c>
      <c r="B142">
        <v>10.157188491276173</v>
      </c>
      <c r="C142">
        <v>-8.9655667327573241E-2</v>
      </c>
      <c r="D142">
        <v>-1.0328123693564539</v>
      </c>
    </row>
    <row r="143" spans="1:4">
      <c r="A143">
        <v>119</v>
      </c>
      <c r="B143">
        <v>10.157188491276173</v>
      </c>
      <c r="C143">
        <v>-9.3699155628772957E-2</v>
      </c>
      <c r="D143">
        <v>-1.0793924111687445</v>
      </c>
    </row>
    <row r="144" spans="1:4">
      <c r="A144">
        <v>120</v>
      </c>
      <c r="B144">
        <v>10.157188491276173</v>
      </c>
      <c r="C144">
        <v>-9.4365606784773348E-2</v>
      </c>
      <c r="D144">
        <v>-1.0870697729909951</v>
      </c>
    </row>
    <row r="145" spans="1:4">
      <c r="A145">
        <v>121</v>
      </c>
      <c r="B145">
        <v>10.783539221375708</v>
      </c>
      <c r="C145">
        <v>0.19246801702699123</v>
      </c>
      <c r="D145">
        <v>2.2171866499492343</v>
      </c>
    </row>
    <row r="146" spans="1:4">
      <c r="A146">
        <v>122</v>
      </c>
      <c r="B146">
        <v>10.783539221375708</v>
      </c>
      <c r="C146">
        <v>0.11765970176679197</v>
      </c>
      <c r="D146">
        <v>1.3554123122583801</v>
      </c>
    </row>
    <row r="147" spans="1:4">
      <c r="A147">
        <v>123</v>
      </c>
      <c r="B147">
        <v>10.783539221375708</v>
      </c>
      <c r="C147">
        <v>7.5825007779691589E-2</v>
      </c>
      <c r="D147">
        <v>0.87348639830301023</v>
      </c>
    </row>
    <row r="148" spans="1:4">
      <c r="A148">
        <v>124</v>
      </c>
      <c r="B148">
        <v>10.783539221375708</v>
      </c>
      <c r="C148">
        <v>4.9279716642891103E-2</v>
      </c>
      <c r="D148">
        <v>0.56769083789425945</v>
      </c>
    </row>
    <row r="149" spans="1:4">
      <c r="A149">
        <v>125</v>
      </c>
      <c r="B149">
        <v>10.783539221375708</v>
      </c>
      <c r="C149">
        <v>3.1097457184991129E-2</v>
      </c>
      <c r="D149">
        <v>0.35823545118283734</v>
      </c>
    </row>
    <row r="150" spans="1:4">
      <c r="A150">
        <v>126</v>
      </c>
      <c r="B150">
        <v>8.2781363009775717</v>
      </c>
      <c r="C150">
        <v>4.9603917093788752E-2</v>
      </c>
      <c r="D150">
        <v>0.57142555144688556</v>
      </c>
    </row>
    <row r="151" spans="1:4">
      <c r="A151">
        <v>127</v>
      </c>
      <c r="B151">
        <v>8.2781363009775717</v>
      </c>
      <c r="C151">
        <v>5.0301103926548407E-2</v>
      </c>
      <c r="D151">
        <v>0.5794569810942245</v>
      </c>
    </row>
    <row r="152" spans="1:4">
      <c r="A152">
        <v>128</v>
      </c>
      <c r="B152">
        <v>8.2781363009775717</v>
      </c>
      <c r="C152">
        <v>5.0554707014077493E-2</v>
      </c>
      <c r="D152">
        <v>0.58237842949246166</v>
      </c>
    </row>
    <row r="153" spans="1:4">
      <c r="A153">
        <v>129</v>
      </c>
      <c r="B153">
        <v>8.2781363009775717</v>
      </c>
      <c r="C153">
        <v>5.0674475054368173E-2</v>
      </c>
      <c r="D153">
        <v>0.58375812937260252</v>
      </c>
    </row>
    <row r="154" spans="1:4">
      <c r="A154">
        <v>130</v>
      </c>
      <c r="B154">
        <v>8.2781363009775717</v>
      </c>
      <c r="C154">
        <v>5.0740354037138502E-2</v>
      </c>
      <c r="D154">
        <v>0.58451703988338166</v>
      </c>
    </row>
    <row r="155" spans="1:4">
      <c r="A155">
        <v>131</v>
      </c>
      <c r="B155">
        <v>8.9044870310771067</v>
      </c>
      <c r="C155">
        <v>-2.6306209337157327E-2</v>
      </c>
      <c r="D155">
        <v>-0.3030413938588854</v>
      </c>
    </row>
    <row r="156" spans="1:4">
      <c r="A156">
        <v>132</v>
      </c>
      <c r="B156">
        <v>8.9044870310771067</v>
      </c>
      <c r="C156">
        <v>-1.4580165990256688E-2</v>
      </c>
      <c r="D156">
        <v>-0.16796011039645892</v>
      </c>
    </row>
    <row r="157" spans="1:4">
      <c r="A157">
        <v>133</v>
      </c>
      <c r="B157">
        <v>8.9044870310771067</v>
      </c>
      <c r="C157">
        <v>-9.3069762918069898E-3</v>
      </c>
      <c r="D157">
        <v>-0.10721419539899267</v>
      </c>
    </row>
    <row r="158" spans="1:4">
      <c r="A158">
        <v>134</v>
      </c>
      <c r="B158">
        <v>8.9044870310771067</v>
      </c>
      <c r="C158">
        <v>-6.5082060634065186E-3</v>
      </c>
      <c r="D158">
        <v>-7.4973015370548429E-2</v>
      </c>
    </row>
    <row r="159" spans="1:4">
      <c r="A159">
        <v>135</v>
      </c>
      <c r="B159">
        <v>8.9044870310771067</v>
      </c>
      <c r="C159">
        <v>-4.8502032526460681E-3</v>
      </c>
      <c r="D159">
        <v>-5.5873209832047722E-2</v>
      </c>
    </row>
    <row r="160" spans="1:4">
      <c r="A160">
        <v>136</v>
      </c>
      <c r="B160">
        <v>9.5308377611766399</v>
      </c>
      <c r="C160">
        <v>-0.12083932465069935</v>
      </c>
      <c r="D160">
        <v>-1.3920408260185853</v>
      </c>
    </row>
    <row r="161" spans="1:4">
      <c r="A161">
        <v>137</v>
      </c>
      <c r="B161">
        <v>9.5308377611766399</v>
      </c>
      <c r="C161">
        <v>-0.10568144656948064</v>
      </c>
      <c r="D161">
        <v>-1.21742560712472</v>
      </c>
    </row>
    <row r="162" spans="1:4">
      <c r="A162">
        <v>138</v>
      </c>
      <c r="B162">
        <v>9.5308377611766399</v>
      </c>
      <c r="C162">
        <v>-9.086835078561073E-2</v>
      </c>
      <c r="D162">
        <v>-1.0467821998524887</v>
      </c>
    </row>
    <row r="163" spans="1:4">
      <c r="A163">
        <v>139</v>
      </c>
      <c r="B163">
        <v>9.5308377611766399</v>
      </c>
      <c r="C163">
        <v>-7.8624343519269502E-2</v>
      </c>
      <c r="D163">
        <v>-0.90573409288827478</v>
      </c>
    </row>
    <row r="164" spans="1:4">
      <c r="A164">
        <v>140</v>
      </c>
      <c r="B164">
        <v>9.5308377611766399</v>
      </c>
      <c r="C164">
        <v>-6.8843868816449216E-2</v>
      </c>
      <c r="D164">
        <v>-0.7930653062699855</v>
      </c>
    </row>
    <row r="165" spans="1:4">
      <c r="A165">
        <v>141</v>
      </c>
      <c r="B165">
        <v>10.157188491276173</v>
      </c>
      <c r="C165">
        <v>-5.4920812854273748E-2</v>
      </c>
      <c r="D165">
        <v>-0.63267495008159913</v>
      </c>
    </row>
    <row r="166" spans="1:4">
      <c r="A166">
        <v>142</v>
      </c>
      <c r="B166">
        <v>10.157188491276173</v>
      </c>
      <c r="C166">
        <v>-8.4146519109173923E-2</v>
      </c>
      <c r="D166">
        <v>-0.96934826726247525</v>
      </c>
    </row>
    <row r="167" spans="1:4">
      <c r="A167">
        <v>143</v>
      </c>
      <c r="B167">
        <v>10.157188491276173</v>
      </c>
      <c r="C167">
        <v>-9.6394211770073568E-2</v>
      </c>
      <c r="D167">
        <v>-1.1104388291121341</v>
      </c>
    </row>
    <row r="168" spans="1:4">
      <c r="A168">
        <v>144</v>
      </c>
      <c r="B168">
        <v>10.157188491276173</v>
      </c>
      <c r="C168">
        <v>-0.10160970705197236</v>
      </c>
      <c r="D168">
        <v>-1.1705201178920646</v>
      </c>
    </row>
    <row r="169" spans="1:4">
      <c r="A169">
        <v>145</v>
      </c>
      <c r="B169">
        <v>10.157188491276173</v>
      </c>
      <c r="C169">
        <v>-0.10330699435257351</v>
      </c>
      <c r="D169">
        <v>-1.190072471587762</v>
      </c>
    </row>
    <row r="170" spans="1:4">
      <c r="A170">
        <v>146</v>
      </c>
      <c r="B170">
        <v>10.783539221375708</v>
      </c>
      <c r="C170">
        <v>0.19140911117729154</v>
      </c>
      <c r="D170">
        <v>2.2049883016222074</v>
      </c>
    </row>
    <row r="171" spans="1:4">
      <c r="A171">
        <v>147</v>
      </c>
      <c r="B171">
        <v>10.783539221375708</v>
      </c>
      <c r="C171">
        <v>0.11623405186599101</v>
      </c>
      <c r="D171">
        <v>1.3389891580305582</v>
      </c>
    </row>
    <row r="172" spans="1:4">
      <c r="A172">
        <v>148</v>
      </c>
      <c r="B172">
        <v>10.783539221375708</v>
      </c>
      <c r="C172">
        <v>7.4076092084592204E-2</v>
      </c>
      <c r="D172">
        <v>0.85333929754851312</v>
      </c>
    </row>
    <row r="173" spans="1:4">
      <c r="A173">
        <v>149</v>
      </c>
      <c r="B173">
        <v>10.783539221375708</v>
      </c>
      <c r="C173">
        <v>4.7235103194791961E-2</v>
      </c>
      <c r="D173">
        <v>0.54413736801673507</v>
      </c>
    </row>
    <row r="174" spans="1:4">
      <c r="A174">
        <v>150</v>
      </c>
      <c r="B174">
        <v>10.783539221375708</v>
      </c>
      <c r="C174">
        <v>2.8776962196692679E-2</v>
      </c>
      <c r="D174">
        <v>0.33150389033027289</v>
      </c>
    </row>
    <row r="175" spans="1:4">
      <c r="A175">
        <v>151</v>
      </c>
      <c r="B175">
        <v>8.2781363009775717</v>
      </c>
      <c r="C175">
        <v>4.4191331085867702E-2</v>
      </c>
      <c r="D175">
        <v>0.5090738234879405</v>
      </c>
    </row>
    <row r="176" spans="1:4">
      <c r="A176">
        <v>152</v>
      </c>
      <c r="B176">
        <v>8.2781363009775717</v>
      </c>
      <c r="C176">
        <v>4.5127522302728096E-2</v>
      </c>
      <c r="D176">
        <v>0.51985852787615838</v>
      </c>
    </row>
    <row r="177" spans="1:4">
      <c r="A177">
        <v>153</v>
      </c>
      <c r="B177">
        <v>8.2781363009775717</v>
      </c>
      <c r="C177">
        <v>4.5470296332357663E-2</v>
      </c>
      <c r="D177">
        <v>0.52380720472223097</v>
      </c>
    </row>
    <row r="178" spans="1:4">
      <c r="A178">
        <v>154</v>
      </c>
      <c r="B178">
        <v>8.2781363009775717</v>
      </c>
      <c r="C178">
        <v>4.5632719742577876E-2</v>
      </c>
      <c r="D178">
        <v>0.52567828451170573</v>
      </c>
    </row>
    <row r="179" spans="1:4">
      <c r="A179">
        <v>155</v>
      </c>
      <c r="B179">
        <v>8.2781363009775717</v>
      </c>
      <c r="C179">
        <v>4.5722260005307547E-2</v>
      </c>
      <c r="D179">
        <v>0.52670976744702025</v>
      </c>
    </row>
    <row r="180" spans="1:4">
      <c r="A180">
        <v>156</v>
      </c>
      <c r="B180">
        <v>8.9044870310771067</v>
      </c>
      <c r="C180">
        <v>-3.6956074403686756E-2</v>
      </c>
      <c r="D180">
        <v>-0.42572535462291394</v>
      </c>
    </row>
    <row r="181" spans="1:4">
      <c r="A181">
        <v>157</v>
      </c>
      <c r="B181">
        <v>8.9044870310771067</v>
      </c>
      <c r="C181">
        <v>-2.2843696265777425E-2</v>
      </c>
      <c r="D181">
        <v>-0.26315405114229456</v>
      </c>
    </row>
    <row r="182" spans="1:4">
      <c r="A182">
        <v>158</v>
      </c>
      <c r="B182">
        <v>8.9044870310771067</v>
      </c>
      <c r="C182">
        <v>-1.6270646997977423E-2</v>
      </c>
      <c r="D182">
        <v>-0.18743405718620279</v>
      </c>
    </row>
    <row r="183" spans="1:4">
      <c r="A183">
        <v>159</v>
      </c>
      <c r="B183">
        <v>8.9044870310771067</v>
      </c>
      <c r="C183">
        <v>-1.2711232769497371E-2</v>
      </c>
      <c r="D183">
        <v>-0.14643043574857667</v>
      </c>
    </row>
    <row r="184" spans="1:4">
      <c r="A184">
        <v>160</v>
      </c>
      <c r="B184">
        <v>8.9044870310771067</v>
      </c>
      <c r="C184">
        <v>-1.0574939863536414E-2</v>
      </c>
      <c r="D184">
        <v>-0.1218208399069276</v>
      </c>
    </row>
    <row r="185" spans="1:4">
      <c r="A185">
        <v>161</v>
      </c>
      <c r="B185">
        <v>9.5308377611766399</v>
      </c>
      <c r="C185">
        <v>-0.13058890198458073</v>
      </c>
      <c r="D185">
        <v>-1.5043536821556025</v>
      </c>
    </row>
    <row r="186" spans="1:4">
      <c r="A186">
        <v>162</v>
      </c>
      <c r="B186">
        <v>9.5308377611766399</v>
      </c>
      <c r="C186">
        <v>-0.11792077290427017</v>
      </c>
      <c r="D186">
        <v>-1.3584197908496025</v>
      </c>
    </row>
    <row r="187" spans="1:4">
      <c r="A187">
        <v>163</v>
      </c>
      <c r="B187">
        <v>9.5308377611766399</v>
      </c>
      <c r="C187">
        <v>-0.10388130398041007</v>
      </c>
      <c r="D187">
        <v>-1.1966883845038179</v>
      </c>
    </row>
    <row r="188" spans="1:4">
      <c r="A188">
        <v>164</v>
      </c>
      <c r="B188">
        <v>9.5308377611766399</v>
      </c>
      <c r="C188">
        <v>-9.1561537874159882E-2</v>
      </c>
      <c r="D188">
        <v>-1.0547675533797336</v>
      </c>
    </row>
    <row r="189" spans="1:4">
      <c r="A189">
        <v>165</v>
      </c>
      <c r="B189">
        <v>9.5308377611766399</v>
      </c>
      <c r="C189">
        <v>-8.1322190346979184E-2</v>
      </c>
      <c r="D189">
        <v>-0.93681265888798027</v>
      </c>
    </row>
    <row r="190" spans="1:4">
      <c r="A190">
        <v>166</v>
      </c>
      <c r="B190">
        <v>10.157188491276173</v>
      </c>
      <c r="C190">
        <v>-5.7754623258672311E-2</v>
      </c>
      <c r="D190">
        <v>-0.6653197847620469</v>
      </c>
    </row>
    <row r="191" spans="1:4">
      <c r="A191">
        <v>167</v>
      </c>
      <c r="B191">
        <v>10.157188491276173</v>
      </c>
      <c r="C191">
        <v>-8.7971247603173097E-2</v>
      </c>
      <c r="D191">
        <v>-1.0134082471363584</v>
      </c>
    </row>
    <row r="192" spans="1:4">
      <c r="A192">
        <v>168</v>
      </c>
      <c r="B192">
        <v>10.157188491276173</v>
      </c>
      <c r="C192">
        <v>-0.10117136616497291</v>
      </c>
      <c r="D192">
        <v>-1.1654705331465336</v>
      </c>
    </row>
    <row r="193" spans="1:4">
      <c r="A193">
        <v>169</v>
      </c>
      <c r="B193">
        <v>10.157188491276173</v>
      </c>
      <c r="C193">
        <v>-0.10727689508527405</v>
      </c>
      <c r="D193">
        <v>-1.2358048017802268</v>
      </c>
    </row>
    <row r="194" spans="1:4">
      <c r="A194">
        <v>170</v>
      </c>
      <c r="B194">
        <v>10.157188491276173</v>
      </c>
      <c r="C194">
        <v>-0.10978686330577325</v>
      </c>
      <c r="D194">
        <v>-1.2647190500602787</v>
      </c>
    </row>
    <row r="195" spans="1:4">
      <c r="A195">
        <v>171</v>
      </c>
      <c r="B195">
        <v>10.783539221375708</v>
      </c>
      <c r="C195">
        <v>0.1906506980996916</v>
      </c>
      <c r="D195">
        <v>2.1962515599194772</v>
      </c>
    </row>
    <row r="196" spans="1:4">
      <c r="A196">
        <v>172</v>
      </c>
      <c r="B196">
        <v>10.783539221375708</v>
      </c>
      <c r="C196">
        <v>0.11521150594889207</v>
      </c>
      <c r="D196">
        <v>1.3272096676436753</v>
      </c>
    </row>
    <row r="197" spans="1:4">
      <c r="A197">
        <v>173</v>
      </c>
      <c r="B197">
        <v>10.783539221375708</v>
      </c>
      <c r="C197">
        <v>7.2819725775291388E-2</v>
      </c>
      <c r="D197">
        <v>0.83886625079790877</v>
      </c>
    </row>
    <row r="198" spans="1:4">
      <c r="A198">
        <v>174</v>
      </c>
      <c r="B198">
        <v>10.783539221375708</v>
      </c>
      <c r="C198">
        <v>4.576386832799173E-2</v>
      </c>
      <c r="D198">
        <v>0.52718908561638245</v>
      </c>
    </row>
    <row r="199" spans="1:4">
      <c r="A199">
        <v>175</v>
      </c>
      <c r="B199">
        <v>10.783539221375708</v>
      </c>
      <c r="C199">
        <v>2.710429696979233E-2</v>
      </c>
      <c r="D199">
        <v>0.31223517717884225</v>
      </c>
    </row>
    <row r="200" spans="1:4">
      <c r="A200">
        <v>176</v>
      </c>
      <c r="B200">
        <v>8.2781363009775717</v>
      </c>
      <c r="C200">
        <v>3.9938566783257912E-2</v>
      </c>
      <c r="D200">
        <v>0.46008297096720835</v>
      </c>
    </row>
    <row r="201" spans="1:4">
      <c r="A201">
        <v>177</v>
      </c>
      <c r="B201">
        <v>8.2781363009775717</v>
      </c>
      <c r="C201">
        <v>4.1142559492877595E-2</v>
      </c>
      <c r="D201">
        <v>0.47395268606917568</v>
      </c>
    </row>
    <row r="202" spans="1:4">
      <c r="A202">
        <v>178</v>
      </c>
      <c r="B202">
        <v>8.2781363009775717</v>
      </c>
      <c r="C202">
        <v>4.1586272466968666E-2</v>
      </c>
      <c r="D202">
        <v>0.4790641560045989</v>
      </c>
    </row>
    <row r="203" spans="1:4">
      <c r="A203">
        <v>179</v>
      </c>
      <c r="B203">
        <v>8.2781363009775717</v>
      </c>
      <c r="C203">
        <v>4.1797278631548807E-2</v>
      </c>
      <c r="D203">
        <v>0.48149489778908183</v>
      </c>
    </row>
    <row r="204" spans="1:4">
      <c r="A204">
        <v>180</v>
      </c>
      <c r="B204">
        <v>8.2781363009775717</v>
      </c>
      <c r="C204">
        <v>4.1913813648317699E-2</v>
      </c>
      <c r="D204">
        <v>0.48283735399257338</v>
      </c>
    </row>
    <row r="205" spans="1:4">
      <c r="A205">
        <v>181</v>
      </c>
      <c r="B205">
        <v>8.9044870310771067</v>
      </c>
      <c r="C205">
        <v>-4.653223777231652E-2</v>
      </c>
      <c r="D205">
        <v>-0.53604052234078603</v>
      </c>
    </row>
    <row r="206" spans="1:4">
      <c r="A206">
        <v>182</v>
      </c>
      <c r="B206">
        <v>8.9044870310771067</v>
      </c>
      <c r="C206">
        <v>-3.0215680909007503E-2</v>
      </c>
      <c r="D206">
        <v>-0.34807759421754902</v>
      </c>
    </row>
    <row r="207" spans="1:4">
      <c r="A207">
        <v>183</v>
      </c>
      <c r="B207">
        <v>8.9044870310771067</v>
      </c>
      <c r="C207">
        <v>-2.2355374083856461E-2</v>
      </c>
      <c r="D207">
        <v>-0.25752869354079028</v>
      </c>
    </row>
    <row r="208" spans="1:4">
      <c r="A208">
        <v>184</v>
      </c>
      <c r="B208">
        <v>8.9044870310771067</v>
      </c>
      <c r="C208">
        <v>-1.8015195935007E-2</v>
      </c>
      <c r="D208">
        <v>-0.20753085390657772</v>
      </c>
    </row>
    <row r="209" spans="1:4">
      <c r="A209">
        <v>185</v>
      </c>
      <c r="B209">
        <v>8.9044870310771067</v>
      </c>
      <c r="C209">
        <v>-1.5376940023186236E-2</v>
      </c>
      <c r="D209">
        <v>-0.17713876135429502</v>
      </c>
    </row>
    <row r="210" spans="1:4">
      <c r="A210">
        <v>186</v>
      </c>
      <c r="B210">
        <v>9.5308377611766399</v>
      </c>
      <c r="C210">
        <v>-0.13778710476761979</v>
      </c>
      <c r="D210">
        <v>-1.5872752987478462</v>
      </c>
    </row>
    <row r="211" spans="1:4">
      <c r="A211">
        <v>187</v>
      </c>
      <c r="B211">
        <v>9.5308377611766399</v>
      </c>
      <c r="C211">
        <v>-0.12758834866336066</v>
      </c>
      <c r="D211">
        <v>-1.4697880079774506</v>
      </c>
    </row>
    <row r="212" spans="1:4">
      <c r="A212">
        <v>188</v>
      </c>
      <c r="B212">
        <v>9.5308377611766399</v>
      </c>
      <c r="C212">
        <v>-0.11460829716460985</v>
      </c>
      <c r="D212">
        <v>-1.3202608431880511</v>
      </c>
    </row>
    <row r="213" spans="1:4">
      <c r="A213">
        <v>189</v>
      </c>
      <c r="B213">
        <v>9.5308377611766399</v>
      </c>
      <c r="C213">
        <v>-0.10254211678496006</v>
      </c>
      <c r="D213">
        <v>-1.1812612604683563</v>
      </c>
    </row>
    <row r="214" spans="1:4">
      <c r="A214">
        <v>190</v>
      </c>
      <c r="B214">
        <v>9.5308377611766399</v>
      </c>
      <c r="C214">
        <v>-9.2134463906550224E-2</v>
      </c>
      <c r="D214">
        <v>-1.0613675275990664</v>
      </c>
    </row>
    <row r="215" spans="1:4">
      <c r="A215">
        <v>191</v>
      </c>
      <c r="B215">
        <v>10.157188491276173</v>
      </c>
      <c r="C215">
        <v>-5.9845619373172454E-2</v>
      </c>
      <c r="D215">
        <v>-0.68940757213461212</v>
      </c>
    </row>
    <row r="216" spans="1:4">
      <c r="A216">
        <v>192</v>
      </c>
      <c r="B216">
        <v>10.157188491276173</v>
      </c>
      <c r="C216">
        <v>-9.079433899647249E-2</v>
      </c>
      <c r="D216">
        <v>-1.0459296013098791</v>
      </c>
    </row>
    <row r="217" spans="1:4">
      <c r="A217">
        <v>193</v>
      </c>
      <c r="B217">
        <v>10.157188491276173</v>
      </c>
      <c r="C217">
        <v>-0.10471393264327311</v>
      </c>
      <c r="D217">
        <v>-1.2062800724329668</v>
      </c>
    </row>
    <row r="218" spans="1:4">
      <c r="A218">
        <v>194</v>
      </c>
      <c r="B218">
        <v>10.157188491276173</v>
      </c>
      <c r="C218">
        <v>-0.11150914471527251</v>
      </c>
      <c r="D218">
        <v>-1.2845593300589135</v>
      </c>
    </row>
    <row r="219" spans="1:4">
      <c r="A219">
        <v>195</v>
      </c>
      <c r="B219">
        <v>10.157188491276173</v>
      </c>
      <c r="C219">
        <v>-0.11466600324437337</v>
      </c>
      <c r="D219">
        <v>-1.320925603763075</v>
      </c>
    </row>
    <row r="220" spans="1:4">
      <c r="A220">
        <v>196</v>
      </c>
      <c r="B220">
        <v>10.783539221375708</v>
      </c>
      <c r="C220">
        <v>0.19008077167399229</v>
      </c>
      <c r="D220">
        <v>2.1896861404693637</v>
      </c>
    </row>
    <row r="221" spans="1:4">
      <c r="A221">
        <v>197</v>
      </c>
      <c r="B221">
        <v>10.783539221375708</v>
      </c>
      <c r="C221">
        <v>0.11444228532609202</v>
      </c>
      <c r="D221">
        <v>1.3183484255418318</v>
      </c>
    </row>
    <row r="222" spans="1:4">
      <c r="A222">
        <v>198</v>
      </c>
      <c r="B222">
        <v>10.783539221375708</v>
      </c>
      <c r="C222">
        <v>7.1873535050791304E-2</v>
      </c>
      <c r="D222">
        <v>0.82796635441474409</v>
      </c>
    </row>
    <row r="223" spans="1:4">
      <c r="A223">
        <v>199</v>
      </c>
      <c r="B223">
        <v>10.783539221375708</v>
      </c>
      <c r="C223">
        <v>4.4654513625591363E-2</v>
      </c>
      <c r="D223">
        <v>0.51440957827685618</v>
      </c>
    </row>
    <row r="224" spans="1:4">
      <c r="A224">
        <v>200</v>
      </c>
      <c r="B224">
        <v>10.783539221375708</v>
      </c>
      <c r="C224">
        <v>2.5841447439191256E-2</v>
      </c>
      <c r="D224">
        <v>0.29768744523150942</v>
      </c>
    </row>
    <row r="225" spans="1:4">
      <c r="A225">
        <v>201</v>
      </c>
      <c r="B225">
        <v>8.2781363009775717</v>
      </c>
      <c r="C225">
        <v>9.7756095210458582E-2</v>
      </c>
      <c r="D225">
        <v>1.1261274085938104</v>
      </c>
    </row>
    <row r="226" spans="1:4">
      <c r="A226">
        <v>202</v>
      </c>
      <c r="B226">
        <v>8.2781363009775717</v>
      </c>
      <c r="C226">
        <v>9.7876980383038159E-2</v>
      </c>
      <c r="D226">
        <v>1.1275199775772726</v>
      </c>
    </row>
    <row r="227" spans="1:4">
      <c r="A227">
        <v>203</v>
      </c>
      <c r="B227">
        <v>8.2781363009775717</v>
      </c>
      <c r="C227">
        <v>9.7919969306358823E-2</v>
      </c>
      <c r="D227">
        <v>1.1280151999438486</v>
      </c>
    </row>
    <row r="228" spans="1:4">
      <c r="A228">
        <v>204</v>
      </c>
      <c r="B228">
        <v>8.2781363009775717</v>
      </c>
      <c r="C228">
        <v>9.7940032780968522E-2</v>
      </c>
      <c r="D228">
        <v>1.1282463264901879</v>
      </c>
    </row>
    <row r="229" spans="1:4">
      <c r="A229">
        <v>205</v>
      </c>
      <c r="B229">
        <v>8.2781363009775717</v>
      </c>
      <c r="C229">
        <v>9.7950993133947506E-2</v>
      </c>
      <c r="D229">
        <v>1.1283725871992609</v>
      </c>
    </row>
    <row r="230" spans="1:4">
      <c r="A230">
        <v>206</v>
      </c>
      <c r="B230">
        <v>8.9044870310771067</v>
      </c>
      <c r="C230">
        <v>3.4324398973623715E-2</v>
      </c>
      <c r="D230">
        <v>0.39540906768513712</v>
      </c>
    </row>
    <row r="231" spans="1:4">
      <c r="A231">
        <v>207</v>
      </c>
      <c r="B231">
        <v>8.9044870310771067</v>
      </c>
      <c r="C231">
        <v>3.7392002855153095E-2</v>
      </c>
      <c r="D231">
        <v>0.43074714867396741</v>
      </c>
    </row>
    <row r="232" spans="1:4">
      <c r="A232">
        <v>208</v>
      </c>
      <c r="B232">
        <v>8.9044870310771067</v>
      </c>
      <c r="C232">
        <v>3.8596720120242622E-2</v>
      </c>
      <c r="D232">
        <v>0.44462521048589571</v>
      </c>
    </row>
    <row r="233" spans="1:4">
      <c r="A233">
        <v>209</v>
      </c>
      <c r="B233">
        <v>8.9044870310771067</v>
      </c>
      <c r="C233">
        <v>3.918967129200368E-2</v>
      </c>
      <c r="D233">
        <v>0.45145586963855905</v>
      </c>
    </row>
    <row r="234" spans="1:4">
      <c r="A234">
        <v>210</v>
      </c>
      <c r="B234">
        <v>8.9044870310771067</v>
      </c>
      <c r="C234">
        <v>3.952438165649319E-2</v>
      </c>
      <c r="D234">
        <v>0.4553116549436142</v>
      </c>
    </row>
    <row r="235" spans="1:4">
      <c r="A235">
        <v>211</v>
      </c>
      <c r="B235">
        <v>9.5308377611766399</v>
      </c>
      <c r="C235">
        <v>-4.0144278196779126E-2</v>
      </c>
      <c r="D235">
        <v>-0.46245271845485175</v>
      </c>
    </row>
    <row r="236" spans="1:4">
      <c r="A236">
        <v>212</v>
      </c>
      <c r="B236">
        <v>9.5308377611766399</v>
      </c>
      <c r="C236">
        <v>-2.2595412513549462E-2</v>
      </c>
      <c r="D236">
        <v>-0.26029388024563105</v>
      </c>
    </row>
    <row r="237" spans="1:4">
      <c r="A237">
        <v>213</v>
      </c>
      <c r="B237">
        <v>9.5308377611766399</v>
      </c>
      <c r="C237">
        <v>-1.167638298153939E-2</v>
      </c>
      <c r="D237">
        <v>-0.13450920764010885</v>
      </c>
    </row>
    <row r="238" spans="1:4">
      <c r="A238">
        <v>214</v>
      </c>
      <c r="B238">
        <v>9.5308377611766399</v>
      </c>
      <c r="C238">
        <v>-4.6853603435508262E-3</v>
      </c>
      <c r="D238">
        <v>-5.397425798004464E-2</v>
      </c>
    </row>
    <row r="239" spans="1:4">
      <c r="A239">
        <v>215</v>
      </c>
      <c r="B239">
        <v>9.5308377611766399</v>
      </c>
      <c r="C239">
        <v>4.4174362798798938E-6</v>
      </c>
      <c r="D239">
        <v>5.0887835277991063E-5</v>
      </c>
    </row>
    <row r="240" spans="1:4">
      <c r="A240">
        <v>216</v>
      </c>
      <c r="B240">
        <v>10.157188491276173</v>
      </c>
      <c r="C240">
        <v>-2.569005682717318E-2</v>
      </c>
      <c r="D240">
        <v>-0.29594346070317579</v>
      </c>
    </row>
    <row r="241" spans="1:4">
      <c r="A241">
        <v>217</v>
      </c>
      <c r="B241">
        <v>10.157188491276173</v>
      </c>
      <c r="C241">
        <v>-4.5760805583473285E-2</v>
      </c>
      <c r="D241">
        <v>-0.52715380351412255</v>
      </c>
    </row>
    <row r="242" spans="1:4">
      <c r="A242">
        <v>218</v>
      </c>
      <c r="B242">
        <v>10.157188491276173</v>
      </c>
      <c r="C242">
        <v>-5.041663126337248E-2</v>
      </c>
      <c r="D242">
        <v>-0.58078782905986126</v>
      </c>
    </row>
    <row r="243" spans="1:4">
      <c r="A243">
        <v>219</v>
      </c>
      <c r="B243">
        <v>10.157188491276173</v>
      </c>
      <c r="C243">
        <v>-4.9536923145973688E-2</v>
      </c>
      <c r="D243">
        <v>-0.57065379679893224</v>
      </c>
    </row>
    <row r="244" spans="1:4">
      <c r="A244">
        <v>220</v>
      </c>
      <c r="B244">
        <v>10.157188491276173</v>
      </c>
      <c r="C244">
        <v>-4.646100933037367E-2</v>
      </c>
      <c r="D244">
        <v>-0.5352199873084631</v>
      </c>
    </row>
    <row r="245" spans="1:4">
      <c r="A245">
        <v>221</v>
      </c>
      <c r="B245">
        <v>10.783539221375708</v>
      </c>
      <c r="C245">
        <v>0.19875180474149268</v>
      </c>
      <c r="D245">
        <v>2.2895744183011768</v>
      </c>
    </row>
    <row r="246" spans="1:4">
      <c r="A246">
        <v>222</v>
      </c>
      <c r="B246">
        <v>10.783539221375708</v>
      </c>
      <c r="C246">
        <v>0.12607030218199178</v>
      </c>
      <c r="D246">
        <v>1.452300466699247</v>
      </c>
    </row>
    <row r="247" spans="1:4">
      <c r="A247">
        <v>223</v>
      </c>
      <c r="B247">
        <v>10.783539221375708</v>
      </c>
      <c r="C247">
        <v>8.6077261235292468E-2</v>
      </c>
      <c r="D247">
        <v>0.99158996607898209</v>
      </c>
    </row>
    <row r="248" spans="1:4">
      <c r="A248">
        <v>224</v>
      </c>
      <c r="B248">
        <v>10.783539221375708</v>
      </c>
      <c r="C248">
        <v>6.1184758565691055E-2</v>
      </c>
      <c r="D248">
        <v>0.70483414318750381</v>
      </c>
    </row>
    <row r="249" spans="1:4">
      <c r="A249">
        <v>225</v>
      </c>
      <c r="B249">
        <v>10.783539221375708</v>
      </c>
      <c r="C249">
        <v>4.4514067128192281E-2</v>
      </c>
      <c r="D249">
        <v>0.51279166739547744</v>
      </c>
    </row>
    <row r="250" spans="1:4">
      <c r="A250">
        <v>226</v>
      </c>
      <c r="B250">
        <v>8.2781363009775717</v>
      </c>
      <c r="C250">
        <v>8.4462047857488898E-2</v>
      </c>
      <c r="D250">
        <v>0.97298308482461104</v>
      </c>
    </row>
    <row r="251" spans="1:4">
      <c r="A251">
        <v>227</v>
      </c>
      <c r="B251">
        <v>8.2781363009775717</v>
      </c>
      <c r="C251">
        <v>8.4638060776347501E-2</v>
      </c>
      <c r="D251">
        <v>0.97501071258292671</v>
      </c>
    </row>
    <row r="252" spans="1:4">
      <c r="A252">
        <v>228</v>
      </c>
      <c r="B252">
        <v>8.2781363009775717</v>
      </c>
      <c r="C252">
        <v>8.4700844797739094E-2</v>
      </c>
      <c r="D252">
        <v>0.97573396986073224</v>
      </c>
    </row>
    <row r="253" spans="1:4">
      <c r="A253">
        <v>229</v>
      </c>
      <c r="B253">
        <v>8.2781363009775717</v>
      </c>
      <c r="C253">
        <v>8.4730201254949122E-2</v>
      </c>
      <c r="D253">
        <v>0.97607214939840958</v>
      </c>
    </row>
    <row r="254" spans="1:4">
      <c r="A254">
        <v>230</v>
      </c>
      <c r="B254">
        <v>8.2781363009775717</v>
      </c>
      <c r="C254">
        <v>8.474625809039793E-2</v>
      </c>
      <c r="D254">
        <v>0.97625712039643542</v>
      </c>
    </row>
    <row r="255" spans="1:4">
      <c r="A255">
        <v>231</v>
      </c>
      <c r="B255">
        <v>8.9044870310771067</v>
      </c>
      <c r="C255">
        <v>2.0559919007073546E-2</v>
      </c>
      <c r="D255">
        <v>0.23684546996776212</v>
      </c>
    </row>
    <row r="256" spans="1:4">
      <c r="A256">
        <v>232</v>
      </c>
      <c r="B256">
        <v>8.9044870310771067</v>
      </c>
      <c r="C256">
        <v>2.4758512502653929E-2</v>
      </c>
      <c r="D256">
        <v>0.28521228743052546</v>
      </c>
    </row>
    <row r="257" spans="1:4">
      <c r="A257">
        <v>233</v>
      </c>
      <c r="B257">
        <v>8.9044870310771067</v>
      </c>
      <c r="C257">
        <v>2.6441826799922907E-2</v>
      </c>
      <c r="D257">
        <v>0.30460367538798572</v>
      </c>
    </row>
    <row r="258" spans="1:4">
      <c r="A258">
        <v>234</v>
      </c>
      <c r="B258">
        <v>8.9044870310771067</v>
      </c>
      <c r="C258">
        <v>2.7279749212032911E-2</v>
      </c>
      <c r="D258">
        <v>0.31425634607333408</v>
      </c>
    </row>
    <row r="259" spans="1:4">
      <c r="A259">
        <v>235</v>
      </c>
      <c r="B259">
        <v>8.9044870310771067</v>
      </c>
      <c r="C259">
        <v>2.7756145567453316E-2</v>
      </c>
      <c r="D259">
        <v>0.31974432093605876</v>
      </c>
    </row>
    <row r="260" spans="1:4">
      <c r="A260">
        <v>236</v>
      </c>
      <c r="B260">
        <v>9.5308377611766399</v>
      </c>
      <c r="C260">
        <v>-5.9840026363010779E-2</v>
      </c>
      <c r="D260">
        <v>-0.68934314196249813</v>
      </c>
    </row>
    <row r="261" spans="1:4">
      <c r="A261">
        <v>237</v>
      </c>
      <c r="B261">
        <v>9.5308377611766399</v>
      </c>
      <c r="C261">
        <v>-4.1099649356450385E-2</v>
      </c>
      <c r="D261">
        <v>-0.47345837130923002</v>
      </c>
    </row>
    <row r="262" spans="1:4">
      <c r="A262">
        <v>238</v>
      </c>
      <c r="B262">
        <v>9.5308377611766399</v>
      </c>
      <c r="C262">
        <v>-2.8551686133360121E-2</v>
      </c>
      <c r="D262">
        <v>-0.32890876264158253</v>
      </c>
    </row>
    <row r="263" spans="1:4">
      <c r="A263">
        <v>239</v>
      </c>
      <c r="B263">
        <v>9.5308377611766399</v>
      </c>
      <c r="C263">
        <v>-2.0158562062530194E-2</v>
      </c>
      <c r="D263">
        <v>-0.23222193161031573</v>
      </c>
    </row>
    <row r="264" spans="1:4">
      <c r="A264">
        <v>240</v>
      </c>
      <c r="B264">
        <v>9.5308377611766399</v>
      </c>
      <c r="C264">
        <v>-1.4357423992370499E-2</v>
      </c>
      <c r="D264">
        <v>-0.16539417455046837</v>
      </c>
    </row>
    <row r="265" spans="1:4">
      <c r="A265">
        <v>241</v>
      </c>
      <c r="B265">
        <v>10.157188491276173</v>
      </c>
      <c r="C265">
        <v>-3.4180438585273976E-2</v>
      </c>
      <c r="D265">
        <v>-0.39375067759985977</v>
      </c>
    </row>
    <row r="266" spans="1:4">
      <c r="A266">
        <v>242</v>
      </c>
      <c r="B266">
        <v>10.157188491276173</v>
      </c>
      <c r="C266">
        <v>-5.6652020614272658E-2</v>
      </c>
      <c r="D266">
        <v>-0.65261805955531393</v>
      </c>
    </row>
    <row r="267" spans="1:4">
      <c r="A267">
        <v>243</v>
      </c>
      <c r="B267">
        <v>10.157188491276173</v>
      </c>
      <c r="C267">
        <v>-6.3086978923273307E-2</v>
      </c>
      <c r="D267">
        <v>-0.72674727788510685</v>
      </c>
    </row>
    <row r="268" spans="1:4">
      <c r="A268">
        <v>244</v>
      </c>
      <c r="B268">
        <v>10.157188491276173</v>
      </c>
      <c r="C268">
        <v>-6.3463574068173045E-2</v>
      </c>
      <c r="D268">
        <v>-0.73108556608802588</v>
      </c>
    </row>
    <row r="269" spans="1:4">
      <c r="A269">
        <v>245</v>
      </c>
      <c r="B269">
        <v>10.157188491276173</v>
      </c>
      <c r="C269">
        <v>-6.1232954822173724E-2</v>
      </c>
      <c r="D269">
        <v>-0.70538935281714277</v>
      </c>
    </row>
    <row r="270" spans="1:4">
      <c r="A270">
        <v>246</v>
      </c>
      <c r="B270">
        <v>10.783539221375708</v>
      </c>
      <c r="C270">
        <v>0.19667043136889184</v>
      </c>
      <c r="D270">
        <v>2.2655974826701351</v>
      </c>
    </row>
    <row r="271" spans="1:4">
      <c r="A271">
        <v>247</v>
      </c>
      <c r="B271">
        <v>10.783539221375708</v>
      </c>
      <c r="C271">
        <v>0.12329388166999244</v>
      </c>
      <c r="D271">
        <v>1.4203167501891587</v>
      </c>
    </row>
    <row r="272" spans="1:4">
      <c r="A272">
        <v>248</v>
      </c>
      <c r="B272">
        <v>10.783539221375708</v>
      </c>
      <c r="C272">
        <v>8.2705316223091074E-2</v>
      </c>
      <c r="D272">
        <v>0.95274594627299325</v>
      </c>
    </row>
    <row r="273" spans="1:4">
      <c r="A273">
        <v>249</v>
      </c>
      <c r="B273">
        <v>10.783539221375708</v>
      </c>
      <c r="C273">
        <v>5.7284477993190919E-2</v>
      </c>
      <c r="D273">
        <v>0.65990382099692946</v>
      </c>
    </row>
    <row r="274" spans="1:4">
      <c r="A274">
        <v>250</v>
      </c>
      <c r="B274">
        <v>10.783539221375708</v>
      </c>
      <c r="C274">
        <v>4.0136458971891997E-2</v>
      </c>
      <c r="D274">
        <v>0.46236264280851586</v>
      </c>
    </row>
    <row r="275" spans="1:4">
      <c r="A275">
        <v>251</v>
      </c>
      <c r="B275">
        <v>8.2781363009775717</v>
      </c>
      <c r="C275">
        <v>7.4799606777398608E-2</v>
      </c>
      <c r="D275">
        <v>0.86167401800083387</v>
      </c>
    </row>
    <row r="276" spans="1:4">
      <c r="A276">
        <v>252</v>
      </c>
      <c r="B276">
        <v>8.2781363009775717</v>
      </c>
      <c r="C276">
        <v>7.5040322673277871E-2</v>
      </c>
      <c r="D276">
        <v>0.86444700895807547</v>
      </c>
    </row>
    <row r="277" spans="1:4">
      <c r="A277">
        <v>253</v>
      </c>
      <c r="B277">
        <v>8.2781363009775717</v>
      </c>
      <c r="C277">
        <v>7.5126477415278003E-2</v>
      </c>
      <c r="D277">
        <v>0.86543949148448784</v>
      </c>
    </row>
    <row r="278" spans="1:4">
      <c r="A278">
        <v>254</v>
      </c>
      <c r="B278">
        <v>8.2781363009775717</v>
      </c>
      <c r="C278">
        <v>7.5166826408558762E-2</v>
      </c>
      <c r="D278">
        <v>0.86590430247294647</v>
      </c>
    </row>
    <row r="279" spans="1:4">
      <c r="A279">
        <v>255</v>
      </c>
      <c r="B279">
        <v>8.2781363009775717</v>
      </c>
      <c r="C279">
        <v>7.5188901890298254E-2</v>
      </c>
      <c r="D279">
        <v>0.86615860687198398</v>
      </c>
    </row>
    <row r="280" spans="1:4">
      <c r="A280">
        <v>256</v>
      </c>
      <c r="B280">
        <v>8.9044870310771067</v>
      </c>
      <c r="C280">
        <v>9.7132001367334908E-3</v>
      </c>
      <c r="D280">
        <v>0.11189379931331873</v>
      </c>
    </row>
    <row r="281" spans="1:4">
      <c r="A281">
        <v>257</v>
      </c>
      <c r="B281">
        <v>8.9044870310771067</v>
      </c>
      <c r="C281">
        <v>1.5117457094932618E-2</v>
      </c>
      <c r="D281">
        <v>0.17414957856278232</v>
      </c>
    </row>
    <row r="282" spans="1:4">
      <c r="A282">
        <v>258</v>
      </c>
      <c r="B282">
        <v>8.9044870310771067</v>
      </c>
      <c r="C282">
        <v>1.7328390991142584E-2</v>
      </c>
      <c r="D282">
        <v>0.19961902119703323</v>
      </c>
    </row>
    <row r="283" spans="1:4">
      <c r="A283">
        <v>259</v>
      </c>
      <c r="B283">
        <v>8.9044870310771067</v>
      </c>
      <c r="C283">
        <v>1.8441263100584138E-2</v>
      </c>
      <c r="D283">
        <v>0.21243904824500051</v>
      </c>
    </row>
    <row r="284" spans="1:4">
      <c r="A284">
        <v>260</v>
      </c>
      <c r="B284">
        <v>8.9044870310771067</v>
      </c>
      <c r="C284">
        <v>1.9078461153203108E-2</v>
      </c>
      <c r="D284">
        <v>0.21977942114156496</v>
      </c>
    </row>
    <row r="285" spans="1:4">
      <c r="A285">
        <v>261</v>
      </c>
      <c r="B285">
        <v>9.5308377611766399</v>
      </c>
      <c r="C285">
        <v>-7.549637456637015E-2</v>
      </c>
      <c r="D285">
        <v>-0.86970062036150397</v>
      </c>
    </row>
    <row r="286" spans="1:4">
      <c r="A286">
        <v>262</v>
      </c>
      <c r="B286">
        <v>9.5308377611766399</v>
      </c>
      <c r="C286">
        <v>-5.6373337285830161E-2</v>
      </c>
      <c r="D286">
        <v>-0.64940769263341924</v>
      </c>
    </row>
    <row r="287" spans="1:4">
      <c r="A287">
        <v>263</v>
      </c>
      <c r="B287">
        <v>9.5308377611766399</v>
      </c>
      <c r="C287">
        <v>-4.2661606982360212E-2</v>
      </c>
      <c r="D287">
        <v>-0.49145175872729652</v>
      </c>
    </row>
    <row r="288" spans="1:4">
      <c r="A288">
        <v>264</v>
      </c>
      <c r="B288">
        <v>9.5308377611766399</v>
      </c>
      <c r="C288">
        <v>-3.3110696657759675E-2</v>
      </c>
      <c r="D288">
        <v>-0.3814275001846581</v>
      </c>
    </row>
    <row r="289" spans="1:4">
      <c r="A289">
        <v>265</v>
      </c>
      <c r="B289">
        <v>9.5308377611766399</v>
      </c>
      <c r="C289">
        <v>-2.6323137627619175E-2</v>
      </c>
      <c r="D289">
        <v>-0.30323640381533551</v>
      </c>
    </row>
    <row r="290" spans="1:4">
      <c r="A290">
        <v>266</v>
      </c>
      <c r="B290">
        <v>10.157188491276173</v>
      </c>
      <c r="C290">
        <v>-4.0210706933073936E-2</v>
      </c>
      <c r="D290">
        <v>-0.46321796199796572</v>
      </c>
    </row>
    <row r="291" spans="1:4">
      <c r="A291">
        <v>267</v>
      </c>
      <c r="B291">
        <v>10.157188491276173</v>
      </c>
      <c r="C291">
        <v>-6.4524751481673803E-2</v>
      </c>
      <c r="D291">
        <v>-0.74331008230004447</v>
      </c>
    </row>
    <row r="292" spans="1:4">
      <c r="A292">
        <v>268</v>
      </c>
      <c r="B292">
        <v>10.157188491276173</v>
      </c>
      <c r="C292">
        <v>-7.2427527031774019E-2</v>
      </c>
      <c r="D292">
        <v>-0.83434821277951099</v>
      </c>
    </row>
    <row r="293" spans="1:4">
      <c r="A293">
        <v>269</v>
      </c>
      <c r="B293">
        <v>10.157188491276173</v>
      </c>
      <c r="C293">
        <v>-7.3925444377472616E-2</v>
      </c>
      <c r="D293">
        <v>-0.85160387111127722</v>
      </c>
    </row>
    <row r="294" spans="1:4">
      <c r="A294">
        <v>270</v>
      </c>
      <c r="B294">
        <v>10.157188491276173</v>
      </c>
      <c r="C294">
        <v>-7.2521415434673386E-2</v>
      </c>
      <c r="D294">
        <v>-0.83542978527508227</v>
      </c>
    </row>
    <row r="295" spans="1:4">
      <c r="A295">
        <v>271</v>
      </c>
      <c r="B295">
        <v>10.783539221375708</v>
      </c>
      <c r="C295">
        <v>0.19517565902699197</v>
      </c>
      <c r="D295">
        <v>2.2483780540483451</v>
      </c>
    </row>
    <row r="296" spans="1:4">
      <c r="A296">
        <v>272</v>
      </c>
      <c r="B296">
        <v>10.783539221375708</v>
      </c>
      <c r="C296">
        <v>0.1212941873409914</v>
      </c>
      <c r="D296">
        <v>1.3972807380832173</v>
      </c>
    </row>
    <row r="297" spans="1:4">
      <c r="A297">
        <v>273</v>
      </c>
      <c r="B297">
        <v>10.783539221375708</v>
      </c>
      <c r="C297">
        <v>8.0269104023491522E-2</v>
      </c>
      <c r="D297">
        <v>0.92468135014511765</v>
      </c>
    </row>
    <row r="298" spans="1:4">
      <c r="A298">
        <v>274</v>
      </c>
      <c r="B298">
        <v>10.783539221375708</v>
      </c>
      <c r="C298">
        <v>5.445722253819163E-2</v>
      </c>
      <c r="D298">
        <v>0.62733449780417538</v>
      </c>
    </row>
    <row r="299" spans="1:4">
      <c r="A299">
        <v>275</v>
      </c>
      <c r="B299">
        <v>10.783539221375708</v>
      </c>
      <c r="C299">
        <v>3.6952289939391036E-2</v>
      </c>
      <c r="D299">
        <v>0.42568175847720985</v>
      </c>
    </row>
    <row r="300" spans="1:4">
      <c r="A300">
        <v>276</v>
      </c>
      <c r="B300">
        <v>8.2781363009775717</v>
      </c>
      <c r="C300">
        <v>6.7435466238228159E-2</v>
      </c>
      <c r="D300">
        <v>0.77684083717417773</v>
      </c>
    </row>
    <row r="301" spans="1:4">
      <c r="A301">
        <v>277</v>
      </c>
      <c r="B301">
        <v>8.2781363009775717</v>
      </c>
      <c r="C301">
        <v>6.7750167875358258E-2</v>
      </c>
      <c r="D301">
        <v>0.7804661266084435</v>
      </c>
    </row>
    <row r="302" spans="1:4">
      <c r="A302">
        <v>278</v>
      </c>
      <c r="B302">
        <v>8.2781363009775717</v>
      </c>
      <c r="C302">
        <v>6.786316294767758E-2</v>
      </c>
      <c r="D302">
        <v>0.78176780347780783</v>
      </c>
    </row>
    <row r="303" spans="1:4">
      <c r="A303">
        <v>279</v>
      </c>
      <c r="B303">
        <v>8.2781363009775717</v>
      </c>
      <c r="C303">
        <v>6.7916165168547593E-2</v>
      </c>
      <c r="D303">
        <v>0.78237837669587229</v>
      </c>
    </row>
    <row r="304" spans="1:4">
      <c r="A304">
        <v>280</v>
      </c>
      <c r="B304">
        <v>8.2781363009775717</v>
      </c>
      <c r="C304">
        <v>6.7945198828967435E-2</v>
      </c>
      <c r="D304">
        <v>0.7827128376898409</v>
      </c>
    </row>
    <row r="305" spans="1:4">
      <c r="A305">
        <v>281</v>
      </c>
      <c r="B305">
        <v>8.9044870310771067</v>
      </c>
      <c r="C305">
        <v>6.8491274535276148E-4</v>
      </c>
      <c r="D305">
        <v>7.8900350241737065E-3</v>
      </c>
    </row>
    <row r="306" spans="1:4">
      <c r="A306">
        <v>282</v>
      </c>
      <c r="B306">
        <v>8.9044870310771067</v>
      </c>
      <c r="C306">
        <v>7.3412214357428951E-3</v>
      </c>
      <c r="D306">
        <v>8.4569158102603972E-2</v>
      </c>
    </row>
    <row r="307" spans="1:4">
      <c r="A307">
        <v>283</v>
      </c>
      <c r="B307">
        <v>8.9044870310771067</v>
      </c>
      <c r="C307">
        <v>1.0118722776462974E-2</v>
      </c>
      <c r="D307">
        <v>0.11656532550737878</v>
      </c>
    </row>
    <row r="308" spans="1:4">
      <c r="A308">
        <v>284</v>
      </c>
      <c r="B308">
        <v>8.9044870310771067</v>
      </c>
      <c r="C308">
        <v>1.1532158986353735E-2</v>
      </c>
      <c r="D308">
        <v>0.13284778086558593</v>
      </c>
    </row>
    <row r="309" spans="1:4">
      <c r="A309">
        <v>285</v>
      </c>
      <c r="B309">
        <v>8.9044870310771067</v>
      </c>
      <c r="C309">
        <v>1.234712115561365E-2</v>
      </c>
      <c r="D309">
        <v>0.14223595491033308</v>
      </c>
    </row>
    <row r="310" spans="1:4">
      <c r="A310">
        <v>286</v>
      </c>
      <c r="B310">
        <v>9.5308377611766399</v>
      </c>
      <c r="C310">
        <v>-8.8200200558340214E-2</v>
      </c>
      <c r="D310">
        <v>-1.0160457317610987</v>
      </c>
    </row>
    <row r="311" spans="1:4">
      <c r="A311">
        <v>287</v>
      </c>
      <c r="B311">
        <v>9.5308377611766399</v>
      </c>
      <c r="C311">
        <v>-6.9281378348099665E-2</v>
      </c>
      <c r="D311">
        <v>-0.79810531399586593</v>
      </c>
    </row>
    <row r="312" spans="1:4">
      <c r="A312">
        <v>288</v>
      </c>
      <c r="B312">
        <v>9.5308377611766399</v>
      </c>
      <c r="C312">
        <v>-5.4806025996960273E-2</v>
      </c>
      <c r="D312">
        <v>-0.63135263226715732</v>
      </c>
    </row>
    <row r="313" spans="1:4">
      <c r="A313">
        <v>289</v>
      </c>
      <c r="B313">
        <v>9.5308377611766399</v>
      </c>
      <c r="C313">
        <v>-4.4333877995830662E-2</v>
      </c>
      <c r="D313">
        <v>-0.51071593063199172</v>
      </c>
    </row>
    <row r="314" spans="1:4">
      <c r="A314">
        <v>290</v>
      </c>
      <c r="B314">
        <v>9.5308377611766399</v>
      </c>
      <c r="C314">
        <v>-3.6695263173500692E-2</v>
      </c>
      <c r="D314">
        <v>-0.42272087010305581</v>
      </c>
    </row>
    <row r="315" spans="1:4">
      <c r="A315">
        <v>291</v>
      </c>
      <c r="B315">
        <v>10.157188491276173</v>
      </c>
      <c r="C315">
        <v>-4.4693849127373397E-2</v>
      </c>
      <c r="D315">
        <v>-0.51486271407971507</v>
      </c>
    </row>
    <row r="316" spans="1:4">
      <c r="A316">
        <v>292</v>
      </c>
      <c r="B316">
        <v>10.157188491276173</v>
      </c>
      <c r="C316">
        <v>-7.0448082399073186E-2</v>
      </c>
      <c r="D316">
        <v>-0.81154547245033481</v>
      </c>
    </row>
    <row r="317" spans="1:4">
      <c r="A317">
        <v>293</v>
      </c>
      <c r="B317">
        <v>10.157188491276173</v>
      </c>
      <c r="C317">
        <v>-7.9559745749673283E-2</v>
      </c>
      <c r="D317">
        <v>-0.91650970833659706</v>
      </c>
    </row>
    <row r="318" spans="1:4">
      <c r="A318">
        <v>294</v>
      </c>
      <c r="B318">
        <v>10.157188491276173</v>
      </c>
      <c r="C318">
        <v>-8.2034010614773223E-2</v>
      </c>
      <c r="D318">
        <v>-0.94501266229267533</v>
      </c>
    </row>
    <row r="319" spans="1:4">
      <c r="A319">
        <v>295</v>
      </c>
      <c r="B319">
        <v>10.157188491276173</v>
      </c>
      <c r="C319">
        <v>-8.1394845477174016E-2</v>
      </c>
      <c r="D319">
        <v>-0.93764962903609439</v>
      </c>
    </row>
    <row r="320" spans="1:4">
      <c r="A320">
        <v>296</v>
      </c>
      <c r="B320">
        <v>10.783539221375708</v>
      </c>
      <c r="C320">
        <v>0.19405014580039115</v>
      </c>
      <c r="D320">
        <v>2.2354124042800998</v>
      </c>
    </row>
    <row r="321" spans="1:4">
      <c r="A321">
        <v>297</v>
      </c>
      <c r="B321">
        <v>10.783539221375708</v>
      </c>
      <c r="C321">
        <v>0.11978530718709202</v>
      </c>
      <c r="D321">
        <v>1.3798987907587954</v>
      </c>
    </row>
    <row r="322" spans="1:4">
      <c r="A322">
        <v>298</v>
      </c>
      <c r="B322">
        <v>10.783539221375708</v>
      </c>
      <c r="C322">
        <v>7.8426650004191245E-2</v>
      </c>
      <c r="D322">
        <v>0.90345670971997627</v>
      </c>
    </row>
    <row r="323" spans="1:4">
      <c r="A323">
        <v>299</v>
      </c>
      <c r="B323">
        <v>10.783539221375708</v>
      </c>
      <c r="C323">
        <v>5.231384946089257E-2</v>
      </c>
      <c r="D323">
        <v>0.60264334004064091</v>
      </c>
    </row>
    <row r="324" spans="1:4">
      <c r="A324">
        <v>300</v>
      </c>
      <c r="B324">
        <v>10.783539221375708</v>
      </c>
      <c r="C324">
        <v>3.4532229396692316E-2</v>
      </c>
      <c r="D324">
        <v>0.3978032256683639</v>
      </c>
    </row>
    <row r="325" spans="1:4">
      <c r="A325">
        <v>301</v>
      </c>
      <c r="B325">
        <v>8.2781363009775717</v>
      </c>
      <c r="C325">
        <v>0.13641590142452742</v>
      </c>
      <c r="D325">
        <v>1.5714793561614797</v>
      </c>
    </row>
    <row r="326" spans="1:4">
      <c r="A326">
        <v>302</v>
      </c>
      <c r="B326">
        <v>8.2781363009775717</v>
      </c>
      <c r="C326">
        <v>0.1364671162870188</v>
      </c>
      <c r="D326">
        <v>1.5720693394280447</v>
      </c>
    </row>
    <row r="327" spans="1:4">
      <c r="A327">
        <v>303</v>
      </c>
      <c r="B327">
        <v>8.2781363009775717</v>
      </c>
      <c r="C327">
        <v>0.13648522654455775</v>
      </c>
      <c r="D327">
        <v>1.5722779653694492</v>
      </c>
    </row>
    <row r="328" spans="1:4">
      <c r="A328">
        <v>304</v>
      </c>
      <c r="B328">
        <v>8.2781363009775717</v>
      </c>
      <c r="C328">
        <v>0.13649365892956844</v>
      </c>
      <c r="D328">
        <v>1.5723751044773473</v>
      </c>
    </row>
    <row r="329" spans="1:4">
      <c r="A329">
        <v>305</v>
      </c>
      <c r="B329">
        <v>8.2781363009775717</v>
      </c>
      <c r="C329">
        <v>0.13649824934782906</v>
      </c>
      <c r="D329">
        <v>1.5724279850246836</v>
      </c>
    </row>
    <row r="330" spans="1:4">
      <c r="A330">
        <v>306</v>
      </c>
      <c r="B330">
        <v>8.9044870310771067</v>
      </c>
      <c r="C330">
        <v>7.0830046941193103E-2</v>
      </c>
      <c r="D330">
        <v>0.81594561485645456</v>
      </c>
    </row>
    <row r="331" spans="1:4">
      <c r="A331">
        <v>307</v>
      </c>
      <c r="B331">
        <v>8.9044870310771067</v>
      </c>
      <c r="C331">
        <v>7.227521149273386E-2</v>
      </c>
      <c r="D331">
        <v>0.83259357330768491</v>
      </c>
    </row>
    <row r="332" spans="1:4">
      <c r="A332">
        <v>308</v>
      </c>
      <c r="B332">
        <v>8.9044870310771067</v>
      </c>
      <c r="C332">
        <v>7.2822975266014112E-2</v>
      </c>
      <c r="D332">
        <v>0.83890368417287076</v>
      </c>
    </row>
    <row r="333" spans="1:4">
      <c r="A333">
        <v>309</v>
      </c>
      <c r="B333">
        <v>8.9044870310771067</v>
      </c>
      <c r="C333">
        <v>7.308743297478415E-2</v>
      </c>
      <c r="D333">
        <v>0.84195017527522809</v>
      </c>
    </row>
    <row r="334" spans="1:4">
      <c r="A334">
        <v>310</v>
      </c>
      <c r="B334">
        <v>8.9044870310771067</v>
      </c>
      <c r="C334">
        <v>7.3234897638483787E-2</v>
      </c>
      <c r="D334">
        <v>0.84364893379492667</v>
      </c>
    </row>
    <row r="335" spans="1:4">
      <c r="A335">
        <v>311</v>
      </c>
      <c r="B335">
        <v>9.5308377611766399</v>
      </c>
      <c r="C335">
        <v>7.5453715867492832E-3</v>
      </c>
      <c r="D335">
        <v>8.6920920210346836E-2</v>
      </c>
    </row>
    <row r="336" spans="1:4">
      <c r="A336">
        <v>312</v>
      </c>
      <c r="B336">
        <v>9.5308377611766399</v>
      </c>
      <c r="C336">
        <v>2.0627166886090009E-2</v>
      </c>
      <c r="D336">
        <v>0.23762014984390897</v>
      </c>
    </row>
    <row r="337" spans="1:4">
      <c r="A337">
        <v>313</v>
      </c>
      <c r="B337">
        <v>9.5308377611766399</v>
      </c>
      <c r="C337">
        <v>2.7719015654389167E-2</v>
      </c>
      <c r="D337">
        <v>0.31931659300062692</v>
      </c>
    </row>
    <row r="338" spans="1:4">
      <c r="A338">
        <v>314</v>
      </c>
      <c r="B338">
        <v>9.5308377611766399</v>
      </c>
      <c r="C338">
        <v>3.1902249389490933E-2</v>
      </c>
      <c r="D338">
        <v>0.36750646960638111</v>
      </c>
    </row>
    <row r="339" spans="1:4">
      <c r="A339">
        <v>315</v>
      </c>
      <c r="B339">
        <v>9.5308377611766399</v>
      </c>
      <c r="C339">
        <v>3.4557112486469421E-2</v>
      </c>
      <c r="D339">
        <v>0.39808987305693</v>
      </c>
    </row>
    <row r="340" spans="1:4">
      <c r="A340">
        <v>316</v>
      </c>
      <c r="B340">
        <v>10.157188491276173</v>
      </c>
      <c r="C340">
        <v>-4.0722870327236649E-4</v>
      </c>
      <c r="D340">
        <v>-4.6911796480191732E-3</v>
      </c>
    </row>
    <row r="341" spans="1:4">
      <c r="A341">
        <v>317</v>
      </c>
      <c r="B341">
        <v>10.157188491276173</v>
      </c>
      <c r="C341">
        <v>-1.4632400203073104E-2</v>
      </c>
      <c r="D341">
        <v>-0.16856183634093583</v>
      </c>
    </row>
    <row r="342" spans="1:4">
      <c r="A342">
        <v>318</v>
      </c>
      <c r="B342">
        <v>10.157188491276173</v>
      </c>
      <c r="C342">
        <v>-1.5620940602373068E-2</v>
      </c>
      <c r="D342">
        <v>-0.17994959109686495</v>
      </c>
    </row>
    <row r="343" spans="1:4">
      <c r="A343">
        <v>319</v>
      </c>
      <c r="B343">
        <v>10.157188491276173</v>
      </c>
      <c r="C343">
        <v>-1.2610618813672758E-2</v>
      </c>
      <c r="D343">
        <v>-0.14527138645249738</v>
      </c>
    </row>
    <row r="344" spans="1:4">
      <c r="A344">
        <v>320</v>
      </c>
      <c r="B344">
        <v>10.157188491276173</v>
      </c>
      <c r="C344">
        <v>-8.4447066996737874E-3</v>
      </c>
      <c r="D344">
        <v>-9.7281050880405978E-2</v>
      </c>
    </row>
    <row r="345" spans="1:4">
      <c r="A345">
        <v>321</v>
      </c>
      <c r="B345">
        <v>10.783539221375708</v>
      </c>
      <c r="C345">
        <v>0.20491744806559176</v>
      </c>
      <c r="D345">
        <v>2.3606011908408657</v>
      </c>
    </row>
    <row r="346" spans="1:4">
      <c r="A346">
        <v>322</v>
      </c>
      <c r="B346">
        <v>10.783539221375708</v>
      </c>
      <c r="C346">
        <v>0.13423995364119179</v>
      </c>
      <c r="D346">
        <v>1.5464129453846607</v>
      </c>
    </row>
    <row r="347" spans="1:4">
      <c r="A347">
        <v>323</v>
      </c>
      <c r="B347">
        <v>10.783539221375708</v>
      </c>
      <c r="C347">
        <v>9.5928068547891598E-2</v>
      </c>
      <c r="D347">
        <v>1.1050689679520784</v>
      </c>
    </row>
    <row r="348" spans="1:4">
      <c r="A348">
        <v>324</v>
      </c>
      <c r="B348">
        <v>10.783539221375708</v>
      </c>
      <c r="C348">
        <v>7.2493408779191526E-2</v>
      </c>
      <c r="D348">
        <v>0.83510715513838063</v>
      </c>
    </row>
    <row r="349" spans="1:4">
      <c r="A349">
        <v>325</v>
      </c>
      <c r="B349">
        <v>10.783539221375708</v>
      </c>
      <c r="C349">
        <v>5.7108562263591622E-2</v>
      </c>
      <c r="D349">
        <v>0.6578773128362051</v>
      </c>
    </row>
    <row r="350" spans="1:4">
      <c r="A350">
        <v>326</v>
      </c>
      <c r="B350">
        <v>8.2781363009775717</v>
      </c>
      <c r="C350">
        <v>0.11729031431489823</v>
      </c>
      <c r="D350">
        <v>1.3511570549972076</v>
      </c>
    </row>
    <row r="351" spans="1:4">
      <c r="A351">
        <v>327</v>
      </c>
      <c r="B351">
        <v>8.2781363009775717</v>
      </c>
      <c r="C351">
        <v>0.11736599647462853</v>
      </c>
      <c r="D351">
        <v>1.3520288958193107</v>
      </c>
    </row>
    <row r="352" spans="1:4">
      <c r="A352">
        <v>328</v>
      </c>
      <c r="B352">
        <v>8.2781363009775717</v>
      </c>
      <c r="C352">
        <v>0.11739282345809876</v>
      </c>
      <c r="D352">
        <v>1.3523379364096768</v>
      </c>
    </row>
    <row r="353" spans="1:4">
      <c r="A353">
        <v>329</v>
      </c>
      <c r="B353">
        <v>8.2781363009775717</v>
      </c>
      <c r="C353">
        <v>0.11740532641591805</v>
      </c>
      <c r="D353">
        <v>1.3524819675665933</v>
      </c>
    </row>
    <row r="354" spans="1:4">
      <c r="A354">
        <v>330</v>
      </c>
      <c r="B354">
        <v>8.2781363009775717</v>
      </c>
      <c r="C354">
        <v>0.11741213969002828</v>
      </c>
      <c r="D354">
        <v>1.3525604548946855</v>
      </c>
    </row>
    <row r="355" spans="1:4">
      <c r="A355">
        <v>331</v>
      </c>
      <c r="B355">
        <v>8.9044870310771067</v>
      </c>
      <c r="C355">
        <v>5.3190894806993683E-2</v>
      </c>
      <c r="D355">
        <v>0.61274669779749247</v>
      </c>
    </row>
    <row r="356" spans="1:4">
      <c r="A356">
        <v>332</v>
      </c>
      <c r="B356">
        <v>8.9044870310771067</v>
      </c>
      <c r="C356">
        <v>5.5236567886133514E-2</v>
      </c>
      <c r="D356">
        <v>0.63631237437737487</v>
      </c>
    </row>
    <row r="357" spans="1:4">
      <c r="A357">
        <v>333</v>
      </c>
      <c r="B357">
        <v>8.9044870310771067</v>
      </c>
      <c r="C357">
        <v>5.6023150421243173E-2</v>
      </c>
      <c r="D357">
        <v>0.64537362165818302</v>
      </c>
    </row>
    <row r="358" spans="1:4">
      <c r="A358">
        <v>334</v>
      </c>
      <c r="B358">
        <v>8.9044870310771067</v>
      </c>
      <c r="C358">
        <v>5.6405876258322607E-2</v>
      </c>
      <c r="D358">
        <v>0.64978253400461283</v>
      </c>
    </row>
    <row r="359" spans="1:4">
      <c r="A359">
        <v>335</v>
      </c>
      <c r="B359">
        <v>8.9044870310771067</v>
      </c>
      <c r="C359">
        <v>5.6620351450552775E-2</v>
      </c>
      <c r="D359">
        <v>0.65225323817823844</v>
      </c>
    </row>
    <row r="360" spans="1:4">
      <c r="A360">
        <v>336</v>
      </c>
      <c r="B360">
        <v>9.5308377611766399</v>
      </c>
      <c r="C360">
        <v>-1.4539093281300097E-2</v>
      </c>
      <c r="D360">
        <v>-0.1674869623722704</v>
      </c>
    </row>
    <row r="361" spans="1:4">
      <c r="A361">
        <v>337</v>
      </c>
      <c r="B361">
        <v>9.5308377611766399</v>
      </c>
      <c r="C361">
        <v>7.5413086224962456E-4</v>
      </c>
      <c r="D361">
        <v>8.6874115810113457E-3</v>
      </c>
    </row>
    <row r="362" spans="1:4">
      <c r="A362">
        <v>338</v>
      </c>
      <c r="B362">
        <v>9.5308377611766399</v>
      </c>
      <c r="C362">
        <v>9.5390393128997886E-3</v>
      </c>
      <c r="D362">
        <v>0.10988750725756335</v>
      </c>
    </row>
    <row r="363" spans="1:4">
      <c r="A363">
        <v>339</v>
      </c>
      <c r="B363">
        <v>9.5308377611766399</v>
      </c>
      <c r="C363">
        <v>1.4902018452000121E-2</v>
      </c>
      <c r="D363">
        <v>0.17166777566185604</v>
      </c>
    </row>
    <row r="364" spans="1:4">
      <c r="A364">
        <v>340</v>
      </c>
      <c r="B364">
        <v>9.5308377611766399</v>
      </c>
      <c r="C364">
        <v>1.8385223031250675E-2</v>
      </c>
      <c r="D364">
        <v>0.21179347972142104</v>
      </c>
    </row>
    <row r="365" spans="1:4">
      <c r="A365">
        <v>341</v>
      </c>
      <c r="B365">
        <v>10.157188491276173</v>
      </c>
      <c r="C365">
        <v>-1.2973647996373572E-2</v>
      </c>
      <c r="D365">
        <v>-0.14945339793606427</v>
      </c>
    </row>
    <row r="366" spans="1:4">
      <c r="A366">
        <v>342</v>
      </c>
      <c r="B366">
        <v>10.157188491276173</v>
      </c>
      <c r="C366">
        <v>-2.9869317908072901E-2</v>
      </c>
      <c r="D366">
        <v>-0.34408757325941314</v>
      </c>
    </row>
    <row r="367" spans="1:4">
      <c r="A367">
        <v>343</v>
      </c>
      <c r="B367">
        <v>10.157188491276173</v>
      </c>
      <c r="C367">
        <v>-3.241098588017266E-2</v>
      </c>
      <c r="D367">
        <v>-0.37336699528178913</v>
      </c>
    </row>
    <row r="368" spans="1:4">
      <c r="A368">
        <v>344</v>
      </c>
      <c r="B368">
        <v>10.157188491276173</v>
      </c>
      <c r="C368">
        <v>-3.0211544185473116E-2</v>
      </c>
      <c r="D368">
        <v>-0.34802994012760385</v>
      </c>
    </row>
    <row r="369" spans="1:4">
      <c r="A369">
        <v>345</v>
      </c>
      <c r="B369">
        <v>10.157188491276173</v>
      </c>
      <c r="C369">
        <v>-2.6381481158473719E-2</v>
      </c>
      <c r="D369">
        <v>-0.30390850767819944</v>
      </c>
    </row>
    <row r="370" spans="1:4">
      <c r="A370">
        <v>346</v>
      </c>
      <c r="B370">
        <v>10.783539221375708</v>
      </c>
      <c r="C370">
        <v>0.20184926594889241</v>
      </c>
      <c r="D370">
        <v>2.32525644871779</v>
      </c>
    </row>
    <row r="371" spans="1:4">
      <c r="A371">
        <v>347</v>
      </c>
      <c r="B371">
        <v>10.783539221375708</v>
      </c>
      <c r="C371">
        <v>0.13018479745679201</v>
      </c>
      <c r="D371">
        <v>1.4996984922802292</v>
      </c>
    </row>
    <row r="372" spans="1:4">
      <c r="A372">
        <v>348</v>
      </c>
      <c r="B372">
        <v>10.783539221375708</v>
      </c>
      <c r="C372">
        <v>9.1051704978891479E-2</v>
      </c>
      <c r="D372">
        <v>1.0488943973792979</v>
      </c>
    </row>
    <row r="373" spans="1:4">
      <c r="A373">
        <v>349</v>
      </c>
      <c r="B373">
        <v>10.783539221375708</v>
      </c>
      <c r="C373">
        <v>6.6911282656791471E-2</v>
      </c>
      <c r="D373">
        <v>0.77080236461735285</v>
      </c>
    </row>
    <row r="374" spans="1:4">
      <c r="A374">
        <v>350</v>
      </c>
      <c r="B374">
        <v>10.783539221375708</v>
      </c>
      <c r="C374">
        <v>5.0909875951091976E-2</v>
      </c>
      <c r="D374">
        <v>0.58646989277965678</v>
      </c>
    </row>
    <row r="375" spans="1:4">
      <c r="A375">
        <v>351</v>
      </c>
      <c r="B375">
        <v>8.2781363009775717</v>
      </c>
      <c r="C375">
        <v>0.10338325769009771</v>
      </c>
      <c r="D375">
        <v>1.1909510074424516</v>
      </c>
    </row>
    <row r="376" spans="1:4">
      <c r="A376">
        <v>352</v>
      </c>
      <c r="B376">
        <v>8.2781363009775717</v>
      </c>
      <c r="C376">
        <v>0.10348795714424774</v>
      </c>
      <c r="D376">
        <v>1.1921571207260206</v>
      </c>
    </row>
    <row r="377" spans="1:4">
      <c r="A377">
        <v>353</v>
      </c>
      <c r="B377">
        <v>8.2781363009775717</v>
      </c>
      <c r="C377">
        <v>0.1035251520523186</v>
      </c>
      <c r="D377">
        <v>1.1925855973887651</v>
      </c>
    </row>
    <row r="378" spans="1:4">
      <c r="A378">
        <v>354</v>
      </c>
      <c r="B378">
        <v>8.2781363009775717</v>
      </c>
      <c r="C378">
        <v>0.10354250484124883</v>
      </c>
      <c r="D378">
        <v>1.1927854974685279</v>
      </c>
    </row>
    <row r="379" spans="1:4">
      <c r="A379">
        <v>355</v>
      </c>
      <c r="B379">
        <v>8.2781363009775717</v>
      </c>
      <c r="C379">
        <v>0.10355197990048914</v>
      </c>
      <c r="D379">
        <v>1.1928946479402771</v>
      </c>
    </row>
    <row r="380" spans="1:4">
      <c r="A380">
        <v>356</v>
      </c>
      <c r="B380">
        <v>8.9044870310771067</v>
      </c>
      <c r="C380">
        <v>3.9885593207463543E-2</v>
      </c>
      <c r="D380">
        <v>0.45947272773373193</v>
      </c>
    </row>
    <row r="381" spans="1:4">
      <c r="A381">
        <v>357</v>
      </c>
      <c r="B381">
        <v>8.9044870310771067</v>
      </c>
      <c r="C381">
        <v>4.2598549527063767E-2</v>
      </c>
      <c r="D381">
        <v>0.49072535155470409</v>
      </c>
    </row>
    <row r="382" spans="1:4">
      <c r="A382">
        <v>358</v>
      </c>
      <c r="B382">
        <v>8.9044870310771067</v>
      </c>
      <c r="C382">
        <v>4.3656560812143752E-2</v>
      </c>
      <c r="D382">
        <v>0.50291339470602936</v>
      </c>
    </row>
    <row r="383" spans="1:4">
      <c r="A383">
        <v>359</v>
      </c>
      <c r="B383">
        <v>8.9044870310771067</v>
      </c>
      <c r="C383">
        <v>4.4175324674952776E-2</v>
      </c>
      <c r="D383">
        <v>0.50888943336878012</v>
      </c>
    </row>
    <row r="384" spans="1:4">
      <c r="A384">
        <v>360</v>
      </c>
      <c r="B384">
        <v>8.9044870310771067</v>
      </c>
      <c r="C384">
        <v>4.446744902111277E-2</v>
      </c>
      <c r="D384">
        <v>0.51225463767875257</v>
      </c>
    </row>
    <row r="385" spans="1:4">
      <c r="A385">
        <v>361</v>
      </c>
      <c r="B385">
        <v>9.5308377611766399</v>
      </c>
      <c r="C385">
        <v>-3.2395468152209617E-2</v>
      </c>
      <c r="D385">
        <v>-0.37318823467621604</v>
      </c>
    </row>
    <row r="386" spans="1:4">
      <c r="A386">
        <v>362</v>
      </c>
      <c r="B386">
        <v>9.5308377611766399</v>
      </c>
      <c r="C386">
        <v>-1.5467441315820452E-2</v>
      </c>
      <c r="D386">
        <v>-0.17818131512988461</v>
      </c>
    </row>
    <row r="387" spans="1:4">
      <c r="A387">
        <v>363</v>
      </c>
      <c r="B387">
        <v>9.5308377611766399</v>
      </c>
      <c r="C387">
        <v>-5.2030922932999601E-3</v>
      </c>
      <c r="D387">
        <v>-5.9938409245109042E-2</v>
      </c>
    </row>
    <row r="388" spans="1:4">
      <c r="A388">
        <v>364</v>
      </c>
      <c r="B388">
        <v>9.5308377611766399</v>
      </c>
      <c r="C388">
        <v>1.2682988618202273E-3</v>
      </c>
      <c r="D388">
        <v>1.4610506971551855E-2</v>
      </c>
    </row>
    <row r="389" spans="1:4">
      <c r="A389">
        <v>365</v>
      </c>
      <c r="B389">
        <v>9.5308377611766399</v>
      </c>
      <c r="C389">
        <v>5.5642140500005155E-3</v>
      </c>
      <c r="D389">
        <v>6.409844762618927E-2</v>
      </c>
    </row>
    <row r="390" spans="1:4">
      <c r="A390">
        <v>366</v>
      </c>
      <c r="B390">
        <v>10.157188491276173</v>
      </c>
      <c r="C390">
        <v>-2.2048810180372413E-2</v>
      </c>
      <c r="D390">
        <v>-0.25399714889944952</v>
      </c>
    </row>
    <row r="391" spans="1:4">
      <c r="A391">
        <v>367</v>
      </c>
      <c r="B391">
        <v>10.157188491276173</v>
      </c>
      <c r="C391">
        <v>-4.1159555982273943E-2</v>
      </c>
      <c r="D391">
        <v>-0.47414848166143919</v>
      </c>
    </row>
    <row r="392" spans="1:4">
      <c r="A392">
        <v>368</v>
      </c>
      <c r="B392">
        <v>10.157188491276173</v>
      </c>
      <c r="C392">
        <v>-4.5146930153773468E-2</v>
      </c>
      <c r="D392">
        <v>-0.52008210179200531</v>
      </c>
    </row>
    <row r="393" spans="1:4">
      <c r="A393">
        <v>369</v>
      </c>
      <c r="B393">
        <v>10.157188491276173</v>
      </c>
      <c r="C393">
        <v>-4.3827616720873763E-2</v>
      </c>
      <c r="D393">
        <v>-0.50488391886422201</v>
      </c>
    </row>
    <row r="394" spans="1:4">
      <c r="A394">
        <v>370</v>
      </c>
      <c r="B394">
        <v>10.157188491276173</v>
      </c>
      <c r="C394">
        <v>-4.0481657854973818E-2</v>
      </c>
      <c r="D394">
        <v>-0.46633925340059706</v>
      </c>
    </row>
    <row r="395" spans="1:4">
      <c r="A395">
        <v>371</v>
      </c>
      <c r="B395">
        <v>10.783539221375708</v>
      </c>
      <c r="C395">
        <v>0.19963979984439106</v>
      </c>
      <c r="D395">
        <v>2.2998039147015605</v>
      </c>
    </row>
    <row r="396" spans="1:4">
      <c r="A396">
        <v>372</v>
      </c>
      <c r="B396">
        <v>10.783539221375708</v>
      </c>
      <c r="C396">
        <v>0.1272519855953913</v>
      </c>
      <c r="D396">
        <v>1.4659131839139126</v>
      </c>
    </row>
    <row r="397" spans="1:4">
      <c r="A397">
        <v>373</v>
      </c>
      <c r="B397">
        <v>10.783539221375708</v>
      </c>
      <c r="C397">
        <v>8.7508678081691826E-2</v>
      </c>
      <c r="D397">
        <v>1.0080795541745668</v>
      </c>
    </row>
    <row r="398" spans="1:4">
      <c r="A398">
        <v>374</v>
      </c>
      <c r="B398">
        <v>10.783539221375708</v>
      </c>
      <c r="C398">
        <v>6.2835926187691626E-2</v>
      </c>
      <c r="D398">
        <v>0.72385520894626143</v>
      </c>
    </row>
    <row r="399" spans="1:4">
      <c r="A399">
        <v>375</v>
      </c>
      <c r="B399">
        <v>10.783539221375708</v>
      </c>
      <c r="C399">
        <v>4.6362055821891346E-2</v>
      </c>
      <c r="D399">
        <v>0.53408006597835511</v>
      </c>
    </row>
    <row r="400" spans="1:4">
      <c r="A400">
        <v>376</v>
      </c>
      <c r="B400">
        <v>8.2781363009775717</v>
      </c>
      <c r="C400">
        <v>9.2799166067328187E-2</v>
      </c>
      <c r="D400">
        <v>1.0690247414044263</v>
      </c>
    </row>
    <row r="401" spans="1:4">
      <c r="A401">
        <v>377</v>
      </c>
      <c r="B401">
        <v>8.2781363009775717</v>
      </c>
      <c r="C401">
        <v>9.2937345512758895E-2</v>
      </c>
      <c r="D401">
        <v>1.0706165363760729</v>
      </c>
    </row>
    <row r="402" spans="1:4">
      <c r="A402">
        <v>378</v>
      </c>
      <c r="B402">
        <v>8.2781363009775717</v>
      </c>
      <c r="C402">
        <v>9.2986535941138371E-2</v>
      </c>
      <c r="D402">
        <v>1.0711831986340052</v>
      </c>
    </row>
    <row r="403" spans="1:4">
      <c r="A403">
        <v>379</v>
      </c>
      <c r="B403">
        <v>8.2781363009775717</v>
      </c>
      <c r="C403">
        <v>9.3009503700598017E-2</v>
      </c>
      <c r="D403">
        <v>1.0714477818641948</v>
      </c>
    </row>
    <row r="404" spans="1:4">
      <c r="A404">
        <v>380</v>
      </c>
      <c r="B404">
        <v>8.2781363009775717</v>
      </c>
      <c r="C404">
        <v>9.3022056347857429E-2</v>
      </c>
      <c r="D404">
        <v>1.0715923854318679</v>
      </c>
    </row>
    <row r="405" spans="1:4">
      <c r="A405">
        <v>381</v>
      </c>
      <c r="B405">
        <v>8.9044870310771067</v>
      </c>
      <c r="C405">
        <v>2.9310396092913749E-2</v>
      </c>
      <c r="D405">
        <v>0.33764892435515143</v>
      </c>
    </row>
    <row r="406" spans="1:4">
      <c r="A406">
        <v>382</v>
      </c>
      <c r="B406">
        <v>8.9044870310771067</v>
      </c>
      <c r="C406">
        <v>3.274470437137289E-2</v>
      </c>
      <c r="D406">
        <v>0.37721135443797343</v>
      </c>
    </row>
    <row r="407" spans="1:4">
      <c r="A407">
        <v>383</v>
      </c>
      <c r="B407">
        <v>8.9044870310771067</v>
      </c>
      <c r="C407">
        <v>3.4102838908143696E-2</v>
      </c>
      <c r="D407">
        <v>0.39285674742469984</v>
      </c>
    </row>
    <row r="408" spans="1:4">
      <c r="A408">
        <v>384</v>
      </c>
      <c r="B408">
        <v>8.9044870310771067</v>
      </c>
      <c r="C408">
        <v>3.4773833355492556E-2</v>
      </c>
      <c r="D408">
        <v>0.40058644690325435</v>
      </c>
    </row>
    <row r="409" spans="1:4">
      <c r="A409">
        <v>385</v>
      </c>
      <c r="B409">
        <v>8.9044870310771067</v>
      </c>
      <c r="C409">
        <v>3.5153508355273644E-2</v>
      </c>
      <c r="D409">
        <v>0.40496021431582163</v>
      </c>
    </row>
    <row r="410" spans="1:4">
      <c r="A410">
        <v>386</v>
      </c>
      <c r="B410">
        <v>9.5308377611766399</v>
      </c>
      <c r="C410">
        <v>-4.7250289263740086E-2</v>
      </c>
      <c r="D410">
        <v>-0.54431230798783825</v>
      </c>
    </row>
    <row r="411" spans="1:4">
      <c r="A411">
        <v>387</v>
      </c>
      <c r="B411">
        <v>9.5308377611766399</v>
      </c>
      <c r="C411">
        <v>-2.919894994698069E-2</v>
      </c>
      <c r="D411">
        <v>-0.33636509075636484</v>
      </c>
    </row>
    <row r="412" spans="1:4">
      <c r="A412">
        <v>388</v>
      </c>
      <c r="B412">
        <v>9.5308377611766399</v>
      </c>
      <c r="C412">
        <v>-1.768191352499926E-2</v>
      </c>
      <c r="D412">
        <v>-0.20369151830398541</v>
      </c>
    </row>
    <row r="413" spans="1:4">
      <c r="A413">
        <v>389</v>
      </c>
      <c r="B413">
        <v>9.5308377611766399</v>
      </c>
      <c r="C413">
        <v>-1.0196754991849133E-2</v>
      </c>
      <c r="D413">
        <v>-0.11746423842232762</v>
      </c>
    </row>
    <row r="414" spans="1:4">
      <c r="A414">
        <v>390</v>
      </c>
      <c r="B414">
        <v>9.5308377611766399</v>
      </c>
      <c r="C414">
        <v>-5.1239660022392997E-3</v>
      </c>
      <c r="D414">
        <v>-5.902689283365721E-2</v>
      </c>
    </row>
    <row r="415" spans="1:4">
      <c r="A415">
        <v>391</v>
      </c>
      <c r="B415">
        <v>10.157188491276173</v>
      </c>
      <c r="C415">
        <v>-2.8876790736873659E-2</v>
      </c>
      <c r="D415">
        <v>-0.33265389182138894</v>
      </c>
    </row>
    <row r="416" spans="1:4">
      <c r="A416">
        <v>392</v>
      </c>
      <c r="B416">
        <v>10.157188491276173</v>
      </c>
      <c r="C416">
        <v>-4.9821923236573085E-2</v>
      </c>
      <c r="D416">
        <v>-0.57393693134706181</v>
      </c>
    </row>
    <row r="417" spans="1:4">
      <c r="A417">
        <v>393</v>
      </c>
      <c r="B417">
        <v>10.157188491276173</v>
      </c>
      <c r="C417">
        <v>-5.5108075458173644E-2</v>
      </c>
      <c r="D417">
        <v>-0.63483217158683936</v>
      </c>
    </row>
    <row r="418" spans="1:4">
      <c r="A418">
        <v>394</v>
      </c>
      <c r="B418">
        <v>10.157188491276173</v>
      </c>
      <c r="C418">
        <v>-5.4659712475972455E-2</v>
      </c>
      <c r="D418">
        <v>-0.62966713464291701</v>
      </c>
    </row>
    <row r="419" spans="1:4">
      <c r="A419">
        <v>395</v>
      </c>
      <c r="B419">
        <v>10.157188491276173</v>
      </c>
      <c r="C419">
        <v>-5.1862852753373545E-2</v>
      </c>
      <c r="D419">
        <v>-0.59744796319555182</v>
      </c>
    </row>
    <row r="420" spans="1:4">
      <c r="A420">
        <v>396</v>
      </c>
      <c r="B420">
        <v>10.783539221375708</v>
      </c>
      <c r="C420">
        <v>0.19797283449019254</v>
      </c>
      <c r="D420">
        <v>2.2806008627537735</v>
      </c>
    </row>
    <row r="421" spans="1:4">
      <c r="A421">
        <v>397</v>
      </c>
      <c r="B421">
        <v>10.783539221375708</v>
      </c>
      <c r="C421">
        <v>0.12503229859359166</v>
      </c>
      <c r="D421">
        <v>1.4403429075455232</v>
      </c>
    </row>
    <row r="422" spans="1:4">
      <c r="A422">
        <v>398</v>
      </c>
      <c r="B422">
        <v>10.783539221375708</v>
      </c>
      <c r="C422">
        <v>8.4818049609891588E-2</v>
      </c>
      <c r="D422">
        <v>0.97708414195076765</v>
      </c>
    </row>
    <row r="423" spans="1:4">
      <c r="A423">
        <v>399</v>
      </c>
      <c r="B423">
        <v>10.783539221375708</v>
      </c>
      <c r="C423">
        <v>5.9729997825291647E-2</v>
      </c>
      <c r="D423">
        <v>0.6880756388795829</v>
      </c>
    </row>
    <row r="424" spans="1:4" ht="16.5" thickBot="1">
      <c r="A424" s="12">
        <v>400</v>
      </c>
      <c r="B424" s="12">
        <v>10.783539221375708</v>
      </c>
      <c r="C424" s="12">
        <v>4.2883310910291073E-2</v>
      </c>
      <c r="D424" s="12">
        <v>0.49400573624960181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TEST</vt:lpstr>
      <vt:lpstr>S-curve</vt:lpstr>
      <vt:lpstr>DATA</vt:lpstr>
      <vt:lpstr>Munka6</vt:lpstr>
      <vt:lpstr>E-Stat1</vt:lpstr>
      <vt:lpstr>E-Stat2</vt:lpstr>
      <vt:lpstr>D-Stat1</vt:lpstr>
      <vt:lpstr>D-Stat2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Primusz</dc:creator>
  <cp:lastModifiedBy>Péter Primusz</cp:lastModifiedBy>
  <dcterms:created xsi:type="dcterms:W3CDTF">2023-01-02T19:48:56Z</dcterms:created>
  <dcterms:modified xsi:type="dcterms:W3CDTF">2024-01-16T11:07:35Z</dcterms:modified>
</cp:coreProperties>
</file>