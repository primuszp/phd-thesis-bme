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9a9013d9089981/doktori/"/>
    </mc:Choice>
  </mc:AlternateContent>
  <xr:revisionPtr revIDLastSave="69" documentId="13_ncr:1_{0D082543-D892-4700-B835-C44C27C7B306}" xr6:coauthVersionLast="47" xr6:coauthVersionMax="47" xr10:uidLastSave="{DFF75C83-D0B4-4C1B-8D62-647DE488C432}"/>
  <bookViews>
    <workbookView xWindow="-120" yWindow="-120" windowWidth="29040" windowHeight="17640" tabRatio="592" activeTab="2" xr2:uid="{CC56D508-5A55-4B4A-800C-F3554B98B718}"/>
  </bookViews>
  <sheets>
    <sheet name="Prony" sheetId="5" r:id="rId1"/>
    <sheet name="Munka1" sheetId="1" r:id="rId2"/>
    <sheet name="AG1" sheetId="2" r:id="rId3"/>
    <sheet name="Munka3" sheetId="3" r:id="rId4"/>
    <sheet name="MAS" sheetId="4" r:id="rId5"/>
  </sheets>
  <definedNames>
    <definedName name="solver_adj" localSheetId="2" hidden="1">'AG1'!$M$3:$M$8</definedName>
    <definedName name="solver_adj" localSheetId="4" hidden="1">MAS!$M$3:$M$7</definedName>
    <definedName name="solver_cvg" localSheetId="2" hidden="1">0.0001</definedName>
    <definedName name="solver_cvg" localSheetId="4" hidden="1">0.0001</definedName>
    <definedName name="solver_drv" localSheetId="2" hidden="1">1</definedName>
    <definedName name="solver_drv" localSheetId="4" hidden="1">1</definedName>
    <definedName name="solver_eng" localSheetId="2" hidden="1">1</definedName>
    <definedName name="solver_eng" localSheetId="4" hidden="1">1</definedName>
    <definedName name="solver_est" localSheetId="2" hidden="1">1</definedName>
    <definedName name="solver_est" localSheetId="4" hidden="1">1</definedName>
    <definedName name="solver_itr" localSheetId="2" hidden="1">2147483647</definedName>
    <definedName name="solver_itr" localSheetId="4" hidden="1">2147483647</definedName>
    <definedName name="solver_lhs1" localSheetId="2" hidden="1">'AG1'!$M$3</definedName>
    <definedName name="solver_lhs1" localSheetId="4" hidden="1">MAS!$M$3</definedName>
    <definedName name="solver_lhs2" localSheetId="2" hidden="1">'AG1'!$M$4</definedName>
    <definedName name="solver_lhs2" localSheetId="4" hidden="1">MAS!$M$4</definedName>
    <definedName name="solver_lhs3" localSheetId="4" hidden="1">MAS!$M$9</definedName>
    <definedName name="solver_lin" localSheetId="2" hidden="1">2</definedName>
    <definedName name="solver_lin" localSheetId="4" hidden="1">2</definedName>
    <definedName name="solver_mip" localSheetId="2" hidden="1">2147483647</definedName>
    <definedName name="solver_mip" localSheetId="4" hidden="1">2147483647</definedName>
    <definedName name="solver_mni" localSheetId="2" hidden="1">30</definedName>
    <definedName name="solver_mni" localSheetId="4" hidden="1">30</definedName>
    <definedName name="solver_mrt" localSheetId="2" hidden="1">0.075</definedName>
    <definedName name="solver_mrt" localSheetId="4" hidden="1">0.075</definedName>
    <definedName name="solver_msl" localSheetId="2" hidden="1">2</definedName>
    <definedName name="solver_msl" localSheetId="4" hidden="1">2</definedName>
    <definedName name="solver_neg" localSheetId="2" hidden="1">2</definedName>
    <definedName name="solver_neg" localSheetId="4" hidden="1">2</definedName>
    <definedName name="solver_nod" localSheetId="2" hidden="1">2147483647</definedName>
    <definedName name="solver_nod" localSheetId="4" hidden="1">2147483647</definedName>
    <definedName name="solver_num" localSheetId="2" hidden="1">2</definedName>
    <definedName name="solver_num" localSheetId="4" hidden="1">2</definedName>
    <definedName name="solver_nwt" localSheetId="2" hidden="1">1</definedName>
    <definedName name="solver_nwt" localSheetId="4" hidden="1">1</definedName>
    <definedName name="solver_opt" localSheetId="2" hidden="1">'AG1'!$R$22</definedName>
    <definedName name="solver_opt" localSheetId="4" hidden="1">MAS!$R$28</definedName>
    <definedName name="solver_pre" localSheetId="2" hidden="1">0.000001</definedName>
    <definedName name="solver_pre" localSheetId="4" hidden="1">0.000001</definedName>
    <definedName name="solver_rbv" localSheetId="2" hidden="1">1</definedName>
    <definedName name="solver_rbv" localSheetId="4" hidden="1">1</definedName>
    <definedName name="solver_rel1" localSheetId="2" hidden="1">3</definedName>
    <definedName name="solver_rel1" localSheetId="4" hidden="1">3</definedName>
    <definedName name="solver_rel2" localSheetId="2" hidden="1">3</definedName>
    <definedName name="solver_rel2" localSheetId="4" hidden="1">3</definedName>
    <definedName name="solver_rel3" localSheetId="4" hidden="1">3</definedName>
    <definedName name="solver_rhs1" localSheetId="2" hidden="1">0</definedName>
    <definedName name="solver_rhs1" localSheetId="4" hidden="1">0</definedName>
    <definedName name="solver_rhs2" localSheetId="2" hidden="1">'AG1'!$N$4</definedName>
    <definedName name="solver_rhs2" localSheetId="4" hidden="1">MAS!$N$4</definedName>
    <definedName name="solver_rhs3" localSheetId="4" hidden="1">2</definedName>
    <definedName name="solver_rlx" localSheetId="2" hidden="1">2</definedName>
    <definedName name="solver_rlx" localSheetId="4" hidden="1">2</definedName>
    <definedName name="solver_rsd" localSheetId="2" hidden="1">0</definedName>
    <definedName name="solver_rsd" localSheetId="4" hidden="1">0</definedName>
    <definedName name="solver_scl" localSheetId="2" hidden="1">1</definedName>
    <definedName name="solver_scl" localSheetId="4" hidden="1">1</definedName>
    <definedName name="solver_sho" localSheetId="2" hidden="1">2</definedName>
    <definedName name="solver_sho" localSheetId="4" hidden="1">2</definedName>
    <definedName name="solver_ssz" localSheetId="2" hidden="1">100</definedName>
    <definedName name="solver_ssz" localSheetId="4" hidden="1">100</definedName>
    <definedName name="solver_tim" localSheetId="2" hidden="1">2147483647</definedName>
    <definedName name="solver_tim" localSheetId="4" hidden="1">2147483647</definedName>
    <definedName name="solver_tol" localSheetId="2" hidden="1">0.01</definedName>
    <definedName name="solver_tol" localSheetId="4" hidden="1">0.01</definedName>
    <definedName name="solver_typ" localSheetId="2" hidden="1">2</definedName>
    <definedName name="solver_typ" localSheetId="4" hidden="1">2</definedName>
    <definedName name="solver_val" localSheetId="2" hidden="1">0</definedName>
    <definedName name="solver_val" localSheetId="4" hidden="1">0</definedName>
    <definedName name="solver_ver" localSheetId="2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3" i="2"/>
  <c r="P7" i="2"/>
  <c r="I8" i="2"/>
  <c r="I3" i="2"/>
  <c r="I4" i="2"/>
  <c r="I5" i="2"/>
  <c r="I6" i="2"/>
  <c r="I7" i="2"/>
  <c r="I9" i="2"/>
  <c r="I10" i="2"/>
  <c r="I11" i="2"/>
  <c r="I12" i="2"/>
  <c r="I13" i="2"/>
  <c r="I14" i="2"/>
  <c r="I15" i="2"/>
  <c r="I16" i="2"/>
  <c r="I17" i="2"/>
  <c r="I18" i="2"/>
  <c r="I19" i="2"/>
  <c r="I20" i="2"/>
  <c r="P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M10" i="2"/>
  <c r="P4" i="2"/>
  <c r="P5" i="2"/>
  <c r="P6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Q3" i="2"/>
  <c r="D5" i="5"/>
  <c r="D6" i="5"/>
  <c r="D7" i="5"/>
  <c r="D8" i="5"/>
  <c r="D9" i="5"/>
  <c r="D10" i="5"/>
  <c r="D11" i="5"/>
  <c r="D12" i="5"/>
  <c r="D13" i="5"/>
  <c r="D14" i="5"/>
  <c r="D15" i="5"/>
  <c r="D16" i="5"/>
  <c r="X6" i="5"/>
  <c r="X8" i="5"/>
  <c r="X10" i="5"/>
  <c r="X11" i="5"/>
  <c r="X12" i="5"/>
  <c r="X13" i="5"/>
  <c r="X14" i="5"/>
  <c r="X15" i="5"/>
  <c r="X16" i="5"/>
  <c r="X5" i="5"/>
  <c r="X7" i="5"/>
  <c r="X4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X9" i="5"/>
  <c r="V9" i="5"/>
  <c r="U9" i="5"/>
  <c r="T9" i="5"/>
  <c r="S9" i="5"/>
  <c r="R9" i="5"/>
  <c r="Q9" i="5"/>
  <c r="P9" i="5"/>
  <c r="O9" i="5"/>
  <c r="N9" i="5"/>
  <c r="M9" i="5"/>
  <c r="L9" i="5"/>
  <c r="K9" i="5"/>
  <c r="J9" i="5"/>
  <c r="V8" i="5"/>
  <c r="U8" i="5"/>
  <c r="T8" i="5"/>
  <c r="S8" i="5"/>
  <c r="R8" i="5"/>
  <c r="Q8" i="5"/>
  <c r="P8" i="5"/>
  <c r="O8" i="5"/>
  <c r="N8" i="5"/>
  <c r="M8" i="5"/>
  <c r="L8" i="5"/>
  <c r="K8" i="5"/>
  <c r="J8" i="5"/>
  <c r="V7" i="5"/>
  <c r="U7" i="5"/>
  <c r="T7" i="5"/>
  <c r="S7" i="5"/>
  <c r="R7" i="5"/>
  <c r="Q7" i="5"/>
  <c r="P7" i="5"/>
  <c r="O7" i="5"/>
  <c r="N7" i="5"/>
  <c r="M7" i="5"/>
  <c r="L7" i="5"/>
  <c r="K7" i="5"/>
  <c r="J7" i="5"/>
  <c r="V6" i="5"/>
  <c r="U6" i="5"/>
  <c r="T6" i="5"/>
  <c r="S6" i="5"/>
  <c r="R6" i="5"/>
  <c r="Q6" i="5"/>
  <c r="P6" i="5"/>
  <c r="O6" i="5"/>
  <c r="N6" i="5"/>
  <c r="M6" i="5"/>
  <c r="L6" i="5"/>
  <c r="K6" i="5"/>
  <c r="J6" i="5"/>
  <c r="V5" i="5"/>
  <c r="U5" i="5"/>
  <c r="T5" i="5"/>
  <c r="S5" i="5"/>
  <c r="R5" i="5"/>
  <c r="Q5" i="5"/>
  <c r="P5" i="5"/>
  <c r="O5" i="5"/>
  <c r="N5" i="5"/>
  <c r="M5" i="5"/>
  <c r="L5" i="5"/>
  <c r="K5" i="5"/>
  <c r="J5" i="5"/>
  <c r="V4" i="5"/>
  <c r="U4" i="5"/>
  <c r="T4" i="5"/>
  <c r="S4" i="5"/>
  <c r="R4" i="5"/>
  <c r="Q4" i="5"/>
  <c r="P4" i="5"/>
  <c r="O4" i="5"/>
  <c r="N4" i="5"/>
  <c r="M4" i="5"/>
  <c r="L4" i="5"/>
  <c r="K4" i="5"/>
  <c r="J4" i="5"/>
  <c r="D4" i="5"/>
  <c r="W4" i="5" l="1" a="1"/>
  <c r="W4" i="5" s="1"/>
  <c r="H13" i="5" s="1"/>
  <c r="H5" i="5" l="1"/>
  <c r="H8" i="5"/>
  <c r="H11" i="5"/>
  <c r="H6" i="5"/>
  <c r="H10" i="5"/>
  <c r="H16" i="5"/>
  <c r="H14" i="5"/>
  <c r="H9" i="5"/>
  <c r="H12" i="5"/>
  <c r="H15" i="5"/>
  <c r="H4" i="5"/>
  <c r="H7" i="5"/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3" i="2"/>
  <c r="X5" i="1" l="1"/>
  <c r="X6" i="1"/>
  <c r="X7" i="1"/>
  <c r="X8" i="1"/>
  <c r="X9" i="1"/>
  <c r="X10" i="1"/>
  <c r="X11" i="1"/>
  <c r="X12" i="1"/>
  <c r="X13" i="1"/>
  <c r="X14" i="1"/>
  <c r="X15" i="1"/>
  <c r="X16" i="1"/>
  <c r="X4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J5" i="1"/>
  <c r="K5" i="1"/>
  <c r="L5" i="1"/>
  <c r="M5" i="1"/>
  <c r="N5" i="1"/>
  <c r="O5" i="1"/>
  <c r="P5" i="1"/>
  <c r="Q5" i="1"/>
  <c r="R5" i="1"/>
  <c r="S5" i="1"/>
  <c r="T5" i="1"/>
  <c r="U5" i="1"/>
  <c r="V5" i="1"/>
  <c r="J6" i="1"/>
  <c r="K6" i="1"/>
  <c r="L6" i="1"/>
  <c r="M6" i="1"/>
  <c r="N6" i="1"/>
  <c r="O6" i="1"/>
  <c r="P6" i="1"/>
  <c r="Q6" i="1"/>
  <c r="R6" i="1"/>
  <c r="S6" i="1"/>
  <c r="T6" i="1"/>
  <c r="U6" i="1"/>
  <c r="V6" i="1"/>
  <c r="J7" i="1"/>
  <c r="K7" i="1"/>
  <c r="L7" i="1"/>
  <c r="M7" i="1"/>
  <c r="N7" i="1"/>
  <c r="O7" i="1"/>
  <c r="P7" i="1"/>
  <c r="Q7" i="1"/>
  <c r="R7" i="1"/>
  <c r="S7" i="1"/>
  <c r="T7" i="1"/>
  <c r="U7" i="1"/>
  <c r="V7" i="1"/>
  <c r="J8" i="1"/>
  <c r="K8" i="1"/>
  <c r="L8" i="1"/>
  <c r="M8" i="1"/>
  <c r="N8" i="1"/>
  <c r="O8" i="1"/>
  <c r="P8" i="1"/>
  <c r="Q8" i="1"/>
  <c r="R8" i="1"/>
  <c r="S8" i="1"/>
  <c r="T8" i="1"/>
  <c r="U8" i="1"/>
  <c r="V8" i="1"/>
  <c r="J9" i="1"/>
  <c r="K9" i="1"/>
  <c r="L9" i="1"/>
  <c r="M9" i="1"/>
  <c r="N9" i="1"/>
  <c r="O9" i="1"/>
  <c r="P9" i="1"/>
  <c r="Q9" i="1"/>
  <c r="R9" i="1"/>
  <c r="S9" i="1"/>
  <c r="T9" i="1"/>
  <c r="U9" i="1"/>
  <c r="V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L4" i="1"/>
  <c r="M4" i="1"/>
  <c r="N4" i="1"/>
  <c r="O4" i="1"/>
  <c r="P4" i="1"/>
  <c r="Q4" i="1"/>
  <c r="R4" i="1"/>
  <c r="S4" i="1"/>
  <c r="T4" i="1"/>
  <c r="U4" i="1"/>
  <c r="V4" i="1"/>
  <c r="K4" i="1"/>
  <c r="J4" i="1"/>
  <c r="D15" i="1"/>
  <c r="T2" i="4"/>
  <c r="H4" i="4"/>
  <c r="Q3" i="4"/>
  <c r="N4" i="4"/>
  <c r="P4" i="4"/>
  <c r="P5" i="4"/>
  <c r="Q5" i="4" s="1"/>
  <c r="P6" i="4"/>
  <c r="H6" i="4" s="1"/>
  <c r="P7" i="4"/>
  <c r="H7" i="4" s="1"/>
  <c r="P8" i="4"/>
  <c r="H8" i="4" s="1"/>
  <c r="P9" i="4"/>
  <c r="H9" i="4" s="1"/>
  <c r="P10" i="4"/>
  <c r="H10" i="4" s="1"/>
  <c r="P11" i="4"/>
  <c r="H11" i="4" s="1"/>
  <c r="P12" i="4"/>
  <c r="H12" i="4" s="1"/>
  <c r="P13" i="4"/>
  <c r="H13" i="4" s="1"/>
  <c r="P14" i="4"/>
  <c r="H14" i="4" s="1"/>
  <c r="P15" i="4"/>
  <c r="H15" i="4" s="1"/>
  <c r="P16" i="4"/>
  <c r="H16" i="4" s="1"/>
  <c r="P17" i="4"/>
  <c r="H17" i="4" s="1"/>
  <c r="P18" i="4"/>
  <c r="H18" i="4" s="1"/>
  <c r="P19" i="4"/>
  <c r="H19" i="4" s="1"/>
  <c r="P20" i="4"/>
  <c r="H20" i="4" s="1"/>
  <c r="P21" i="4"/>
  <c r="H21" i="4" s="1"/>
  <c r="P22" i="4"/>
  <c r="H22" i="4" s="1"/>
  <c r="P23" i="4"/>
  <c r="H23" i="4" s="1"/>
  <c r="P24" i="4"/>
  <c r="H24" i="4" s="1"/>
  <c r="P25" i="4"/>
  <c r="H25" i="4" s="1"/>
  <c r="P26" i="4"/>
  <c r="H26" i="4" s="1"/>
  <c r="P3" i="4"/>
  <c r="E17" i="3"/>
  <c r="W4" i="1" l="1" a="1"/>
  <c r="W4" i="1" s="1"/>
  <c r="Q26" i="4"/>
  <c r="R26" i="4" s="1"/>
  <c r="Q20" i="4"/>
  <c r="R20" i="4" s="1"/>
  <c r="Q14" i="4"/>
  <c r="R14" i="4" s="1"/>
  <c r="Q8" i="4"/>
  <c r="R8" i="4" s="1"/>
  <c r="Q19" i="4"/>
  <c r="R19" i="4" s="1"/>
  <c r="Q17" i="4"/>
  <c r="R17" i="4" s="1"/>
  <c r="Q16" i="4"/>
  <c r="R16" i="4" s="1"/>
  <c r="Q4" i="4"/>
  <c r="R4" i="4" s="1"/>
  <c r="Q15" i="4"/>
  <c r="R15" i="4" s="1"/>
  <c r="Q13" i="4"/>
  <c r="R13" i="4" s="1"/>
  <c r="Q23" i="4"/>
  <c r="R23" i="4" s="1"/>
  <c r="Q11" i="4"/>
  <c r="R11" i="4" s="1"/>
  <c r="Q25" i="4"/>
  <c r="R25" i="4" s="1"/>
  <c r="Q24" i="4"/>
  <c r="R24" i="4" s="1"/>
  <c r="Q12" i="4"/>
  <c r="R12" i="4" s="1"/>
  <c r="Q22" i="4"/>
  <c r="R22" i="4" s="1"/>
  <c r="Q10" i="4"/>
  <c r="R10" i="4" s="1"/>
  <c r="Q21" i="4"/>
  <c r="R21" i="4" s="1"/>
  <c r="Q9" i="4"/>
  <c r="R9" i="4" s="1"/>
  <c r="Q7" i="4"/>
  <c r="R7" i="4" s="1"/>
  <c r="Q18" i="4"/>
  <c r="R18" i="4" s="1"/>
  <c r="Q6" i="4"/>
  <c r="R6" i="4" s="1"/>
  <c r="H5" i="4"/>
  <c r="H3" i="4"/>
  <c r="R5" i="4"/>
  <c r="H4" i="1" l="1"/>
  <c r="H14" i="1"/>
  <c r="H13" i="1"/>
  <c r="H6" i="1"/>
  <c r="H15" i="1"/>
  <c r="H12" i="1"/>
  <c r="H9" i="1"/>
  <c r="H8" i="1"/>
  <c r="H5" i="1"/>
  <c r="H11" i="1"/>
  <c r="H10" i="1"/>
  <c r="H7" i="1"/>
  <c r="H16" i="1"/>
  <c r="R3" i="4"/>
  <c r="R28" i="4" s="1"/>
  <c r="G3" i="2" l="1"/>
  <c r="N4" i="2"/>
  <c r="Q10" i="2" l="1"/>
  <c r="R10" i="2" s="1"/>
  <c r="Q13" i="2"/>
  <c r="R13" i="2" s="1"/>
  <c r="Q7" i="2"/>
  <c r="R7" i="2" s="1"/>
  <c r="Q14" i="2"/>
  <c r="R14" i="2" s="1"/>
  <c r="Q11" i="2"/>
  <c r="R11" i="2" s="1"/>
  <c r="Q20" i="2"/>
  <c r="R20" i="2" s="1"/>
  <c r="Q18" i="2"/>
  <c r="R18" i="2" s="1"/>
  <c r="Q6" i="2"/>
  <c r="R6" i="2" s="1"/>
  <c r="Q15" i="2"/>
  <c r="R15" i="2" s="1"/>
  <c r="Q12" i="2"/>
  <c r="R12" i="2" s="1"/>
  <c r="Q9" i="2"/>
  <c r="R9" i="2" s="1"/>
  <c r="Q19" i="2"/>
  <c r="R19" i="2" s="1"/>
  <c r="Q17" i="2"/>
  <c r="R17" i="2" s="1"/>
  <c r="Q5" i="2"/>
  <c r="R5" i="2" s="1"/>
  <c r="R3" i="2"/>
  <c r="H3" i="2"/>
  <c r="Q8" i="2"/>
  <c r="R8" i="2" s="1"/>
  <c r="Q16" i="2"/>
  <c r="R16" i="2" s="1"/>
  <c r="Q4" i="2"/>
  <c r="R4" i="2" s="1"/>
  <c r="T2" i="2" l="1"/>
  <c r="R22" i="2"/>
  <c r="D5" i="1" l="1"/>
  <c r="D6" i="1"/>
  <c r="D7" i="1"/>
  <c r="D8" i="1"/>
  <c r="D9" i="1"/>
  <c r="D10" i="1"/>
  <c r="D11" i="1"/>
  <c r="D12" i="1"/>
  <c r="D13" i="1"/>
  <c r="D14" i="1"/>
  <c r="D16" i="1"/>
  <c r="D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<sst xmlns="http://schemas.openxmlformats.org/spreadsheetml/2006/main" count="58" uniqueCount="29">
  <si>
    <t>t</t>
  </si>
  <si>
    <t>N</t>
  </si>
  <si>
    <t>f</t>
  </si>
  <si>
    <t>fr</t>
  </si>
  <si>
    <t>Results</t>
  </si>
  <si>
    <t>Initial Values</t>
  </si>
  <si>
    <r>
      <t>E</t>
    </r>
    <r>
      <rPr>
        <b/>
        <vertAlign val="subscript"/>
        <sz val="11"/>
        <color theme="1"/>
        <rFont val="Calibri"/>
        <family val="2"/>
        <charset val="238"/>
        <scheme val="minor"/>
      </rPr>
      <t>N</t>
    </r>
  </si>
  <si>
    <r>
      <t>f</t>
    </r>
    <r>
      <rPr>
        <b/>
        <vertAlign val="subscript"/>
        <sz val="11"/>
        <color theme="1"/>
        <rFont val="Calibri"/>
        <family val="2"/>
        <charset val="238"/>
        <scheme val="minor"/>
      </rPr>
      <t>pre</t>
    </r>
    <r>
      <rPr>
        <b/>
        <sz val="11"/>
        <color theme="1"/>
        <rFont val="Calibri"/>
        <family val="2"/>
        <charset val="238"/>
        <scheme val="minor"/>
      </rPr>
      <t xml:space="preserve"> [Hz]</t>
    </r>
  </si>
  <si>
    <t>Error</t>
  </si>
  <si>
    <r>
      <t>R</t>
    </r>
    <r>
      <rPr>
        <b/>
        <vertAlign val="superscript"/>
        <sz val="10"/>
        <rFont val="Arial"/>
        <family val="2"/>
        <charset val="238"/>
      </rPr>
      <t>2</t>
    </r>
  </si>
  <si>
    <t>Tref</t>
  </si>
  <si>
    <r>
      <t>E</t>
    </r>
    <r>
      <rPr>
        <b/>
        <vertAlign val="subscript"/>
        <sz val="11"/>
        <color theme="1"/>
        <rFont val="Calibri"/>
        <family val="2"/>
        <charset val="238"/>
        <scheme val="minor"/>
      </rPr>
      <t>min</t>
    </r>
  </si>
  <si>
    <r>
      <t>E</t>
    </r>
    <r>
      <rPr>
        <b/>
        <vertAlign val="subscript"/>
        <sz val="11"/>
        <color theme="1"/>
        <rFont val="Calibri"/>
        <family val="2"/>
        <charset val="238"/>
        <scheme val="minor"/>
      </rPr>
      <t>max</t>
    </r>
  </si>
  <si>
    <t>R</t>
  </si>
  <si>
    <t>C</t>
  </si>
  <si>
    <t>a</t>
  </si>
  <si>
    <t>b</t>
  </si>
  <si>
    <t>Use Solver on this Cell</t>
  </si>
  <si>
    <t>E* [MPa]</t>
  </si>
  <si>
    <t>E' [MPa]</t>
  </si>
  <si>
    <t>E'' [MPa]</t>
  </si>
  <si>
    <t>φ [°]</t>
  </si>
  <si>
    <t>T [°C]</t>
  </si>
  <si>
    <t>f [Hz]</t>
  </si>
  <si>
    <t>E(t)</t>
  </si>
  <si>
    <t>E0</t>
  </si>
  <si>
    <t>tr</t>
  </si>
  <si>
    <t>AG1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</si>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</sst>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0"/>
    <numFmt numFmtId="166" formatCode="0.0000"/>
    <numFmt numFmtId="167" formatCode="0.000"/>
    <numFmt numFmtId="168" formatCode="0.0"/>
  </numFmts>
  <fonts count="9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vertAlign val="subscript"/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b/>
      <vertAlign val="superscript"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4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right" vertical="center"/>
    </xf>
    <xf numFmtId="166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" fontId="0" fillId="2" borderId="0" xfId="0" applyNumberFormat="1" applyFill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0" fontId="0" fillId="0" borderId="3" xfId="0" applyBorder="1"/>
    <xf numFmtId="165" fontId="0" fillId="0" borderId="4" xfId="0" applyNumberForma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167" fontId="0" fillId="2" borderId="0" xfId="0" applyNumberFormat="1" applyFill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8" fontId="0" fillId="0" borderId="0" xfId="0" applyNumberFormat="1"/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7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Munka1!$C$4:$C$16</c:f>
              <c:numCache>
                <c:formatCode>General</c:formatCode>
                <c:ptCount val="13"/>
                <c:pt idx="0">
                  <c:v>1E-3</c:v>
                </c:pt>
                <c:pt idx="1">
                  <c:v>3.0000000000000001E-3</c:v>
                </c:pt>
                <c:pt idx="2">
                  <c:v>0.01</c:v>
                </c:pt>
                <c:pt idx="3">
                  <c:v>0.03</c:v>
                </c:pt>
                <c:pt idx="4">
                  <c:v>0.1</c:v>
                </c:pt>
                <c:pt idx="5">
                  <c:v>0.3</c:v>
                </c:pt>
                <c:pt idx="6">
                  <c:v>1</c:v>
                </c:pt>
                <c:pt idx="7">
                  <c:v>3</c:v>
                </c:pt>
                <c:pt idx="8">
                  <c:v>10</c:v>
                </c:pt>
                <c:pt idx="9">
                  <c:v>30</c:v>
                </c:pt>
                <c:pt idx="10">
                  <c:v>100</c:v>
                </c:pt>
                <c:pt idx="11">
                  <c:v>300</c:v>
                </c:pt>
                <c:pt idx="12">
                  <c:v>1000</c:v>
                </c:pt>
              </c:numCache>
            </c:numRef>
          </c:xVal>
          <c:yVal>
            <c:numRef>
              <c:f>Munka1!$E$4:$E$16</c:f>
              <c:numCache>
                <c:formatCode>General</c:formatCode>
                <c:ptCount val="13"/>
                <c:pt idx="0">
                  <c:v>35911.78807065</c:v>
                </c:pt>
                <c:pt idx="1">
                  <c:v>35489.970961109997</c:v>
                </c:pt>
                <c:pt idx="2">
                  <c:v>34775.269830609999</c:v>
                </c:pt>
                <c:pt idx="3">
                  <c:v>33781.333428719998</c:v>
                </c:pt>
                <c:pt idx="4">
                  <c:v>32147.712789829999</c:v>
                </c:pt>
                <c:pt idx="5">
                  <c:v>29979.570979399999</c:v>
                </c:pt>
                <c:pt idx="6">
                  <c:v>26670.690541060001</c:v>
                </c:pt>
                <c:pt idx="7">
                  <c:v>22744.85083657</c:v>
                </c:pt>
                <c:pt idx="8">
                  <c:v>17692.07668482</c:v>
                </c:pt>
                <c:pt idx="9">
                  <c:v>12975.77110632</c:v>
                </c:pt>
                <c:pt idx="10">
                  <c:v>8542.6158145600002</c:v>
                </c:pt>
                <c:pt idx="11">
                  <c:v>5650.92</c:v>
                </c:pt>
                <c:pt idx="12">
                  <c:v>3718.828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A4-44B6-9B01-1459518B1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342271"/>
        <c:axId val="943337279"/>
      </c:scatterChart>
      <c:valAx>
        <c:axId val="94334227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43337279"/>
        <c:crosses val="autoZero"/>
        <c:crossBetween val="midCat"/>
      </c:valAx>
      <c:valAx>
        <c:axId val="94333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4334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Munka1!$J$21:$J$53</c:f>
              <c:numCache>
                <c:formatCode>General</c:formatCode>
                <c:ptCount val="33"/>
                <c:pt idx="0">
                  <c:v>9.9999999999999995E-7</c:v>
                </c:pt>
                <c:pt idx="1">
                  <c:v>3.1622776601683792E-6</c:v>
                </c:pt>
                <c:pt idx="2">
                  <c:v>1.0000000000000001E-5</c:v>
                </c:pt>
                <c:pt idx="3">
                  <c:v>3.1622776601683795E-5</c:v>
                </c:pt>
                <c:pt idx="4">
                  <c:v>1.0000000000000002E-4</c:v>
                </c:pt>
                <c:pt idx="5">
                  <c:v>3.1622776601683799E-4</c:v>
                </c:pt>
                <c:pt idx="6">
                  <c:v>1.0000000000000002E-3</c:v>
                </c:pt>
                <c:pt idx="7">
                  <c:v>3.1622776601683803E-3</c:v>
                </c:pt>
                <c:pt idx="8">
                  <c:v>1.0000000000000004E-2</c:v>
                </c:pt>
                <c:pt idx="9">
                  <c:v>3.1622776601683805E-2</c:v>
                </c:pt>
                <c:pt idx="10">
                  <c:v>0.10000000000000005</c:v>
                </c:pt>
                <c:pt idx="11">
                  <c:v>0.31622776601683811</c:v>
                </c:pt>
                <c:pt idx="12">
                  <c:v>1.0000000000000007</c:v>
                </c:pt>
                <c:pt idx="13">
                  <c:v>3.1622776601683817</c:v>
                </c:pt>
                <c:pt idx="14">
                  <c:v>10.000000000000009</c:v>
                </c:pt>
                <c:pt idx="15">
                  <c:v>31.622776601683825</c:v>
                </c:pt>
                <c:pt idx="16">
                  <c:v>100.0000000000001</c:v>
                </c:pt>
                <c:pt idx="17">
                  <c:v>316.22776601683825</c:v>
                </c:pt>
                <c:pt idx="18">
                  <c:v>1000.000000000001</c:v>
                </c:pt>
                <c:pt idx="19">
                  <c:v>3162.2776601683827</c:v>
                </c:pt>
                <c:pt idx="20">
                  <c:v>10000.000000000011</c:v>
                </c:pt>
                <c:pt idx="21">
                  <c:v>31622.776601683829</c:v>
                </c:pt>
                <c:pt idx="22">
                  <c:v>100000.00000000012</c:v>
                </c:pt>
                <c:pt idx="23">
                  <c:v>316227.76601683832</c:v>
                </c:pt>
                <c:pt idx="24">
                  <c:v>1000000.0000000013</c:v>
                </c:pt>
                <c:pt idx="25">
                  <c:v>3162277.6601683837</c:v>
                </c:pt>
                <c:pt idx="26">
                  <c:v>10000000.000000015</c:v>
                </c:pt>
                <c:pt idx="27">
                  <c:v>31622776.601683844</c:v>
                </c:pt>
                <c:pt idx="28">
                  <c:v>100000000.00000016</c:v>
                </c:pt>
                <c:pt idx="29">
                  <c:v>316227766.01683849</c:v>
                </c:pt>
                <c:pt idx="30">
                  <c:v>1000000000.0000018</c:v>
                </c:pt>
                <c:pt idx="31">
                  <c:v>3162277660.168385</c:v>
                </c:pt>
                <c:pt idx="32">
                  <c:v>10000000000.000019</c:v>
                </c:pt>
              </c:numCache>
            </c:numRef>
          </c:xVal>
          <c:yVal>
            <c:numRef>
              <c:f>Munka1!$K$21:$K$53</c:f>
              <c:numCache>
                <c:formatCode>General</c:formatCode>
                <c:ptCount val="33"/>
                <c:pt idx="0">
                  <c:v>23633.797356775725</c:v>
                </c:pt>
                <c:pt idx="1">
                  <c:v>23606.598327706419</c:v>
                </c:pt>
                <c:pt idx="2">
                  <c:v>23554.738453773443</c:v>
                </c:pt>
                <c:pt idx="3">
                  <c:v>23447.350134727247</c:v>
                </c:pt>
                <c:pt idx="4">
                  <c:v>23240.858513700899</c:v>
                </c:pt>
                <c:pt idx="5">
                  <c:v>22829.9342896257</c:v>
                </c:pt>
                <c:pt idx="6">
                  <c:v>22110.410233601775</c:v>
                </c:pt>
                <c:pt idx="7">
                  <c:v>20768.850393444052</c:v>
                </c:pt>
                <c:pt idx="8">
                  <c:v>18633.87694284266</c:v>
                </c:pt>
                <c:pt idx="9">
                  <c:v>15278.361772449356</c:v>
                </c:pt>
                <c:pt idx="10">
                  <c:v>11777.652391324853</c:v>
                </c:pt>
                <c:pt idx="11">
                  <c:v>7873.1117576787001</c:v>
                </c:pt>
                <c:pt idx="12">
                  <c:v>5212.4121762782879</c:v>
                </c:pt>
                <c:pt idx="13">
                  <c:v>3621.5965336681002</c:v>
                </c:pt>
                <c:pt idx="14">
                  <c:v>2691.1820669497502</c:v>
                </c:pt>
                <c:pt idx="15">
                  <c:v>2316.4015566842731</c:v>
                </c:pt>
                <c:pt idx="16">
                  <c:v>2102.891321086347</c:v>
                </c:pt>
                <c:pt idx="17">
                  <c:v>2015.7075153567705</c:v>
                </c:pt>
                <c:pt idx="18">
                  <c:v>1965.7781156534948</c:v>
                </c:pt>
                <c:pt idx="19">
                  <c:v>1945.0577439947704</c:v>
                </c:pt>
                <c:pt idx="20">
                  <c:v>1933.1631042049851</c:v>
                </c:pt>
                <c:pt idx="21">
                  <c:v>1928.2085553937738</c:v>
                </c:pt>
                <c:pt idx="22">
                  <c:v>1925.3627418891792</c:v>
                </c:pt>
                <c:pt idx="23">
                  <c:v>1924.1761793250876</c:v>
                </c:pt>
                <c:pt idx="24">
                  <c:v>1923.4944077269233</c:v>
                </c:pt>
                <c:pt idx="25">
                  <c:v>1923.2099660999324</c:v>
                </c:pt>
                <c:pt idx="26">
                  <c:v>1923.0469378896239</c:v>
                </c:pt>
                <c:pt idx="27">
                  <c:v>1922.9790090077081</c:v>
                </c:pt>
                <c:pt idx="28">
                  <c:v>1922.9373656136888</c:v>
                </c:pt>
                <c:pt idx="29">
                  <c:v>1922.9161829537536</c:v>
                </c:pt>
                <c:pt idx="30">
                  <c:v>1922.9061558551814</c:v>
                </c:pt>
                <c:pt idx="31">
                  <c:v>1922.9058163595012</c:v>
                </c:pt>
                <c:pt idx="32">
                  <c:v>1922.9058163526538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73-439A-A4F4-7DBDB337A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202495"/>
        <c:axId val="950201247"/>
      </c:scatterChart>
      <c:valAx>
        <c:axId val="950202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50201247"/>
        <c:crosses val="autoZero"/>
        <c:crossBetween val="midCat"/>
      </c:valAx>
      <c:valAx>
        <c:axId val="95020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50202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>
        <c:manualLayout>
          <c:layoutTarget val="inner"/>
          <c:xMode val="edge"/>
          <c:yMode val="edge"/>
          <c:x val="5.6073760010767887E-2"/>
          <c:y val="0.13806620596670235"/>
          <c:w val="0.89460461673060099"/>
          <c:h val="0.7870613356887471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0AE-8A4E-9D37-B77BB805B77B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0AE-8A4E-9D37-B77BB805B77B}"/>
              </c:ext>
            </c:extLst>
          </c:dPt>
          <c:xVal>
            <c:numRef>
              <c:f>'AG1'!$I$3:$I$20</c:f>
              <c:numCache>
                <c:formatCode>0.000</c:formatCode>
                <c:ptCount val="18"/>
                <c:pt idx="0">
                  <c:v>0.11039008917197453</c:v>
                </c:pt>
                <c:pt idx="1">
                  <c:v>0.20750273885350318</c:v>
                </c:pt>
                <c:pt idx="2">
                  <c:v>0.51537178343949042</c:v>
                </c:pt>
                <c:pt idx="3">
                  <c:v>2.9866187898089174</c:v>
                </c:pt>
                <c:pt idx="4">
                  <c:v>7.0819818471337577</c:v>
                </c:pt>
                <c:pt idx="5">
                  <c:v>37.913358280254769</c:v>
                </c:pt>
                <c:pt idx="6">
                  <c:v>6.7537732484076435E-2</c:v>
                </c:pt>
                <c:pt idx="7">
                  <c:v>0.26340211783439488</c:v>
                </c:pt>
                <c:pt idx="8">
                  <c:v>0.57284178343949033</c:v>
                </c:pt>
                <c:pt idx="9">
                  <c:v>4.1754479299363059</c:v>
                </c:pt>
                <c:pt idx="10">
                  <c:v>8.6255461783439493</c:v>
                </c:pt>
                <c:pt idx="11">
                  <c:v>47.545035031847121</c:v>
                </c:pt>
                <c:pt idx="12">
                  <c:v>0.12476917197452229</c:v>
                </c:pt>
                <c:pt idx="13">
                  <c:v>0.42359667197452228</c:v>
                </c:pt>
                <c:pt idx="14">
                  <c:v>0.9001606050955413</c:v>
                </c:pt>
                <c:pt idx="15">
                  <c:v>4.8205499999999999</c:v>
                </c:pt>
                <c:pt idx="16">
                  <c:v>9.1549751592356685</c:v>
                </c:pt>
                <c:pt idx="17">
                  <c:v>37.500864649681525</c:v>
                </c:pt>
              </c:numCache>
            </c:numRef>
          </c:xVal>
          <c:yVal>
            <c:numRef>
              <c:f>'AG1'!$F$3:$F$20</c:f>
              <c:numCache>
                <c:formatCode>0</c:formatCode>
                <c:ptCount val="18"/>
                <c:pt idx="0">
                  <c:v>33411</c:v>
                </c:pt>
                <c:pt idx="1">
                  <c:v>31629</c:v>
                </c:pt>
                <c:pt idx="2">
                  <c:v>30736</c:v>
                </c:pt>
                <c:pt idx="3">
                  <c:v>27735</c:v>
                </c:pt>
                <c:pt idx="4">
                  <c:v>24424</c:v>
                </c:pt>
                <c:pt idx="5">
                  <c:v>16951</c:v>
                </c:pt>
                <c:pt idx="6">
                  <c:v>27129</c:v>
                </c:pt>
                <c:pt idx="7">
                  <c:v>21294</c:v>
                </c:pt>
                <c:pt idx="8">
                  <c:v>18090</c:v>
                </c:pt>
                <c:pt idx="9">
                  <c:v>12817</c:v>
                </c:pt>
                <c:pt idx="10">
                  <c:v>10641</c:v>
                </c:pt>
                <c:pt idx="11">
                  <c:v>6497</c:v>
                </c:pt>
                <c:pt idx="12">
                  <c:v>14291</c:v>
                </c:pt>
                <c:pt idx="13">
                  <c:v>10449</c:v>
                </c:pt>
                <c:pt idx="14">
                  <c:v>7902</c:v>
                </c:pt>
                <c:pt idx="15">
                  <c:v>4669</c:v>
                </c:pt>
                <c:pt idx="16">
                  <c:v>3726</c:v>
                </c:pt>
                <c:pt idx="17">
                  <c:v>2401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14-4FF7-9EC8-2124C57D2CF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'AG1'!$Q$3:$Q$20</c:f>
              <c:numCache>
                <c:formatCode>General</c:formatCode>
                <c:ptCount val="18"/>
                <c:pt idx="0">
                  <c:v>26.361528027354417</c:v>
                </c:pt>
                <c:pt idx="1">
                  <c:v>4.7566509938815935</c:v>
                </c:pt>
                <c:pt idx="2">
                  <c:v>3.8432035644544702</c:v>
                </c:pt>
                <c:pt idx="3">
                  <c:v>1.3971095998682932</c:v>
                </c:pt>
                <c:pt idx="4">
                  <c:v>0.60327275317843454</c:v>
                </c:pt>
                <c:pt idx="5">
                  <c:v>9.1618809578399713E-2</c:v>
                </c:pt>
                <c:pt idx="6">
                  <c:v>22.566304183611457</c:v>
                </c:pt>
                <c:pt idx="7">
                  <c:v>5.7885768341251156</c:v>
                </c:pt>
                <c:pt idx="8">
                  <c:v>2.7576508888338456</c:v>
                </c:pt>
                <c:pt idx="9">
                  <c:v>0.87933125665969747</c:v>
                </c:pt>
                <c:pt idx="10">
                  <c:v>0.46753511322236374</c:v>
                </c:pt>
                <c:pt idx="11">
                  <c:v>0.10300843590201082</c:v>
                </c:pt>
                <c:pt idx="12">
                  <c:v>29.505238507188597</c:v>
                </c:pt>
                <c:pt idx="13">
                  <c:v>11.625502602559548</c:v>
                </c:pt>
                <c:pt idx="14">
                  <c:v>4.8797190696640698</c:v>
                </c:pt>
                <c:pt idx="15">
                  <c:v>1.0106993495227814</c:v>
                </c:pt>
                <c:pt idx="16">
                  <c:v>0.48070894821580756</c:v>
                </c:pt>
                <c:pt idx="17">
                  <c:v>0.10054765884982217</c:v>
                </c:pt>
              </c:numCache>
            </c:numRef>
          </c:xVal>
          <c:yVal>
            <c:numRef>
              <c:f>'AG1'!$D$3:$D$20</c:f>
              <c:numCache>
                <c:formatCode>0</c:formatCode>
                <c:ptCount val="18"/>
                <c:pt idx="0">
                  <c:v>35000</c:v>
                </c:pt>
                <c:pt idx="1">
                  <c:v>32464.939452999999</c:v>
                </c:pt>
                <c:pt idx="2">
                  <c:v>32003.925781000002</c:v>
                </c:pt>
                <c:pt idx="3">
                  <c:v>29290.876952999999</c:v>
                </c:pt>
                <c:pt idx="4">
                  <c:v>26386.759765999999</c:v>
                </c:pt>
                <c:pt idx="5">
                  <c:v>18527.648437</c:v>
                </c:pt>
                <c:pt idx="6">
                  <c:v>27600</c:v>
                </c:pt>
                <c:pt idx="7">
                  <c:v>22213.759765999999</c:v>
                </c:pt>
                <c:pt idx="8">
                  <c:v>19019.732422000001</c:v>
                </c:pt>
                <c:pt idx="9">
                  <c:v>14287.422852</c:v>
                </c:pt>
                <c:pt idx="10">
                  <c:v>11951.486328000001</c:v>
                </c:pt>
                <c:pt idx="11">
                  <c:v>7491.4033200000003</c:v>
                </c:pt>
                <c:pt idx="12">
                  <c:v>15169.161133</c:v>
                </c:pt>
                <c:pt idx="13">
                  <c:v>11686.303711</c:v>
                </c:pt>
                <c:pt idx="14">
                  <c:v>8971.5976559999999</c:v>
                </c:pt>
                <c:pt idx="15">
                  <c:v>5406.4360349999997</c:v>
                </c:pt>
                <c:pt idx="16">
                  <c:v>4250.2915039999998</c:v>
                </c:pt>
                <c:pt idx="17">
                  <c:v>2619.2705080000001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14-4FF7-9EC8-2124C57D2CF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'AG1'!$H$3:$H$20</c:f>
              <c:numCache>
                <c:formatCode>General</c:formatCode>
                <c:ptCount val="18"/>
                <c:pt idx="0">
                  <c:v>707.62215990027244</c:v>
                </c:pt>
                <c:pt idx="1">
                  <c:v>127.68272183196598</c:v>
                </c:pt>
                <c:pt idx="2">
                  <c:v>103.16306415901728</c:v>
                </c:pt>
                <c:pt idx="3">
                  <c:v>37.502595132207261</c:v>
                </c:pt>
                <c:pt idx="4">
                  <c:v>16.19364280288077</c:v>
                </c:pt>
                <c:pt idx="5">
                  <c:v>2.4593225344936607</c:v>
                </c:pt>
                <c:pt idx="6">
                  <c:v>22.566304183611457</c:v>
                </c:pt>
                <c:pt idx="7">
                  <c:v>5.7885768341251156</c:v>
                </c:pt>
                <c:pt idx="8">
                  <c:v>2.7576508888338456</c:v>
                </c:pt>
                <c:pt idx="9">
                  <c:v>0.87933125665969747</c:v>
                </c:pt>
                <c:pt idx="10">
                  <c:v>0.46753511322236374</c:v>
                </c:pt>
                <c:pt idx="11">
                  <c:v>0.10300843590201082</c:v>
                </c:pt>
                <c:pt idx="12">
                  <c:v>1.0991786520233442</c:v>
                </c:pt>
                <c:pt idx="13">
                  <c:v>0.43309272950503203</c:v>
                </c:pt>
                <c:pt idx="14">
                  <c:v>0.18178748251566124</c:v>
                </c:pt>
                <c:pt idx="15">
                  <c:v>3.7652268031612611E-2</c:v>
                </c:pt>
                <c:pt idx="16">
                  <c:v>1.790817632559304E-2</c:v>
                </c:pt>
                <c:pt idx="17">
                  <c:v>3.7457700974599397E-3</c:v>
                </c:pt>
              </c:numCache>
            </c:numRef>
          </c:xVal>
          <c:yVal>
            <c:numRef>
              <c:f>'AG1'!$D$3:$D$20</c:f>
              <c:numCache>
                <c:formatCode>0</c:formatCode>
                <c:ptCount val="18"/>
                <c:pt idx="0">
                  <c:v>35000</c:v>
                </c:pt>
                <c:pt idx="1">
                  <c:v>32464.939452999999</c:v>
                </c:pt>
                <c:pt idx="2">
                  <c:v>32003.925781000002</c:v>
                </c:pt>
                <c:pt idx="3">
                  <c:v>29290.876952999999</c:v>
                </c:pt>
                <c:pt idx="4">
                  <c:v>26386.759765999999</c:v>
                </c:pt>
                <c:pt idx="5">
                  <c:v>18527.648437</c:v>
                </c:pt>
                <c:pt idx="6">
                  <c:v>27600</c:v>
                </c:pt>
                <c:pt idx="7">
                  <c:v>22213.759765999999</c:v>
                </c:pt>
                <c:pt idx="8">
                  <c:v>19019.732422000001</c:v>
                </c:pt>
                <c:pt idx="9">
                  <c:v>14287.422852</c:v>
                </c:pt>
                <c:pt idx="10">
                  <c:v>11951.486328000001</c:v>
                </c:pt>
                <c:pt idx="11">
                  <c:v>7491.4033200000003</c:v>
                </c:pt>
                <c:pt idx="12">
                  <c:v>15169.161133</c:v>
                </c:pt>
                <c:pt idx="13">
                  <c:v>11686.303711</c:v>
                </c:pt>
                <c:pt idx="14">
                  <c:v>8971.5976559999999</c:v>
                </c:pt>
                <c:pt idx="15">
                  <c:v>5406.4360349999997</c:v>
                </c:pt>
                <c:pt idx="16">
                  <c:v>4250.2915039999998</c:v>
                </c:pt>
                <c:pt idx="17">
                  <c:v>2619.2705080000001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914-4FF7-9EC8-2124C57D2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317471"/>
        <c:axId val="834314559"/>
      </c:scatterChart>
      <c:valAx>
        <c:axId val="83431747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34314559"/>
        <c:crosses val="autoZero"/>
        <c:crossBetween val="midCat"/>
      </c:valAx>
      <c:valAx>
        <c:axId val="8343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3431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0.16263123359580053"/>
                  <c:y val="6.94444444444444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u-HU"/>
                </a:p>
              </c:txPr>
            </c:trendlineLbl>
          </c:trendline>
          <c:xVal>
            <c:numRef>
              <c:f>'AG1'!$C$15:$C$20</c:f>
              <c:numCache>
                <c:formatCode>0.0</c:formatCode>
                <c:ptCount val="6"/>
                <c:pt idx="0">
                  <c:v>25</c:v>
                </c:pt>
                <c:pt idx="1">
                  <c:v>10</c:v>
                </c:pt>
                <c:pt idx="2">
                  <c:v>5</c:v>
                </c:pt>
                <c:pt idx="3">
                  <c:v>1</c:v>
                </c:pt>
                <c:pt idx="4">
                  <c:v>0.5</c:v>
                </c:pt>
                <c:pt idx="5">
                  <c:v>0.1</c:v>
                </c:pt>
              </c:numCache>
            </c:numRef>
          </c:xVal>
          <c:yVal>
            <c:numRef>
              <c:f>'AG1'!$D$15:$D$20</c:f>
              <c:numCache>
                <c:formatCode>0</c:formatCode>
                <c:ptCount val="6"/>
                <c:pt idx="0">
                  <c:v>15169.161133</c:v>
                </c:pt>
                <c:pt idx="1">
                  <c:v>11686.303711</c:v>
                </c:pt>
                <c:pt idx="2">
                  <c:v>8971.5976559999999</c:v>
                </c:pt>
                <c:pt idx="3">
                  <c:v>5406.4360349999997</c:v>
                </c:pt>
                <c:pt idx="4">
                  <c:v>4250.2915039999998</c:v>
                </c:pt>
                <c:pt idx="5">
                  <c:v>2619.2705080000001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27-4259-BE38-862F6F9B15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100000"/>
        <c:axId val="460179392"/>
      </c:scatterChart>
      <c:valAx>
        <c:axId val="55110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460179392"/>
        <c:crosses val="autoZero"/>
        <c:crossBetween val="midCat"/>
      </c:valAx>
      <c:valAx>
        <c:axId val="46017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55110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Munka3!$N$7:$N$24</c:f>
              <c:numCache>
                <c:formatCode>General</c:formatCode>
                <c:ptCount val="18"/>
                <c:pt idx="0">
                  <c:v>572.24860900753606</c:v>
                </c:pt>
                <c:pt idx="1">
                  <c:v>175.26908894025095</c:v>
                </c:pt>
                <c:pt idx="2">
                  <c:v>111.01422864287257</c:v>
                </c:pt>
                <c:pt idx="3">
                  <c:v>33.491634566433284</c:v>
                </c:pt>
                <c:pt idx="4">
                  <c:v>31.164706023341672</c:v>
                </c:pt>
                <c:pt idx="5">
                  <c:v>12.27179964690496</c:v>
                </c:pt>
                <c:pt idx="6">
                  <c:v>5.5019217396614728</c:v>
                </c:pt>
                <c:pt idx="7">
                  <c:v>2.5926662432087473</c:v>
                </c:pt>
                <c:pt idx="8">
                  <c:v>1.9970326485747927</c:v>
                </c:pt>
                <c:pt idx="9">
                  <c:v>1.0802150140450439</c:v>
                </c:pt>
                <c:pt idx="10">
                  <c:v>0.75907075257782053</c:v>
                </c:pt>
                <c:pt idx="11">
                  <c:v>0.43523420326437767</c:v>
                </c:pt>
                <c:pt idx="12">
                  <c:v>0.41316294709470242</c:v>
                </c:pt>
                <c:pt idx="13">
                  <c:v>0.1921617513725371</c:v>
                </c:pt>
                <c:pt idx="14">
                  <c:v>0.1144441123742856</c:v>
                </c:pt>
                <c:pt idx="15">
                  <c:v>4.6750666603861527E-2</c:v>
                </c:pt>
                <c:pt idx="16">
                  <c:v>2.3843935294646238E-2</c:v>
                </c:pt>
                <c:pt idx="17">
                  <c:v>3.8812720906136085E-3</c:v>
                </c:pt>
              </c:numCache>
            </c:numRef>
          </c:xVal>
          <c:yVal>
            <c:numRef>
              <c:f>Munka3!$O$7:$O$24</c:f>
              <c:numCache>
                <c:formatCode>0</c:formatCode>
                <c:ptCount val="18"/>
                <c:pt idx="0">
                  <c:v>33411</c:v>
                </c:pt>
                <c:pt idx="1">
                  <c:v>31629</c:v>
                </c:pt>
                <c:pt idx="2">
                  <c:v>30736</c:v>
                </c:pt>
                <c:pt idx="3">
                  <c:v>27735</c:v>
                </c:pt>
                <c:pt idx="4">
                  <c:v>27522</c:v>
                </c:pt>
                <c:pt idx="5">
                  <c:v>24424</c:v>
                </c:pt>
                <c:pt idx="6">
                  <c:v>21294</c:v>
                </c:pt>
                <c:pt idx="7">
                  <c:v>18090</c:v>
                </c:pt>
                <c:pt idx="8">
                  <c:v>16951</c:v>
                </c:pt>
                <c:pt idx="9">
                  <c:v>14291</c:v>
                </c:pt>
                <c:pt idx="10">
                  <c:v>12817</c:v>
                </c:pt>
                <c:pt idx="11">
                  <c:v>10641</c:v>
                </c:pt>
                <c:pt idx="12">
                  <c:v>10449</c:v>
                </c:pt>
                <c:pt idx="13">
                  <c:v>7902</c:v>
                </c:pt>
                <c:pt idx="14">
                  <c:v>6497</c:v>
                </c:pt>
                <c:pt idx="15">
                  <c:v>4669</c:v>
                </c:pt>
                <c:pt idx="16">
                  <c:v>3726</c:v>
                </c:pt>
                <c:pt idx="17">
                  <c:v>2401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5E-4FE6-9C47-72BA01D98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283823"/>
        <c:axId val="871284655"/>
      </c:scatterChart>
      <c:valAx>
        <c:axId val="8712838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1284655"/>
        <c:crosses val="autoZero"/>
        <c:crossBetween val="midCat"/>
      </c:valAx>
      <c:valAx>
        <c:axId val="87128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71283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MAS!$H$3:$H$26</c:f>
              <c:numCache>
                <c:formatCode>General</c:formatCode>
                <c:ptCount val="24"/>
                <c:pt idx="0">
                  <c:v>421137.58445357357</c:v>
                </c:pt>
                <c:pt idx="1">
                  <c:v>82003.300419129562</c:v>
                </c:pt>
                <c:pt idx="2">
                  <c:v>31497.257708318208</c:v>
                </c:pt>
                <c:pt idx="3">
                  <c:v>12445.722337767351</c:v>
                </c:pt>
                <c:pt idx="4">
                  <c:v>14414.354620200511</c:v>
                </c:pt>
                <c:pt idx="5">
                  <c:v>3907.6591886638785</c:v>
                </c:pt>
                <c:pt idx="6">
                  <c:v>1634.9911127099685</c:v>
                </c:pt>
                <c:pt idx="7">
                  <c:v>699.03079438350051</c:v>
                </c:pt>
                <c:pt idx="8">
                  <c:v>683.99802511858366</c:v>
                </c:pt>
                <c:pt idx="9">
                  <c:v>191.18042959872338</c:v>
                </c:pt>
                <c:pt idx="10">
                  <c:v>70.182229516560369</c:v>
                </c:pt>
                <c:pt idx="11">
                  <c:v>25.731258859572602</c:v>
                </c:pt>
                <c:pt idx="12">
                  <c:v>155.42490536536667</c:v>
                </c:pt>
                <c:pt idx="13">
                  <c:v>39.817556430744126</c:v>
                </c:pt>
                <c:pt idx="14">
                  <c:v>12.754607874163867</c:v>
                </c:pt>
                <c:pt idx="15">
                  <c:v>4.3278145302793858</c:v>
                </c:pt>
                <c:pt idx="16">
                  <c:v>36.327399441560722</c:v>
                </c:pt>
                <c:pt idx="17">
                  <c:v>8.3765829358772805</c:v>
                </c:pt>
                <c:pt idx="18">
                  <c:v>2.3738020170125869</c:v>
                </c:pt>
                <c:pt idx="19">
                  <c:v>0.72482097688892533</c:v>
                </c:pt>
                <c:pt idx="20">
                  <c:v>2.2247931419155123</c:v>
                </c:pt>
                <c:pt idx="21">
                  <c:v>0.36680451336402664</c:v>
                </c:pt>
                <c:pt idx="22">
                  <c:v>7.7018297469308633E-2</c:v>
                </c:pt>
                <c:pt idx="23">
                  <c:v>1.9081075395706693E-2</c:v>
                </c:pt>
              </c:numCache>
            </c:numRef>
          </c:xVal>
          <c:yVal>
            <c:numRef>
              <c:f>MAS!$D$3:$D$26</c:f>
              <c:numCache>
                <c:formatCode>0</c:formatCode>
                <c:ptCount val="24"/>
                <c:pt idx="0">
                  <c:v>28607.3</c:v>
                </c:pt>
                <c:pt idx="1">
                  <c:v>26860.3</c:v>
                </c:pt>
                <c:pt idx="2">
                  <c:v>25600.799999999999</c:v>
                </c:pt>
                <c:pt idx="3">
                  <c:v>24200.5</c:v>
                </c:pt>
                <c:pt idx="4">
                  <c:v>24433.7</c:v>
                </c:pt>
                <c:pt idx="5">
                  <c:v>22210.6</c:v>
                </c:pt>
                <c:pt idx="6">
                  <c:v>20551.3</c:v>
                </c:pt>
                <c:pt idx="7">
                  <c:v>18822.599999999999</c:v>
                </c:pt>
                <c:pt idx="8">
                  <c:v>18777.2</c:v>
                </c:pt>
                <c:pt idx="9">
                  <c:v>16048.6</c:v>
                </c:pt>
                <c:pt idx="10">
                  <c:v>13873</c:v>
                </c:pt>
                <c:pt idx="11">
                  <c:v>11749.9</c:v>
                </c:pt>
                <c:pt idx="12">
                  <c:v>15598.3</c:v>
                </c:pt>
                <c:pt idx="13">
                  <c:v>12662.1</c:v>
                </c:pt>
                <c:pt idx="14">
                  <c:v>10336.700000000001</c:v>
                </c:pt>
                <c:pt idx="15">
                  <c:v>8329.6</c:v>
                </c:pt>
                <c:pt idx="16">
                  <c:v>12468.7</c:v>
                </c:pt>
                <c:pt idx="17">
                  <c:v>9528.9</c:v>
                </c:pt>
                <c:pt idx="18">
                  <c:v>7320.6</c:v>
                </c:pt>
                <c:pt idx="19">
                  <c:v>5574.7</c:v>
                </c:pt>
                <c:pt idx="20">
                  <c:v>7216.6</c:v>
                </c:pt>
                <c:pt idx="21">
                  <c:v>4723.2</c:v>
                </c:pt>
                <c:pt idx="22">
                  <c:v>3162.7</c:v>
                </c:pt>
                <c:pt idx="23">
                  <c:v>2166.6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CE-4153-B406-6097EC0B1C3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MAS!$Q$3:$Q$26</c:f>
              <c:numCache>
                <c:formatCode>General</c:formatCode>
                <c:ptCount val="24"/>
                <c:pt idx="0">
                  <c:v>34.947718767955621</c:v>
                </c:pt>
                <c:pt idx="1">
                  <c:v>6.804969176071836</c:v>
                </c:pt>
                <c:pt idx="2">
                  <c:v>2.6137712353086733</c:v>
                </c:pt>
                <c:pt idx="3">
                  <c:v>1.0327969295086892</c:v>
                </c:pt>
                <c:pt idx="4">
                  <c:v>27.423639375274128</c:v>
                </c:pt>
                <c:pt idx="5">
                  <c:v>7.4344109892520391</c:v>
                </c:pt>
                <c:pt idx="6">
                  <c:v>3.1106079903085293</c:v>
                </c:pt>
                <c:pt idx="7">
                  <c:v>1.3299220757701791</c:v>
                </c:pt>
                <c:pt idx="8">
                  <c:v>29.834570580132155</c:v>
                </c:pt>
                <c:pt idx="9">
                  <c:v>8.3388925273786398</c:v>
                </c:pt>
                <c:pt idx="10">
                  <c:v>3.0612028150517632</c:v>
                </c:pt>
                <c:pt idx="11">
                  <c:v>1.122343969382775</c:v>
                </c:pt>
                <c:pt idx="12">
                  <c:v>32.460341411728237</c:v>
                </c:pt>
                <c:pt idx="13">
                  <c:v>8.3158582138710138</c:v>
                </c:pt>
                <c:pt idx="14">
                  <c:v>2.6637875390357619</c:v>
                </c:pt>
                <c:pt idx="15">
                  <c:v>0.90385988583532839</c:v>
                </c:pt>
                <c:pt idx="16">
                  <c:v>36.327399441560722</c:v>
                </c:pt>
                <c:pt idx="17">
                  <c:v>8.3765829358772805</c:v>
                </c:pt>
                <c:pt idx="18">
                  <c:v>2.3738020170125869</c:v>
                </c:pt>
                <c:pt idx="19">
                  <c:v>0.72482097688892533</c:v>
                </c:pt>
                <c:pt idx="20">
                  <c:v>51.006402498079353</c:v>
                </c:pt>
                <c:pt idx="21">
                  <c:v>8.4094913339445032</c:v>
                </c:pt>
                <c:pt idx="22">
                  <c:v>1.7657490066937411</c:v>
                </c:pt>
                <c:pt idx="23">
                  <c:v>0.43745955225826283</c:v>
                </c:pt>
              </c:numCache>
            </c:numRef>
          </c:xVal>
          <c:yVal>
            <c:numRef>
              <c:f>MAS!$D$3:$D$26</c:f>
              <c:numCache>
                <c:formatCode>0</c:formatCode>
                <c:ptCount val="24"/>
                <c:pt idx="0">
                  <c:v>28607.3</c:v>
                </c:pt>
                <c:pt idx="1">
                  <c:v>26860.3</c:v>
                </c:pt>
                <c:pt idx="2">
                  <c:v>25600.799999999999</c:v>
                </c:pt>
                <c:pt idx="3">
                  <c:v>24200.5</c:v>
                </c:pt>
                <c:pt idx="4">
                  <c:v>24433.7</c:v>
                </c:pt>
                <c:pt idx="5">
                  <c:v>22210.6</c:v>
                </c:pt>
                <c:pt idx="6">
                  <c:v>20551.3</c:v>
                </c:pt>
                <c:pt idx="7">
                  <c:v>18822.599999999999</c:v>
                </c:pt>
                <c:pt idx="8">
                  <c:v>18777.2</c:v>
                </c:pt>
                <c:pt idx="9">
                  <c:v>16048.6</c:v>
                </c:pt>
                <c:pt idx="10">
                  <c:v>13873</c:v>
                </c:pt>
                <c:pt idx="11">
                  <c:v>11749.9</c:v>
                </c:pt>
                <c:pt idx="12">
                  <c:v>15598.3</c:v>
                </c:pt>
                <c:pt idx="13">
                  <c:v>12662.1</c:v>
                </c:pt>
                <c:pt idx="14">
                  <c:v>10336.700000000001</c:v>
                </c:pt>
                <c:pt idx="15">
                  <c:v>8329.6</c:v>
                </c:pt>
                <c:pt idx="16">
                  <c:v>12468.7</c:v>
                </c:pt>
                <c:pt idx="17">
                  <c:v>9528.9</c:v>
                </c:pt>
                <c:pt idx="18">
                  <c:v>7320.6</c:v>
                </c:pt>
                <c:pt idx="19">
                  <c:v>5574.7</c:v>
                </c:pt>
                <c:pt idx="20">
                  <c:v>7216.6</c:v>
                </c:pt>
                <c:pt idx="21">
                  <c:v>4723.2</c:v>
                </c:pt>
                <c:pt idx="22">
                  <c:v>3162.7</c:v>
                </c:pt>
                <c:pt idx="23">
                  <c:v>2166.6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CE-4153-B406-6097EC0B1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342271"/>
        <c:axId val="943336447"/>
      </c:scatterChart>
      <c:valAx>
        <c:axId val="943342271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43336447"/>
        <c:crosses val="autoZero"/>
        <c:crossBetween val="midCat"/>
      </c:valAx>
      <c:valAx>
        <c:axId val="94333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94334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21</xdr:row>
      <xdr:rowOff>33337</xdr:rowOff>
    </xdr:from>
    <xdr:to>
      <xdr:col>8</xdr:col>
      <xdr:colOff>152400</xdr:colOff>
      <xdr:row>35</xdr:row>
      <xdr:rowOff>109537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F819D27D-E3E4-4047-A917-94A593EC9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20</xdr:row>
      <xdr:rowOff>14287</xdr:rowOff>
    </xdr:from>
    <xdr:to>
      <xdr:col>22</xdr:col>
      <xdr:colOff>104775</xdr:colOff>
      <xdr:row>34</xdr:row>
      <xdr:rowOff>90487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7B77F41-9C6E-407E-B8D3-737CB2BE6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523875</xdr:colOff>
      <xdr:row>12</xdr:row>
      <xdr:rowOff>52387</xdr:rowOff>
    </xdr:from>
    <xdr:to>
      <xdr:col>15</xdr:col>
      <xdr:colOff>123825</xdr:colOff>
      <xdr:row>30</xdr:row>
      <xdr:rowOff>114300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B14592D2-F6EF-4615-AE1E-E40DA9E12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209549</xdr:colOff>
      <xdr:row>13</xdr:row>
      <xdr:rowOff>66675</xdr:rowOff>
    </xdr:from>
    <xdr:to>
      <xdr:col>14</xdr:col>
      <xdr:colOff>342899</xdr:colOff>
      <xdr:row>29</xdr:row>
      <xdr:rowOff>166687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BD2CA4B-B9D4-800B-DA4D-0AE4A4DB7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361949</xdr:colOff>
      <xdr:row>3</xdr:row>
      <xdr:rowOff>57150</xdr:rowOff>
    </xdr:from>
    <xdr:to>
      <xdr:col>19</xdr:col>
      <xdr:colOff>47624</xdr:colOff>
      <xdr:row>22</xdr:row>
      <xdr:rowOff>119062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97FA3CFC-927A-45A3-9300-6E61E4339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352425</xdr:colOff>
      <xdr:row>11</xdr:row>
      <xdr:rowOff>119062</xdr:rowOff>
    </xdr:from>
    <xdr:to>
      <xdr:col>15</xdr:col>
      <xdr:colOff>495300</xdr:colOff>
      <xdr:row>25</xdr:row>
      <xdr:rowOff>61912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2699735A-4BAB-451C-9EF4-EEC13E654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25C2-6366-4D1D-A464-00967C442BC2}">
  <dimension ref="B3:X18"/>
  <sheetViews>
    <sheetView workbookViewId="0">
      <selection activeCell="E4" sqref="E4"/>
    </sheetView>
  </sheetViews>
  <sheetFormatPr defaultColWidth="8.85546875" defaultRowHeight="15" x14ac:dyDescent="0.25"/>
  <cols>
    <col min="4" max="4" width="12.42578125" bestFit="1" customWidth="1"/>
    <col min="5" max="6" width="9.140625" style="2"/>
    <col min="10" max="22" width="6.7109375" customWidth="1"/>
    <col min="23" max="23" width="11.42578125" bestFit="1" customWidth="1"/>
    <col min="24" max="24" width="9.42578125" bestFit="1" customWidth="1"/>
  </cols>
  <sheetData>
    <row r="3" spans="2:24" x14ac:dyDescent="0.25">
      <c r="B3" s="2" t="s">
        <v>1</v>
      </c>
      <c r="C3" s="2" t="s">
        <v>0</v>
      </c>
      <c r="D3" s="1" t="s">
        <v>2</v>
      </c>
      <c r="E3" s="2" t="s">
        <v>24</v>
      </c>
      <c r="F3" s="2" t="s">
        <v>25</v>
      </c>
      <c r="J3" s="7">
        <v>1E-3</v>
      </c>
      <c r="K3" s="7">
        <v>3.0000000000000001E-3</v>
      </c>
      <c r="L3" s="7">
        <v>0.01</v>
      </c>
      <c r="M3" s="7">
        <v>0.03</v>
      </c>
      <c r="N3" s="7">
        <v>0.1</v>
      </c>
      <c r="O3" s="7">
        <v>0.3</v>
      </c>
      <c r="P3" s="7">
        <v>1</v>
      </c>
      <c r="Q3" s="7">
        <v>3</v>
      </c>
      <c r="R3" s="7">
        <v>10</v>
      </c>
      <c r="S3" s="7">
        <v>30</v>
      </c>
      <c r="T3" s="7">
        <v>100</v>
      </c>
      <c r="U3" s="7">
        <v>300</v>
      </c>
      <c r="V3" s="7">
        <v>1000</v>
      </c>
    </row>
    <row r="4" spans="2:24" x14ac:dyDescent="0.25">
      <c r="B4" s="2">
        <v>1</v>
      </c>
      <c r="C4" s="2">
        <v>1E-3</v>
      </c>
      <c r="D4" s="3">
        <f>1/C4</f>
        <v>1000</v>
      </c>
      <c r="E4" s="2">
        <v>35911.78807065</v>
      </c>
      <c r="F4" s="2">
        <v>1760</v>
      </c>
      <c r="H4">
        <f>$F$4+J4*W$4+K4*W$5+L4*W$6+M4*W$7+N4*W$8+O4*W$9+P4*W$10+Q4*W$11+R4*W$12+S4*W$13+T4*W$14+U4*W$15+V4*W$16</f>
        <v>35911.788070650007</v>
      </c>
      <c r="J4" s="3">
        <f>EXP(-$C4/J$3)</f>
        <v>0.36787944117144233</v>
      </c>
      <c r="K4" s="3">
        <f>EXP(-$C4/K$3)</f>
        <v>0.71653131057378927</v>
      </c>
      <c r="L4" s="3">
        <f t="shared" ref="L4:V16" si="0">EXP(-$C4/L$3)</f>
        <v>0.90483741803595952</v>
      </c>
      <c r="M4" s="3">
        <f t="shared" si="0"/>
        <v>0.9672161004820059</v>
      </c>
      <c r="N4" s="3">
        <f t="shared" si="0"/>
        <v>0.99004983374916811</v>
      </c>
      <c r="O4" s="3">
        <f t="shared" si="0"/>
        <v>0.99667221605452327</v>
      </c>
      <c r="P4" s="3">
        <f t="shared" si="0"/>
        <v>0.99900049983337502</v>
      </c>
      <c r="Q4" s="3">
        <f t="shared" si="0"/>
        <v>0.99966672221604991</v>
      </c>
      <c r="R4" s="3">
        <f t="shared" si="0"/>
        <v>0.99990000499983334</v>
      </c>
      <c r="S4" s="3">
        <f t="shared" si="0"/>
        <v>0.99996666722221605</v>
      </c>
      <c r="T4" s="3">
        <f t="shared" si="0"/>
        <v>0.99999000004999983</v>
      </c>
      <c r="U4" s="3">
        <f t="shared" si="0"/>
        <v>0.9999966666722222</v>
      </c>
      <c r="V4" s="3">
        <f t="shared" si="0"/>
        <v>0.99999900000050002</v>
      </c>
      <c r="W4" s="28" cm="1">
        <f t="array" ref="W4:W16">MMULT(MINVERSE(J4:V16),X4:X16)</f>
        <v>218.3977240298284</v>
      </c>
      <c r="X4" s="3">
        <f>E4-$F$4</f>
        <v>34151.78807065</v>
      </c>
    </row>
    <row r="5" spans="2:24" x14ac:dyDescent="0.25">
      <c r="B5" s="2">
        <v>2</v>
      </c>
      <c r="C5" s="2">
        <v>3.0000000000000001E-3</v>
      </c>
      <c r="D5" s="3">
        <f t="shared" ref="D5:D15" si="1">1/C5</f>
        <v>333.33333333333331</v>
      </c>
      <c r="E5" s="2">
        <v>35489.970961109997</v>
      </c>
      <c r="H5">
        <f>$F$4+J5*W$4+K5*W$5+L5*W$6+M5*W$7+N5*W$8+O5*W$9+P5*W$10+Q5*W$11+R5*W$12+S5*W$13+T5*W$14+U5*W$15+V5*W$16</f>
        <v>35489.970961109997</v>
      </c>
      <c r="J5" s="3">
        <f t="shared" ref="J5:K16" si="2">EXP(-$C5/J$3)</f>
        <v>4.9787068367863944E-2</v>
      </c>
      <c r="K5" s="3">
        <f t="shared" si="2"/>
        <v>0.36787944117144233</v>
      </c>
      <c r="L5" s="3">
        <f t="shared" si="0"/>
        <v>0.74081822068171788</v>
      </c>
      <c r="M5" s="3">
        <f t="shared" si="0"/>
        <v>0.90483741803595952</v>
      </c>
      <c r="N5" s="3">
        <f t="shared" si="0"/>
        <v>0.97044553354850815</v>
      </c>
      <c r="O5" s="3">
        <f t="shared" si="0"/>
        <v>0.99004983374916811</v>
      </c>
      <c r="P5" s="3">
        <f t="shared" si="0"/>
        <v>0.997004495503373</v>
      </c>
      <c r="Q5" s="3">
        <f t="shared" si="0"/>
        <v>0.99900049983337502</v>
      </c>
      <c r="R5" s="3">
        <f t="shared" si="0"/>
        <v>0.99970004499550036</v>
      </c>
      <c r="S5" s="3">
        <f t="shared" si="0"/>
        <v>0.99990000499983334</v>
      </c>
      <c r="T5" s="3">
        <f t="shared" si="0"/>
        <v>0.99997000044999551</v>
      </c>
      <c r="U5" s="3">
        <f t="shared" si="0"/>
        <v>0.99999000004999983</v>
      </c>
      <c r="V5" s="3">
        <f t="shared" si="0"/>
        <v>0.99999700000449998</v>
      </c>
      <c r="W5" s="8">
        <v>439.51063710484925</v>
      </c>
      <c r="X5" s="3">
        <f t="shared" ref="X5:X16" si="3">E5-$F$4</f>
        <v>33729.970961109997</v>
      </c>
    </row>
    <row r="6" spans="2:24" x14ac:dyDescent="0.25">
      <c r="B6" s="2">
        <v>3</v>
      </c>
      <c r="C6" s="2">
        <v>0.01</v>
      </c>
      <c r="D6" s="3">
        <f t="shared" si="1"/>
        <v>100</v>
      </c>
      <c r="E6" s="2">
        <v>34775.269830609999</v>
      </c>
      <c r="H6">
        <f t="shared" ref="H6:H16" si="4">$F$4+J6*W$4+K6*W$5+L6*W$6+M6*W$7+N6*W$8+O6*W$9+P6*W$10+Q6*W$11+R6*W$12+S6*W$13+T6*W$14+U6*W$15+V6*W$16</f>
        <v>34775.269830610065</v>
      </c>
      <c r="J6" s="3">
        <f t="shared" si="2"/>
        <v>4.5399929762484854E-5</v>
      </c>
      <c r="K6" s="3">
        <f t="shared" si="2"/>
        <v>3.5673993347252395E-2</v>
      </c>
      <c r="L6" s="3">
        <f t="shared" si="0"/>
        <v>0.36787944117144233</v>
      </c>
      <c r="M6" s="3">
        <f t="shared" si="0"/>
        <v>0.71653131057378927</v>
      </c>
      <c r="N6" s="3">
        <f t="shared" si="0"/>
        <v>0.90483741803595963</v>
      </c>
      <c r="O6" s="3">
        <f t="shared" si="0"/>
        <v>0.9672161004820059</v>
      </c>
      <c r="P6" s="3">
        <f t="shared" si="0"/>
        <v>0.99004983374916811</v>
      </c>
      <c r="Q6" s="3">
        <f t="shared" si="0"/>
        <v>0.99667221605452327</v>
      </c>
      <c r="R6" s="3">
        <f t="shared" si="0"/>
        <v>0.99900049983337502</v>
      </c>
      <c r="S6" s="3">
        <f t="shared" si="0"/>
        <v>0.99966672221604991</v>
      </c>
      <c r="T6" s="3">
        <f t="shared" si="0"/>
        <v>0.99990000499983334</v>
      </c>
      <c r="U6" s="3">
        <f t="shared" si="0"/>
        <v>0.99996666722221605</v>
      </c>
      <c r="V6" s="3">
        <f t="shared" si="0"/>
        <v>0.99999000004999983</v>
      </c>
      <c r="W6" s="8">
        <v>516.81349874354646</v>
      </c>
      <c r="X6" s="3">
        <f t="shared" si="3"/>
        <v>33015.269830609999</v>
      </c>
    </row>
    <row r="7" spans="2:24" x14ac:dyDescent="0.25">
      <c r="B7" s="2">
        <v>4</v>
      </c>
      <c r="C7" s="2">
        <v>0.03</v>
      </c>
      <c r="D7" s="3">
        <f t="shared" si="1"/>
        <v>33.333333333333336</v>
      </c>
      <c r="E7" s="2">
        <v>33781.333428719998</v>
      </c>
      <c r="H7">
        <f t="shared" si="4"/>
        <v>33781.333428720005</v>
      </c>
      <c r="J7" s="3">
        <f t="shared" si="2"/>
        <v>9.3576229688401748E-14</v>
      </c>
      <c r="K7" s="3">
        <f t="shared" si="2"/>
        <v>4.5399929762484854E-5</v>
      </c>
      <c r="L7" s="3">
        <f t="shared" si="0"/>
        <v>4.9787068367863944E-2</v>
      </c>
      <c r="M7" s="3">
        <f t="shared" si="0"/>
        <v>0.36787944117144233</v>
      </c>
      <c r="N7" s="3">
        <f t="shared" si="0"/>
        <v>0.74081822068171788</v>
      </c>
      <c r="O7" s="3">
        <f t="shared" si="0"/>
        <v>0.90483741803595952</v>
      </c>
      <c r="P7" s="3">
        <f t="shared" si="0"/>
        <v>0.97044553354850815</v>
      </c>
      <c r="Q7" s="3">
        <f t="shared" si="0"/>
        <v>0.99004983374916811</v>
      </c>
      <c r="R7" s="3">
        <f t="shared" si="0"/>
        <v>0.997004495503373</v>
      </c>
      <c r="S7" s="3">
        <f t="shared" si="0"/>
        <v>0.99900049983337502</v>
      </c>
      <c r="T7" s="3">
        <f t="shared" si="0"/>
        <v>0.99970004499550036</v>
      </c>
      <c r="U7" s="3">
        <f t="shared" si="0"/>
        <v>0.99990000499983334</v>
      </c>
      <c r="V7" s="3">
        <f t="shared" si="0"/>
        <v>0.99997000044999551</v>
      </c>
      <c r="W7" s="8">
        <v>1005.8197395068614</v>
      </c>
      <c r="X7" s="3">
        <f t="shared" si="3"/>
        <v>32021.333428719998</v>
      </c>
    </row>
    <row r="8" spans="2:24" x14ac:dyDescent="0.25">
      <c r="B8" s="2">
        <v>5</v>
      </c>
      <c r="C8" s="2">
        <v>0.1</v>
      </c>
      <c r="D8" s="3">
        <f t="shared" si="1"/>
        <v>10</v>
      </c>
      <c r="E8" s="2">
        <v>32147.712789829999</v>
      </c>
      <c r="H8">
        <f t="shared" si="4"/>
        <v>32147.712789830024</v>
      </c>
      <c r="J8" s="3">
        <f t="shared" si="2"/>
        <v>3.7200759760208361E-44</v>
      </c>
      <c r="K8" s="3">
        <f t="shared" si="2"/>
        <v>3.3382377953649984E-15</v>
      </c>
      <c r="L8" s="3">
        <f t="shared" si="0"/>
        <v>4.5399929762484854E-5</v>
      </c>
      <c r="M8" s="3">
        <f t="shared" si="0"/>
        <v>3.5673993347252395E-2</v>
      </c>
      <c r="N8" s="3">
        <f t="shared" si="0"/>
        <v>0.36787944117144233</v>
      </c>
      <c r="O8" s="3">
        <f t="shared" si="0"/>
        <v>0.71653131057378927</v>
      </c>
      <c r="P8" s="3">
        <f t="shared" si="0"/>
        <v>0.90483741803595952</v>
      </c>
      <c r="Q8" s="3">
        <f t="shared" si="0"/>
        <v>0.9672161004820059</v>
      </c>
      <c r="R8" s="3">
        <f t="shared" si="0"/>
        <v>0.99004983374916811</v>
      </c>
      <c r="S8" s="3">
        <f t="shared" si="0"/>
        <v>0.99667221605452327</v>
      </c>
      <c r="T8" s="3">
        <f t="shared" si="0"/>
        <v>0.99900049983337502</v>
      </c>
      <c r="U8" s="3">
        <f t="shared" si="0"/>
        <v>0.99966672221604991</v>
      </c>
      <c r="V8" s="3">
        <f t="shared" si="0"/>
        <v>0.99990000499983334</v>
      </c>
      <c r="W8" s="8">
        <v>1347.2735076756758</v>
      </c>
      <c r="X8" s="3">
        <f t="shared" si="3"/>
        <v>30387.712789829999</v>
      </c>
    </row>
    <row r="9" spans="2:24" x14ac:dyDescent="0.25">
      <c r="B9" s="2">
        <v>6</v>
      </c>
      <c r="C9" s="2">
        <v>0.3</v>
      </c>
      <c r="D9" s="3">
        <f t="shared" si="1"/>
        <v>3.3333333333333335</v>
      </c>
      <c r="E9" s="2">
        <v>29979.570979399999</v>
      </c>
      <c r="H9">
        <f t="shared" si="4"/>
        <v>29979.570979399999</v>
      </c>
      <c r="J9" s="3">
        <f t="shared" si="2"/>
        <v>5.1482002224120135E-131</v>
      </c>
      <c r="K9" s="3">
        <f t="shared" si="2"/>
        <v>3.7200759760208361E-44</v>
      </c>
      <c r="L9" s="3">
        <f t="shared" si="0"/>
        <v>9.3576229688401748E-14</v>
      </c>
      <c r="M9" s="3">
        <f t="shared" si="0"/>
        <v>4.5399929762484854E-5</v>
      </c>
      <c r="N9" s="3">
        <f t="shared" si="0"/>
        <v>4.9787068367863965E-2</v>
      </c>
      <c r="O9" s="3">
        <f t="shared" si="0"/>
        <v>0.36787944117144233</v>
      </c>
      <c r="P9" s="3">
        <f t="shared" si="0"/>
        <v>0.74081822068171788</v>
      </c>
      <c r="Q9" s="3">
        <f t="shared" si="0"/>
        <v>0.90483741803595963</v>
      </c>
      <c r="R9" s="3">
        <f t="shared" si="0"/>
        <v>0.97044553354850815</v>
      </c>
      <c r="S9" s="3">
        <f t="shared" si="0"/>
        <v>0.99004983374916811</v>
      </c>
      <c r="T9" s="3">
        <f t="shared" si="0"/>
        <v>0.997004495503373</v>
      </c>
      <c r="U9" s="3">
        <f t="shared" si="0"/>
        <v>0.99900049983337502</v>
      </c>
      <c r="V9" s="3">
        <f t="shared" si="0"/>
        <v>0.99970004499550036</v>
      </c>
      <c r="W9" s="8">
        <v>2166.189850184257</v>
      </c>
      <c r="X9" s="3">
        <f t="shared" si="3"/>
        <v>28219.570979399999</v>
      </c>
    </row>
    <row r="10" spans="2:24" x14ac:dyDescent="0.25">
      <c r="B10" s="2">
        <v>7</v>
      </c>
      <c r="C10" s="2">
        <v>1</v>
      </c>
      <c r="D10" s="3">
        <f t="shared" si="1"/>
        <v>1</v>
      </c>
      <c r="E10" s="2">
        <v>26670.690541060001</v>
      </c>
      <c r="H10">
        <f t="shared" si="4"/>
        <v>26670.690541060001</v>
      </c>
      <c r="J10" s="3">
        <f t="shared" si="2"/>
        <v>0</v>
      </c>
      <c r="K10" s="3">
        <f t="shared" si="2"/>
        <v>1.7185916560562642E-145</v>
      </c>
      <c r="L10" s="3">
        <f t="shared" si="0"/>
        <v>3.7200759760208361E-44</v>
      </c>
      <c r="M10" s="3">
        <f t="shared" si="0"/>
        <v>3.3382377953649984E-15</v>
      </c>
      <c r="N10" s="3">
        <f t="shared" si="0"/>
        <v>4.5399929762484854E-5</v>
      </c>
      <c r="O10" s="3">
        <f t="shared" si="0"/>
        <v>3.5673993347252395E-2</v>
      </c>
      <c r="P10" s="3">
        <f t="shared" si="0"/>
        <v>0.36787944117144233</v>
      </c>
      <c r="Q10" s="3">
        <f t="shared" si="0"/>
        <v>0.71653131057378927</v>
      </c>
      <c r="R10" s="3">
        <f t="shared" si="0"/>
        <v>0.90483741803595952</v>
      </c>
      <c r="S10" s="3">
        <f t="shared" si="0"/>
        <v>0.9672161004820059</v>
      </c>
      <c r="T10" s="3">
        <f t="shared" si="0"/>
        <v>0.99004983374916811</v>
      </c>
      <c r="U10" s="3">
        <f t="shared" si="0"/>
        <v>0.99667221605452327</v>
      </c>
      <c r="V10" s="3">
        <f t="shared" si="0"/>
        <v>0.99900049983337502</v>
      </c>
      <c r="W10" s="8">
        <v>3269.3047030701746</v>
      </c>
      <c r="X10" s="3">
        <f t="shared" si="3"/>
        <v>24910.690541060001</v>
      </c>
    </row>
    <row r="11" spans="2:24" x14ac:dyDescent="0.25">
      <c r="B11" s="2">
        <v>8</v>
      </c>
      <c r="C11" s="2">
        <v>3</v>
      </c>
      <c r="D11" s="3">
        <f t="shared" si="1"/>
        <v>0.33333333333333331</v>
      </c>
      <c r="E11" s="2">
        <v>22744.85083657</v>
      </c>
      <c r="H11">
        <f t="shared" si="4"/>
        <v>22744.850836569978</v>
      </c>
      <c r="J11" s="3">
        <f t="shared" si="2"/>
        <v>0</v>
      </c>
      <c r="K11" s="3">
        <f t="shared" si="2"/>
        <v>0</v>
      </c>
      <c r="L11" s="3">
        <f t="shared" si="0"/>
        <v>5.1482002224120135E-131</v>
      </c>
      <c r="M11" s="3">
        <f t="shared" si="0"/>
        <v>3.7200759760208361E-44</v>
      </c>
      <c r="N11" s="3">
        <f t="shared" si="0"/>
        <v>9.3576229688401748E-14</v>
      </c>
      <c r="O11" s="3">
        <f t="shared" si="0"/>
        <v>4.5399929762484854E-5</v>
      </c>
      <c r="P11" s="3">
        <f t="shared" si="0"/>
        <v>4.9787068367863944E-2</v>
      </c>
      <c r="Q11" s="3">
        <f t="shared" si="0"/>
        <v>0.36787944117144233</v>
      </c>
      <c r="R11" s="3">
        <f t="shared" si="0"/>
        <v>0.74081822068171788</v>
      </c>
      <c r="S11" s="3">
        <f t="shared" si="0"/>
        <v>0.90483741803595952</v>
      </c>
      <c r="T11" s="3">
        <f t="shared" si="0"/>
        <v>0.97044553354850815</v>
      </c>
      <c r="U11" s="3">
        <f t="shared" si="0"/>
        <v>0.99004983374916811</v>
      </c>
      <c r="V11" s="3">
        <f t="shared" si="0"/>
        <v>0.997004495503373</v>
      </c>
      <c r="W11" s="8">
        <v>3975.831630881331</v>
      </c>
      <c r="X11" s="3">
        <f t="shared" si="3"/>
        <v>20984.85083657</v>
      </c>
    </row>
    <row r="12" spans="2:24" x14ac:dyDescent="0.25">
      <c r="B12" s="2">
        <v>9</v>
      </c>
      <c r="C12" s="2">
        <v>10</v>
      </c>
      <c r="D12" s="3">
        <f t="shared" si="1"/>
        <v>0.1</v>
      </c>
      <c r="E12" s="2">
        <v>17692.07668482</v>
      </c>
      <c r="H12">
        <f t="shared" si="4"/>
        <v>17692.076684819993</v>
      </c>
      <c r="J12" s="3">
        <f>EXP(-$C12/J$3)</f>
        <v>0</v>
      </c>
      <c r="K12" s="3">
        <f>EXP(-$C12/K$3)</f>
        <v>0</v>
      </c>
      <c r="L12" s="3">
        <f t="shared" si="0"/>
        <v>0</v>
      </c>
      <c r="M12" s="3">
        <f t="shared" si="0"/>
        <v>1.7185916560561663E-145</v>
      </c>
      <c r="N12" s="3">
        <f t="shared" si="0"/>
        <v>3.7200759760208361E-44</v>
      </c>
      <c r="O12" s="3">
        <f t="shared" si="0"/>
        <v>3.3382377953649984E-15</v>
      </c>
      <c r="P12" s="3">
        <f t="shared" si="0"/>
        <v>4.5399929762484854E-5</v>
      </c>
      <c r="Q12" s="3">
        <f t="shared" si="0"/>
        <v>3.5673993347252395E-2</v>
      </c>
      <c r="R12" s="3">
        <f t="shared" si="0"/>
        <v>0.36787944117144233</v>
      </c>
      <c r="S12" s="3">
        <f t="shared" si="0"/>
        <v>0.71653131057378927</v>
      </c>
      <c r="T12" s="3">
        <f t="shared" si="0"/>
        <v>0.90483741803595952</v>
      </c>
      <c r="U12" s="3">
        <f t="shared" si="0"/>
        <v>0.9672161004820059</v>
      </c>
      <c r="V12" s="3">
        <f t="shared" si="0"/>
        <v>0.99004983374916811</v>
      </c>
      <c r="W12" s="8">
        <v>6330.0512956049542</v>
      </c>
      <c r="X12" s="3">
        <f t="shared" si="3"/>
        <v>15932.07668482</v>
      </c>
    </row>
    <row r="13" spans="2:24" x14ac:dyDescent="0.25">
      <c r="B13" s="2">
        <v>10</v>
      </c>
      <c r="C13" s="2">
        <v>30</v>
      </c>
      <c r="D13" s="3">
        <f t="shared" si="1"/>
        <v>3.3333333333333333E-2</v>
      </c>
      <c r="E13" s="2">
        <v>12975.77110632</v>
      </c>
      <c r="H13">
        <f t="shared" si="4"/>
        <v>12975.771106319999</v>
      </c>
      <c r="J13" s="3">
        <f t="shared" si="2"/>
        <v>0</v>
      </c>
      <c r="K13" s="3">
        <f t="shared" si="2"/>
        <v>0</v>
      </c>
      <c r="L13" s="3">
        <f t="shared" si="0"/>
        <v>0</v>
      </c>
      <c r="M13" s="3">
        <f t="shared" si="0"/>
        <v>0</v>
      </c>
      <c r="N13" s="3">
        <f t="shared" si="0"/>
        <v>5.1482002224120135E-131</v>
      </c>
      <c r="O13" s="3">
        <f t="shared" si="0"/>
        <v>3.7200759760208361E-44</v>
      </c>
      <c r="P13" s="3">
        <f t="shared" si="0"/>
        <v>9.3576229688401748E-14</v>
      </c>
      <c r="Q13" s="3">
        <f t="shared" si="0"/>
        <v>4.5399929762484854E-5</v>
      </c>
      <c r="R13" s="3">
        <f t="shared" si="0"/>
        <v>4.9787068367863944E-2</v>
      </c>
      <c r="S13" s="3">
        <f t="shared" si="0"/>
        <v>0.36787944117144233</v>
      </c>
      <c r="T13" s="3">
        <f t="shared" si="0"/>
        <v>0.74081822068171788</v>
      </c>
      <c r="U13" s="3">
        <f t="shared" si="0"/>
        <v>0.90483741803595952</v>
      </c>
      <c r="V13" s="3">
        <f t="shared" si="0"/>
        <v>0.97044553354850815</v>
      </c>
      <c r="W13" s="8">
        <v>3807.4853308420388</v>
      </c>
      <c r="X13" s="3">
        <f t="shared" si="3"/>
        <v>11215.77110632</v>
      </c>
    </row>
    <row r="14" spans="2:24" x14ac:dyDescent="0.25">
      <c r="B14" s="2">
        <v>11</v>
      </c>
      <c r="C14" s="2">
        <v>100</v>
      </c>
      <c r="D14" s="3">
        <f t="shared" si="1"/>
        <v>0.01</v>
      </c>
      <c r="E14" s="2">
        <v>8542.6158145600002</v>
      </c>
      <c r="H14">
        <f t="shared" si="4"/>
        <v>8542.6158145599984</v>
      </c>
      <c r="J14" s="3">
        <f t="shared" si="2"/>
        <v>0</v>
      </c>
      <c r="K14" s="3">
        <f t="shared" si="2"/>
        <v>0</v>
      </c>
      <c r="L14" s="3">
        <f t="shared" si="0"/>
        <v>0</v>
      </c>
      <c r="M14" s="3">
        <f t="shared" si="0"/>
        <v>0</v>
      </c>
      <c r="N14" s="3">
        <f t="shared" si="0"/>
        <v>0</v>
      </c>
      <c r="O14" s="3">
        <f t="shared" si="0"/>
        <v>1.7185916560561663E-145</v>
      </c>
      <c r="P14" s="3">
        <f t="shared" si="0"/>
        <v>3.7200759760208361E-44</v>
      </c>
      <c r="Q14" s="3">
        <f t="shared" si="0"/>
        <v>3.3382377953649984E-15</v>
      </c>
      <c r="R14" s="3">
        <f t="shared" si="0"/>
        <v>4.5399929762484854E-5</v>
      </c>
      <c r="S14" s="3">
        <f t="shared" si="0"/>
        <v>3.5673993347252395E-2</v>
      </c>
      <c r="T14" s="3">
        <f t="shared" si="0"/>
        <v>0.36787944117144233</v>
      </c>
      <c r="U14" s="3">
        <f t="shared" si="0"/>
        <v>0.71653131057378927</v>
      </c>
      <c r="V14" s="3">
        <f t="shared" si="0"/>
        <v>0.90483741803595952</v>
      </c>
      <c r="W14" s="8">
        <v>7409.7021794408774</v>
      </c>
      <c r="X14" s="3">
        <f t="shared" si="3"/>
        <v>6782.6158145600002</v>
      </c>
    </row>
    <row r="15" spans="2:24" x14ac:dyDescent="0.25">
      <c r="B15" s="2">
        <v>12</v>
      </c>
      <c r="C15" s="2">
        <v>300</v>
      </c>
      <c r="D15" s="3">
        <f t="shared" si="1"/>
        <v>3.3333333333333335E-3</v>
      </c>
      <c r="E15" s="2">
        <v>5650.92</v>
      </c>
      <c r="H15">
        <f t="shared" si="4"/>
        <v>5650.92</v>
      </c>
      <c r="J15" s="3">
        <f t="shared" si="2"/>
        <v>0</v>
      </c>
      <c r="K15" s="3">
        <f t="shared" si="2"/>
        <v>0</v>
      </c>
      <c r="L15" s="3">
        <f t="shared" si="0"/>
        <v>0</v>
      </c>
      <c r="M15" s="3">
        <f t="shared" si="0"/>
        <v>0</v>
      </c>
      <c r="N15" s="3">
        <f t="shared" si="0"/>
        <v>0</v>
      </c>
      <c r="O15" s="3">
        <f t="shared" si="0"/>
        <v>0</v>
      </c>
      <c r="P15" s="3">
        <f t="shared" si="0"/>
        <v>5.1482002224120135E-131</v>
      </c>
      <c r="Q15" s="3">
        <f t="shared" si="0"/>
        <v>3.7200759760208361E-44</v>
      </c>
      <c r="R15" s="3">
        <f t="shared" si="0"/>
        <v>9.3576229688401748E-14</v>
      </c>
      <c r="S15" s="3">
        <f t="shared" si="0"/>
        <v>4.5399929762484854E-5</v>
      </c>
      <c r="T15" s="3">
        <f t="shared" si="0"/>
        <v>4.9787068367863944E-2</v>
      </c>
      <c r="U15" s="3">
        <f t="shared" si="0"/>
        <v>0.36787944117144233</v>
      </c>
      <c r="V15" s="3">
        <f t="shared" si="0"/>
        <v>0.74081822068171788</v>
      </c>
      <c r="W15" s="8">
        <v>-1425.7423739739479</v>
      </c>
      <c r="X15" s="3">
        <f t="shared" si="3"/>
        <v>3890.92</v>
      </c>
    </row>
    <row r="16" spans="2:24" x14ac:dyDescent="0.25">
      <c r="B16" s="2">
        <v>13</v>
      </c>
      <c r="C16" s="2">
        <v>1000</v>
      </c>
      <c r="D16" s="3">
        <f>1/C16</f>
        <v>1E-3</v>
      </c>
      <c r="E16" s="2">
        <v>3718.828</v>
      </c>
      <c r="H16">
        <f t="shared" si="4"/>
        <v>3718.828</v>
      </c>
      <c r="J16" s="3">
        <f t="shared" si="2"/>
        <v>0</v>
      </c>
      <c r="K16" s="3">
        <f t="shared" si="2"/>
        <v>0</v>
      </c>
      <c r="L16" s="3">
        <f t="shared" si="0"/>
        <v>0</v>
      </c>
      <c r="M16" s="3">
        <f t="shared" si="0"/>
        <v>0</v>
      </c>
      <c r="N16" s="3">
        <f t="shared" si="0"/>
        <v>0</v>
      </c>
      <c r="O16" s="3">
        <f t="shared" si="0"/>
        <v>0</v>
      </c>
      <c r="P16" s="3">
        <f t="shared" si="0"/>
        <v>0</v>
      </c>
      <c r="Q16" s="3">
        <f t="shared" si="0"/>
        <v>1.7185916560562642E-145</v>
      </c>
      <c r="R16" s="3">
        <f t="shared" si="0"/>
        <v>3.7200759760208361E-44</v>
      </c>
      <c r="S16" s="3">
        <f t="shared" si="0"/>
        <v>3.3382377953649984E-15</v>
      </c>
      <c r="T16" s="3">
        <f t="shared" si="0"/>
        <v>4.5399929762484854E-5</v>
      </c>
      <c r="U16" s="3">
        <f t="shared" si="0"/>
        <v>3.5673993347252395E-2</v>
      </c>
      <c r="V16" s="3">
        <f t="shared" si="0"/>
        <v>0.36787944117144233</v>
      </c>
      <c r="W16" s="8">
        <v>5461.9891712543567</v>
      </c>
      <c r="X16" s="3">
        <f t="shared" si="3"/>
        <v>1958.828</v>
      </c>
    </row>
    <row r="17" spans="10:23" x14ac:dyDescent="0.25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29"/>
    </row>
    <row r="18" spans="10:23" x14ac:dyDescent="0.25"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2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C8671-F049-4223-BEB9-D97E147BC12B}">
  <dimension ref="B3:X53"/>
  <sheetViews>
    <sheetView workbookViewId="0">
      <selection activeCell="P18" sqref="P18"/>
    </sheetView>
  </sheetViews>
  <sheetFormatPr defaultColWidth="8.85546875" defaultRowHeight="15" x14ac:dyDescent="0.25"/>
  <cols>
    <col min="4" max="4" width="12.42578125" bestFit="1" customWidth="1"/>
    <col min="5" max="6" width="9.140625" style="2"/>
    <col min="10" max="22" width="6.7109375" customWidth="1"/>
    <col min="23" max="23" width="11.42578125" bestFit="1" customWidth="1"/>
    <col min="24" max="24" width="9.42578125" bestFit="1" customWidth="1"/>
  </cols>
  <sheetData>
    <row r="3" spans="2:24" x14ac:dyDescent="0.25">
      <c r="B3" s="2" t="s">
        <v>1</v>
      </c>
      <c r="C3" s="2" t="s">
        <v>0</v>
      </c>
      <c r="D3" s="1" t="s">
        <v>2</v>
      </c>
      <c r="E3" s="2" t="s">
        <v>24</v>
      </c>
      <c r="F3" s="2" t="s">
        <v>25</v>
      </c>
      <c r="J3" s="7">
        <v>1E-3</v>
      </c>
      <c r="K3" s="7">
        <v>3.0000000000000001E-3</v>
      </c>
      <c r="L3" s="7">
        <v>0.01</v>
      </c>
      <c r="M3" s="7">
        <v>0.03</v>
      </c>
      <c r="N3" s="7">
        <v>0.1</v>
      </c>
      <c r="O3" s="7">
        <v>0.3</v>
      </c>
      <c r="P3" s="7">
        <v>1</v>
      </c>
      <c r="Q3" s="7">
        <v>3</v>
      </c>
      <c r="R3" s="7">
        <v>10</v>
      </c>
      <c r="S3" s="7">
        <v>30</v>
      </c>
      <c r="T3" s="7">
        <v>100</v>
      </c>
      <c r="U3" s="7">
        <v>300</v>
      </c>
      <c r="V3" s="7">
        <v>1000</v>
      </c>
    </row>
    <row r="4" spans="2:24" x14ac:dyDescent="0.25">
      <c r="B4" s="2">
        <v>1</v>
      </c>
      <c r="C4" s="2">
        <v>1E-3</v>
      </c>
      <c r="D4" s="3">
        <f>1/C4</f>
        <v>1000</v>
      </c>
      <c r="E4" s="2">
        <v>35911.78807065</v>
      </c>
      <c r="F4" s="2">
        <v>1760</v>
      </c>
      <c r="H4">
        <f>$F$4+J4*W$4+K4*W$5+L4*W$6+M4*W$7+N4*W$8+O4*W$9+P4*W$10+Q4*W$11+R4*W$12+S4*W$13+T4*W$14+U4*W$15+V4*W$16</f>
        <v>35911.788070650007</v>
      </c>
      <c r="J4" s="3">
        <f>EXP(-$C4/J$3)</f>
        <v>0.36787944117144233</v>
      </c>
      <c r="K4" s="3">
        <f>EXP(-$C4/K$3)</f>
        <v>0.71653131057378927</v>
      </c>
      <c r="L4" s="3">
        <f t="shared" ref="L4:V16" si="0">EXP(-$C4/L$3)</f>
        <v>0.90483741803595952</v>
      </c>
      <c r="M4" s="3">
        <f t="shared" si="0"/>
        <v>0.9672161004820059</v>
      </c>
      <c r="N4" s="3">
        <f t="shared" si="0"/>
        <v>0.99004983374916811</v>
      </c>
      <c r="O4" s="3">
        <f t="shared" si="0"/>
        <v>0.99667221605452327</v>
      </c>
      <c r="P4" s="3">
        <f t="shared" si="0"/>
        <v>0.99900049983337502</v>
      </c>
      <c r="Q4" s="3">
        <f t="shared" si="0"/>
        <v>0.99966672221604991</v>
      </c>
      <c r="R4" s="3">
        <f t="shared" si="0"/>
        <v>0.99990000499983334</v>
      </c>
      <c r="S4" s="3">
        <f t="shared" si="0"/>
        <v>0.99996666722221605</v>
      </c>
      <c r="T4" s="3">
        <f t="shared" si="0"/>
        <v>0.99999000004999983</v>
      </c>
      <c r="U4" s="3">
        <f t="shared" si="0"/>
        <v>0.9999966666722222</v>
      </c>
      <c r="V4" s="3">
        <f t="shared" si="0"/>
        <v>0.99999900000050002</v>
      </c>
      <c r="W4" s="28" cm="1">
        <f t="array" ref="W4:W16">MMULT(MINVERSE(J4:V16),X4:X16)</f>
        <v>218.3977240298284</v>
      </c>
      <c r="X4" s="3">
        <f>E4-$F$4</f>
        <v>34151.78807065</v>
      </c>
    </row>
    <row r="5" spans="2:24" x14ac:dyDescent="0.25">
      <c r="B5" s="2">
        <v>2</v>
      </c>
      <c r="C5" s="2">
        <v>3.0000000000000001E-3</v>
      </c>
      <c r="D5" s="3">
        <f t="shared" ref="D5:D15" si="1">1/C5</f>
        <v>333.33333333333331</v>
      </c>
      <c r="E5" s="2">
        <v>35489.970961109997</v>
      </c>
      <c r="H5">
        <f>$F$4+J5*W$4+K5*W$5+L5*W$6+M5*W$7+N5*W$8+O5*W$9+P5*W$10+Q5*W$11+R5*W$12+S5*W$13+T5*W$14+U5*W$15+V5*W$16</f>
        <v>35489.970961109997</v>
      </c>
      <c r="J5" s="3">
        <f t="shared" ref="J5:K16" si="2">EXP(-$C5/J$3)</f>
        <v>4.9787068367863944E-2</v>
      </c>
      <c r="K5" s="3">
        <f t="shared" si="2"/>
        <v>0.36787944117144233</v>
      </c>
      <c r="L5" s="3">
        <f t="shared" si="0"/>
        <v>0.74081822068171788</v>
      </c>
      <c r="M5" s="3">
        <f t="shared" si="0"/>
        <v>0.90483741803595952</v>
      </c>
      <c r="N5" s="3">
        <f t="shared" si="0"/>
        <v>0.97044553354850815</v>
      </c>
      <c r="O5" s="3">
        <f t="shared" si="0"/>
        <v>0.99004983374916811</v>
      </c>
      <c r="P5" s="3">
        <f t="shared" si="0"/>
        <v>0.997004495503373</v>
      </c>
      <c r="Q5" s="3">
        <f t="shared" si="0"/>
        <v>0.99900049983337502</v>
      </c>
      <c r="R5" s="3">
        <f t="shared" si="0"/>
        <v>0.99970004499550036</v>
      </c>
      <c r="S5" s="3">
        <f t="shared" si="0"/>
        <v>0.99990000499983334</v>
      </c>
      <c r="T5" s="3">
        <f t="shared" si="0"/>
        <v>0.99997000044999551</v>
      </c>
      <c r="U5" s="3">
        <f t="shared" si="0"/>
        <v>0.99999000004999983</v>
      </c>
      <c r="V5" s="3">
        <f t="shared" si="0"/>
        <v>0.99999700000449998</v>
      </c>
      <c r="W5" s="8">
        <v>439.51063710484925</v>
      </c>
      <c r="X5" s="3">
        <f t="shared" ref="X5:X16" si="3">E5-$F$4</f>
        <v>33729.970961109997</v>
      </c>
    </row>
    <row r="6" spans="2:24" x14ac:dyDescent="0.25">
      <c r="B6" s="2">
        <v>3</v>
      </c>
      <c r="C6" s="2">
        <v>0.01</v>
      </c>
      <c r="D6" s="3">
        <f t="shared" si="1"/>
        <v>100</v>
      </c>
      <c r="E6" s="2">
        <v>34775.269830609999</v>
      </c>
      <c r="H6">
        <f t="shared" ref="H6:H16" si="4">$F$4+J6*W$4+K6*W$5+L6*W$6+M6*W$7+N6*W$8+O6*W$9+P6*W$10+Q6*W$11+R6*W$12+S6*W$13+T6*W$14+U6*W$15+V6*W$16</f>
        <v>34775.269830610065</v>
      </c>
      <c r="J6" s="3">
        <f t="shared" si="2"/>
        <v>4.5399929762484854E-5</v>
      </c>
      <c r="K6" s="3">
        <f t="shared" si="2"/>
        <v>3.5673993347252395E-2</v>
      </c>
      <c r="L6" s="3">
        <f t="shared" si="0"/>
        <v>0.36787944117144233</v>
      </c>
      <c r="M6" s="3">
        <f t="shared" si="0"/>
        <v>0.71653131057378927</v>
      </c>
      <c r="N6" s="3">
        <f t="shared" si="0"/>
        <v>0.90483741803595963</v>
      </c>
      <c r="O6" s="3">
        <f t="shared" si="0"/>
        <v>0.9672161004820059</v>
      </c>
      <c r="P6" s="3">
        <f t="shared" si="0"/>
        <v>0.99004983374916811</v>
      </c>
      <c r="Q6" s="3">
        <f t="shared" si="0"/>
        <v>0.99667221605452327</v>
      </c>
      <c r="R6" s="3">
        <f t="shared" si="0"/>
        <v>0.99900049983337502</v>
      </c>
      <c r="S6" s="3">
        <f t="shared" si="0"/>
        <v>0.99966672221604991</v>
      </c>
      <c r="T6" s="3">
        <f t="shared" si="0"/>
        <v>0.99990000499983334</v>
      </c>
      <c r="U6" s="3">
        <f t="shared" si="0"/>
        <v>0.99996666722221605</v>
      </c>
      <c r="V6" s="3">
        <f t="shared" si="0"/>
        <v>0.99999000004999983</v>
      </c>
      <c r="W6" s="8">
        <v>516.81349874354646</v>
      </c>
      <c r="X6" s="3">
        <f t="shared" si="3"/>
        <v>33015.269830609999</v>
      </c>
    </row>
    <row r="7" spans="2:24" x14ac:dyDescent="0.25">
      <c r="B7" s="2">
        <v>4</v>
      </c>
      <c r="C7" s="2">
        <v>0.03</v>
      </c>
      <c r="D7" s="3">
        <f t="shared" si="1"/>
        <v>33.333333333333336</v>
      </c>
      <c r="E7" s="2">
        <v>33781.333428719998</v>
      </c>
      <c r="H7">
        <f t="shared" si="4"/>
        <v>33781.333428720005</v>
      </c>
      <c r="J7" s="3">
        <f t="shared" si="2"/>
        <v>9.3576229688401748E-14</v>
      </c>
      <c r="K7" s="3">
        <f t="shared" si="2"/>
        <v>4.5399929762484854E-5</v>
      </c>
      <c r="L7" s="3">
        <f t="shared" si="0"/>
        <v>4.9787068367863944E-2</v>
      </c>
      <c r="M7" s="3">
        <f t="shared" si="0"/>
        <v>0.36787944117144233</v>
      </c>
      <c r="N7" s="3">
        <f t="shared" si="0"/>
        <v>0.74081822068171788</v>
      </c>
      <c r="O7" s="3">
        <f t="shared" si="0"/>
        <v>0.90483741803595952</v>
      </c>
      <c r="P7" s="3">
        <f t="shared" si="0"/>
        <v>0.97044553354850815</v>
      </c>
      <c r="Q7" s="3">
        <f t="shared" si="0"/>
        <v>0.99004983374916811</v>
      </c>
      <c r="R7" s="3">
        <f t="shared" si="0"/>
        <v>0.997004495503373</v>
      </c>
      <c r="S7" s="3">
        <f t="shared" si="0"/>
        <v>0.99900049983337502</v>
      </c>
      <c r="T7" s="3">
        <f t="shared" si="0"/>
        <v>0.99970004499550036</v>
      </c>
      <c r="U7" s="3">
        <f t="shared" si="0"/>
        <v>0.99990000499983334</v>
      </c>
      <c r="V7" s="3">
        <f t="shared" si="0"/>
        <v>0.99997000044999551</v>
      </c>
      <c r="W7" s="8">
        <v>1005.8197395068614</v>
      </c>
      <c r="X7" s="3">
        <f t="shared" si="3"/>
        <v>32021.333428719998</v>
      </c>
    </row>
    <row r="8" spans="2:24" x14ac:dyDescent="0.25">
      <c r="B8" s="2">
        <v>5</v>
      </c>
      <c r="C8" s="2">
        <v>0.1</v>
      </c>
      <c r="D8" s="3">
        <f t="shared" si="1"/>
        <v>10</v>
      </c>
      <c r="E8" s="2">
        <v>32147.712789829999</v>
      </c>
      <c r="H8">
        <f t="shared" si="4"/>
        <v>32147.712789830024</v>
      </c>
      <c r="J8" s="3">
        <f t="shared" si="2"/>
        <v>3.7200759760208361E-44</v>
      </c>
      <c r="K8" s="3">
        <f t="shared" si="2"/>
        <v>3.3382377953649984E-15</v>
      </c>
      <c r="L8" s="3">
        <f t="shared" si="0"/>
        <v>4.5399929762484854E-5</v>
      </c>
      <c r="M8" s="3">
        <f t="shared" si="0"/>
        <v>3.5673993347252395E-2</v>
      </c>
      <c r="N8" s="3">
        <f t="shared" si="0"/>
        <v>0.36787944117144233</v>
      </c>
      <c r="O8" s="3">
        <f t="shared" si="0"/>
        <v>0.71653131057378927</v>
      </c>
      <c r="P8" s="3">
        <f t="shared" si="0"/>
        <v>0.90483741803595952</v>
      </c>
      <c r="Q8" s="3">
        <f t="shared" si="0"/>
        <v>0.9672161004820059</v>
      </c>
      <c r="R8" s="3">
        <f t="shared" si="0"/>
        <v>0.99004983374916811</v>
      </c>
      <c r="S8" s="3">
        <f t="shared" si="0"/>
        <v>0.99667221605452327</v>
      </c>
      <c r="T8" s="3">
        <f t="shared" si="0"/>
        <v>0.99900049983337502</v>
      </c>
      <c r="U8" s="3">
        <f t="shared" si="0"/>
        <v>0.99966672221604991</v>
      </c>
      <c r="V8" s="3">
        <f t="shared" si="0"/>
        <v>0.99990000499983334</v>
      </c>
      <c r="W8" s="8">
        <v>1347.2735076756758</v>
      </c>
      <c r="X8" s="3">
        <f t="shared" si="3"/>
        <v>30387.712789829999</v>
      </c>
    </row>
    <row r="9" spans="2:24" x14ac:dyDescent="0.25">
      <c r="B9" s="2">
        <v>6</v>
      </c>
      <c r="C9" s="2">
        <v>0.3</v>
      </c>
      <c r="D9" s="3">
        <f t="shared" si="1"/>
        <v>3.3333333333333335</v>
      </c>
      <c r="E9" s="2">
        <v>29979.570979399999</v>
      </c>
      <c r="H9">
        <f t="shared" si="4"/>
        <v>29979.570979399999</v>
      </c>
      <c r="J9" s="3">
        <f t="shared" si="2"/>
        <v>5.1482002224120135E-131</v>
      </c>
      <c r="K9" s="3">
        <f t="shared" si="2"/>
        <v>3.7200759760208361E-44</v>
      </c>
      <c r="L9" s="3">
        <f t="shared" si="0"/>
        <v>9.3576229688401748E-14</v>
      </c>
      <c r="M9" s="3">
        <f t="shared" si="0"/>
        <v>4.5399929762484854E-5</v>
      </c>
      <c r="N9" s="3">
        <f t="shared" si="0"/>
        <v>4.9787068367863965E-2</v>
      </c>
      <c r="O9" s="3">
        <f t="shared" si="0"/>
        <v>0.36787944117144233</v>
      </c>
      <c r="P9" s="3">
        <f t="shared" si="0"/>
        <v>0.74081822068171788</v>
      </c>
      <c r="Q9" s="3">
        <f t="shared" si="0"/>
        <v>0.90483741803595963</v>
      </c>
      <c r="R9" s="3">
        <f t="shared" si="0"/>
        <v>0.97044553354850815</v>
      </c>
      <c r="S9" s="3">
        <f t="shared" si="0"/>
        <v>0.99004983374916811</v>
      </c>
      <c r="T9" s="3">
        <f t="shared" si="0"/>
        <v>0.997004495503373</v>
      </c>
      <c r="U9" s="3">
        <f t="shared" si="0"/>
        <v>0.99900049983337502</v>
      </c>
      <c r="V9" s="3">
        <f t="shared" si="0"/>
        <v>0.99970004499550036</v>
      </c>
      <c r="W9" s="8">
        <v>2166.189850184257</v>
      </c>
      <c r="X9" s="3">
        <f t="shared" si="3"/>
        <v>28219.570979399999</v>
      </c>
    </row>
    <row r="10" spans="2:24" x14ac:dyDescent="0.25">
      <c r="B10" s="2">
        <v>7</v>
      </c>
      <c r="C10" s="2">
        <v>1</v>
      </c>
      <c r="D10" s="3">
        <f t="shared" si="1"/>
        <v>1</v>
      </c>
      <c r="E10" s="2">
        <v>26670.690541060001</v>
      </c>
      <c r="H10">
        <f t="shared" si="4"/>
        <v>26670.690541060001</v>
      </c>
      <c r="J10" s="3">
        <f t="shared" si="2"/>
        <v>0</v>
      </c>
      <c r="K10" s="3">
        <f t="shared" si="2"/>
        <v>1.7185916560562642E-145</v>
      </c>
      <c r="L10" s="3">
        <f t="shared" si="0"/>
        <v>3.7200759760208361E-44</v>
      </c>
      <c r="M10" s="3">
        <f t="shared" si="0"/>
        <v>3.3382377953649984E-15</v>
      </c>
      <c r="N10" s="3">
        <f t="shared" si="0"/>
        <v>4.5399929762484854E-5</v>
      </c>
      <c r="O10" s="3">
        <f t="shared" si="0"/>
        <v>3.5673993347252395E-2</v>
      </c>
      <c r="P10" s="3">
        <f t="shared" si="0"/>
        <v>0.36787944117144233</v>
      </c>
      <c r="Q10" s="3">
        <f t="shared" si="0"/>
        <v>0.71653131057378927</v>
      </c>
      <c r="R10" s="3">
        <f t="shared" si="0"/>
        <v>0.90483741803595952</v>
      </c>
      <c r="S10" s="3">
        <f t="shared" si="0"/>
        <v>0.9672161004820059</v>
      </c>
      <c r="T10" s="3">
        <f t="shared" si="0"/>
        <v>0.99004983374916811</v>
      </c>
      <c r="U10" s="3">
        <f t="shared" si="0"/>
        <v>0.99667221605452327</v>
      </c>
      <c r="V10" s="3">
        <f t="shared" si="0"/>
        <v>0.99900049983337502</v>
      </c>
      <c r="W10" s="8">
        <v>3269.3047030701746</v>
      </c>
      <c r="X10" s="3">
        <f t="shared" si="3"/>
        <v>24910.690541060001</v>
      </c>
    </row>
    <row r="11" spans="2:24" x14ac:dyDescent="0.25">
      <c r="B11" s="2">
        <v>8</v>
      </c>
      <c r="C11" s="2">
        <v>3</v>
      </c>
      <c r="D11" s="3">
        <f t="shared" si="1"/>
        <v>0.33333333333333331</v>
      </c>
      <c r="E11" s="2">
        <v>22744.85083657</v>
      </c>
      <c r="H11">
        <f t="shared" si="4"/>
        <v>22744.850836569978</v>
      </c>
      <c r="J11" s="3">
        <f t="shared" si="2"/>
        <v>0</v>
      </c>
      <c r="K11" s="3">
        <f t="shared" si="2"/>
        <v>0</v>
      </c>
      <c r="L11" s="3">
        <f t="shared" si="0"/>
        <v>5.1482002224120135E-131</v>
      </c>
      <c r="M11" s="3">
        <f t="shared" si="0"/>
        <v>3.7200759760208361E-44</v>
      </c>
      <c r="N11" s="3">
        <f t="shared" si="0"/>
        <v>9.3576229688401748E-14</v>
      </c>
      <c r="O11" s="3">
        <f t="shared" si="0"/>
        <v>4.5399929762484854E-5</v>
      </c>
      <c r="P11" s="3">
        <f t="shared" si="0"/>
        <v>4.9787068367863944E-2</v>
      </c>
      <c r="Q11" s="3">
        <f t="shared" si="0"/>
        <v>0.36787944117144233</v>
      </c>
      <c r="R11" s="3">
        <f t="shared" si="0"/>
        <v>0.74081822068171788</v>
      </c>
      <c r="S11" s="3">
        <f t="shared" si="0"/>
        <v>0.90483741803595952</v>
      </c>
      <c r="T11" s="3">
        <f t="shared" si="0"/>
        <v>0.97044553354850815</v>
      </c>
      <c r="U11" s="3">
        <f t="shared" si="0"/>
        <v>0.99004983374916811</v>
      </c>
      <c r="V11" s="3">
        <f t="shared" si="0"/>
        <v>0.997004495503373</v>
      </c>
      <c r="W11" s="8">
        <v>3975.831630881331</v>
      </c>
      <c r="X11" s="3">
        <f t="shared" si="3"/>
        <v>20984.85083657</v>
      </c>
    </row>
    <row r="12" spans="2:24" x14ac:dyDescent="0.25">
      <c r="B12" s="2">
        <v>9</v>
      </c>
      <c r="C12" s="2">
        <v>10</v>
      </c>
      <c r="D12" s="3">
        <f t="shared" si="1"/>
        <v>0.1</v>
      </c>
      <c r="E12" s="2">
        <v>17692.07668482</v>
      </c>
      <c r="H12">
        <f t="shared" si="4"/>
        <v>17692.076684819993</v>
      </c>
      <c r="J12" s="3">
        <f>EXP(-$C12/J$3)</f>
        <v>0</v>
      </c>
      <c r="K12" s="3">
        <f>EXP(-$C12/K$3)</f>
        <v>0</v>
      </c>
      <c r="L12" s="3">
        <f t="shared" si="0"/>
        <v>0</v>
      </c>
      <c r="M12" s="3">
        <f t="shared" si="0"/>
        <v>1.7185916560561663E-145</v>
      </c>
      <c r="N12" s="3">
        <f t="shared" si="0"/>
        <v>3.7200759760208361E-44</v>
      </c>
      <c r="O12" s="3">
        <f t="shared" si="0"/>
        <v>3.3382377953649984E-15</v>
      </c>
      <c r="P12" s="3">
        <f t="shared" si="0"/>
        <v>4.5399929762484854E-5</v>
      </c>
      <c r="Q12" s="3">
        <f t="shared" si="0"/>
        <v>3.5673993347252395E-2</v>
      </c>
      <c r="R12" s="3">
        <f t="shared" si="0"/>
        <v>0.36787944117144233</v>
      </c>
      <c r="S12" s="3">
        <f t="shared" si="0"/>
        <v>0.71653131057378927</v>
      </c>
      <c r="T12" s="3">
        <f t="shared" si="0"/>
        <v>0.90483741803595952</v>
      </c>
      <c r="U12" s="3">
        <f t="shared" si="0"/>
        <v>0.9672161004820059</v>
      </c>
      <c r="V12" s="3">
        <f t="shared" si="0"/>
        <v>0.99004983374916811</v>
      </c>
      <c r="W12" s="8">
        <v>6330.0512956049542</v>
      </c>
      <c r="X12" s="3">
        <f t="shared" si="3"/>
        <v>15932.07668482</v>
      </c>
    </row>
    <row r="13" spans="2:24" x14ac:dyDescent="0.25">
      <c r="B13" s="2">
        <v>10</v>
      </c>
      <c r="C13" s="2">
        <v>30</v>
      </c>
      <c r="D13" s="3">
        <f t="shared" si="1"/>
        <v>3.3333333333333333E-2</v>
      </c>
      <c r="E13" s="2">
        <v>12975.77110632</v>
      </c>
      <c r="H13">
        <f t="shared" si="4"/>
        <v>12975.771106319999</v>
      </c>
      <c r="J13" s="3">
        <f t="shared" si="2"/>
        <v>0</v>
      </c>
      <c r="K13" s="3">
        <f t="shared" si="2"/>
        <v>0</v>
      </c>
      <c r="L13" s="3">
        <f t="shared" si="0"/>
        <v>0</v>
      </c>
      <c r="M13" s="3">
        <f t="shared" si="0"/>
        <v>0</v>
      </c>
      <c r="N13" s="3">
        <f t="shared" si="0"/>
        <v>5.1482002224120135E-131</v>
      </c>
      <c r="O13" s="3">
        <f t="shared" si="0"/>
        <v>3.7200759760208361E-44</v>
      </c>
      <c r="P13" s="3">
        <f t="shared" si="0"/>
        <v>9.3576229688401748E-14</v>
      </c>
      <c r="Q13" s="3">
        <f t="shared" si="0"/>
        <v>4.5399929762484854E-5</v>
      </c>
      <c r="R13" s="3">
        <f t="shared" si="0"/>
        <v>4.9787068367863944E-2</v>
      </c>
      <c r="S13" s="3">
        <f t="shared" si="0"/>
        <v>0.36787944117144233</v>
      </c>
      <c r="T13" s="3">
        <f t="shared" si="0"/>
        <v>0.74081822068171788</v>
      </c>
      <c r="U13" s="3">
        <f t="shared" si="0"/>
        <v>0.90483741803595952</v>
      </c>
      <c r="V13" s="3">
        <f t="shared" si="0"/>
        <v>0.97044553354850815</v>
      </c>
      <c r="W13" s="8">
        <v>3807.4853308420388</v>
      </c>
      <c r="X13" s="3">
        <f t="shared" si="3"/>
        <v>11215.77110632</v>
      </c>
    </row>
    <row r="14" spans="2:24" x14ac:dyDescent="0.25">
      <c r="B14" s="2">
        <v>11</v>
      </c>
      <c r="C14" s="2">
        <v>100</v>
      </c>
      <c r="D14" s="3">
        <f t="shared" si="1"/>
        <v>0.01</v>
      </c>
      <c r="E14" s="2">
        <v>8542.6158145600002</v>
      </c>
      <c r="H14">
        <f t="shared" si="4"/>
        <v>8542.6158145599984</v>
      </c>
      <c r="J14" s="3">
        <f t="shared" si="2"/>
        <v>0</v>
      </c>
      <c r="K14" s="3">
        <f t="shared" si="2"/>
        <v>0</v>
      </c>
      <c r="L14" s="3">
        <f t="shared" si="0"/>
        <v>0</v>
      </c>
      <c r="M14" s="3">
        <f t="shared" si="0"/>
        <v>0</v>
      </c>
      <c r="N14" s="3">
        <f t="shared" si="0"/>
        <v>0</v>
      </c>
      <c r="O14" s="3">
        <f t="shared" si="0"/>
        <v>1.7185916560561663E-145</v>
      </c>
      <c r="P14" s="3">
        <f t="shared" si="0"/>
        <v>3.7200759760208361E-44</v>
      </c>
      <c r="Q14" s="3">
        <f t="shared" si="0"/>
        <v>3.3382377953649984E-15</v>
      </c>
      <c r="R14" s="3">
        <f t="shared" si="0"/>
        <v>4.5399929762484854E-5</v>
      </c>
      <c r="S14" s="3">
        <f t="shared" si="0"/>
        <v>3.5673993347252395E-2</v>
      </c>
      <c r="T14" s="3">
        <f t="shared" si="0"/>
        <v>0.36787944117144233</v>
      </c>
      <c r="U14" s="3">
        <f t="shared" si="0"/>
        <v>0.71653131057378927</v>
      </c>
      <c r="V14" s="3">
        <f t="shared" si="0"/>
        <v>0.90483741803595952</v>
      </c>
      <c r="W14" s="8">
        <v>7409.7021794408774</v>
      </c>
      <c r="X14" s="3">
        <f t="shared" si="3"/>
        <v>6782.6158145600002</v>
      </c>
    </row>
    <row r="15" spans="2:24" x14ac:dyDescent="0.25">
      <c r="B15" s="2">
        <v>12</v>
      </c>
      <c r="C15" s="2">
        <v>300</v>
      </c>
      <c r="D15" s="3">
        <f t="shared" si="1"/>
        <v>3.3333333333333335E-3</v>
      </c>
      <c r="E15" s="2">
        <v>5650.92</v>
      </c>
      <c r="H15">
        <f t="shared" si="4"/>
        <v>5650.92</v>
      </c>
      <c r="J15" s="3">
        <f t="shared" si="2"/>
        <v>0</v>
      </c>
      <c r="K15" s="3">
        <f t="shared" si="2"/>
        <v>0</v>
      </c>
      <c r="L15" s="3">
        <f t="shared" si="0"/>
        <v>0</v>
      </c>
      <c r="M15" s="3">
        <f t="shared" si="0"/>
        <v>0</v>
      </c>
      <c r="N15" s="3">
        <f t="shared" si="0"/>
        <v>0</v>
      </c>
      <c r="O15" s="3">
        <f t="shared" si="0"/>
        <v>0</v>
      </c>
      <c r="P15" s="3">
        <f t="shared" si="0"/>
        <v>5.1482002224120135E-131</v>
      </c>
      <c r="Q15" s="3">
        <f t="shared" si="0"/>
        <v>3.7200759760208361E-44</v>
      </c>
      <c r="R15" s="3">
        <f t="shared" si="0"/>
        <v>9.3576229688401748E-14</v>
      </c>
      <c r="S15" s="3">
        <f t="shared" si="0"/>
        <v>4.5399929762484854E-5</v>
      </c>
      <c r="T15" s="3">
        <f t="shared" si="0"/>
        <v>4.9787068367863944E-2</v>
      </c>
      <c r="U15" s="3">
        <f t="shared" si="0"/>
        <v>0.36787944117144233</v>
      </c>
      <c r="V15" s="3">
        <f t="shared" si="0"/>
        <v>0.74081822068171788</v>
      </c>
      <c r="W15" s="8">
        <v>-1425.7423739739479</v>
      </c>
      <c r="X15" s="3">
        <f t="shared" si="3"/>
        <v>3890.92</v>
      </c>
    </row>
    <row r="16" spans="2:24" x14ac:dyDescent="0.25">
      <c r="B16" s="2">
        <v>13</v>
      </c>
      <c r="C16" s="2">
        <v>1000</v>
      </c>
      <c r="D16" s="3">
        <f>1/C16</f>
        <v>1E-3</v>
      </c>
      <c r="E16" s="2">
        <v>3718.828</v>
      </c>
      <c r="H16">
        <f t="shared" si="4"/>
        <v>3718.828</v>
      </c>
      <c r="J16" s="3">
        <f t="shared" si="2"/>
        <v>0</v>
      </c>
      <c r="K16" s="3">
        <f t="shared" si="2"/>
        <v>0</v>
      </c>
      <c r="L16" s="3">
        <f t="shared" si="0"/>
        <v>0</v>
      </c>
      <c r="M16" s="3">
        <f t="shared" si="0"/>
        <v>0</v>
      </c>
      <c r="N16" s="3">
        <f t="shared" si="0"/>
        <v>0</v>
      </c>
      <c r="O16" s="3">
        <f t="shared" si="0"/>
        <v>0</v>
      </c>
      <c r="P16" s="3">
        <f t="shared" si="0"/>
        <v>0</v>
      </c>
      <c r="Q16" s="3">
        <f t="shared" si="0"/>
        <v>1.7185916560562642E-145</v>
      </c>
      <c r="R16" s="3">
        <f t="shared" si="0"/>
        <v>3.7200759760208361E-44</v>
      </c>
      <c r="S16" s="3">
        <f t="shared" si="0"/>
        <v>3.3382377953649984E-15</v>
      </c>
      <c r="T16" s="3">
        <f t="shared" si="0"/>
        <v>4.5399929762484854E-5</v>
      </c>
      <c r="U16" s="3">
        <f t="shared" si="0"/>
        <v>3.5673993347252395E-2</v>
      </c>
      <c r="V16" s="3">
        <f t="shared" si="0"/>
        <v>0.36787944117144233</v>
      </c>
      <c r="W16" s="8">
        <v>5461.9891712543567</v>
      </c>
      <c r="X16" s="3">
        <f t="shared" si="3"/>
        <v>1958.828</v>
      </c>
    </row>
    <row r="17" spans="10:23" x14ac:dyDescent="0.25"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29"/>
    </row>
    <row r="18" spans="10:23" x14ac:dyDescent="0.25"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29"/>
    </row>
    <row r="20" spans="10:23" x14ac:dyDescent="0.25">
      <c r="J20" t="s">
        <v>26</v>
      </c>
      <c r="K20" t="s">
        <v>27</v>
      </c>
    </row>
    <row r="21" spans="10:23" x14ac:dyDescent="0.25">
      <c r="J21">
        <v>9.9999999999999995E-7</v>
      </c>
      <c r="K21">
        <v>23633.797356775725</v>
      </c>
    </row>
    <row r="22" spans="10:23" x14ac:dyDescent="0.25">
      <c r="J22">
        <v>3.1622776601683792E-6</v>
      </c>
      <c r="K22">
        <v>23606.598327706419</v>
      </c>
    </row>
    <row r="23" spans="10:23" x14ac:dyDescent="0.25">
      <c r="J23">
        <v>1.0000000000000001E-5</v>
      </c>
      <c r="K23">
        <v>23554.738453773443</v>
      </c>
    </row>
    <row r="24" spans="10:23" x14ac:dyDescent="0.25">
      <c r="J24">
        <v>3.1622776601683795E-5</v>
      </c>
      <c r="K24">
        <v>23447.350134727247</v>
      </c>
    </row>
    <row r="25" spans="10:23" x14ac:dyDescent="0.25">
      <c r="J25">
        <v>1.0000000000000002E-4</v>
      </c>
      <c r="K25">
        <v>23240.858513700899</v>
      </c>
    </row>
    <row r="26" spans="10:23" x14ac:dyDescent="0.25">
      <c r="J26">
        <v>3.1622776601683799E-4</v>
      </c>
      <c r="K26">
        <v>22829.9342896257</v>
      </c>
    </row>
    <row r="27" spans="10:23" x14ac:dyDescent="0.25">
      <c r="J27">
        <v>1.0000000000000002E-3</v>
      </c>
      <c r="K27">
        <v>22110.410233601775</v>
      </c>
    </row>
    <row r="28" spans="10:23" x14ac:dyDescent="0.25">
      <c r="J28">
        <v>3.1622776601683803E-3</v>
      </c>
      <c r="K28">
        <v>20768.850393444052</v>
      </c>
    </row>
    <row r="29" spans="10:23" x14ac:dyDescent="0.25">
      <c r="J29">
        <v>1.0000000000000004E-2</v>
      </c>
      <c r="K29">
        <v>18633.87694284266</v>
      </c>
    </row>
    <row r="30" spans="10:23" x14ac:dyDescent="0.25">
      <c r="J30">
        <v>3.1622776601683805E-2</v>
      </c>
      <c r="K30">
        <v>15278.361772449356</v>
      </c>
    </row>
    <row r="31" spans="10:23" x14ac:dyDescent="0.25">
      <c r="J31">
        <v>0.10000000000000005</v>
      </c>
      <c r="K31">
        <v>11777.652391324853</v>
      </c>
    </row>
    <row r="32" spans="10:23" x14ac:dyDescent="0.25">
      <c r="J32">
        <v>0.31622776601683811</v>
      </c>
      <c r="K32">
        <v>7873.1117576787001</v>
      </c>
    </row>
    <row r="33" spans="10:11" x14ac:dyDescent="0.25">
      <c r="J33">
        <v>1.0000000000000007</v>
      </c>
      <c r="K33">
        <v>5212.4121762782879</v>
      </c>
    </row>
    <row r="34" spans="10:11" x14ac:dyDescent="0.25">
      <c r="J34">
        <v>3.1622776601683817</v>
      </c>
      <c r="K34">
        <v>3621.5965336681002</v>
      </c>
    </row>
    <row r="35" spans="10:11" x14ac:dyDescent="0.25">
      <c r="J35">
        <v>10.000000000000009</v>
      </c>
      <c r="K35">
        <v>2691.1820669497502</v>
      </c>
    </row>
    <row r="36" spans="10:11" x14ac:dyDescent="0.25">
      <c r="J36">
        <v>31.622776601683825</v>
      </c>
      <c r="K36">
        <v>2316.4015566842731</v>
      </c>
    </row>
    <row r="37" spans="10:11" x14ac:dyDescent="0.25">
      <c r="J37">
        <v>100.0000000000001</v>
      </c>
      <c r="K37">
        <v>2102.891321086347</v>
      </c>
    </row>
    <row r="38" spans="10:11" x14ac:dyDescent="0.25">
      <c r="J38">
        <v>316.22776601683825</v>
      </c>
      <c r="K38">
        <v>2015.7075153567705</v>
      </c>
    </row>
    <row r="39" spans="10:11" x14ac:dyDescent="0.25">
      <c r="J39">
        <v>1000.000000000001</v>
      </c>
      <c r="K39">
        <v>1965.7781156534948</v>
      </c>
    </row>
    <row r="40" spans="10:11" x14ac:dyDescent="0.25">
      <c r="J40">
        <v>3162.2776601683827</v>
      </c>
      <c r="K40">
        <v>1945.0577439947704</v>
      </c>
    </row>
    <row r="41" spans="10:11" x14ac:dyDescent="0.25">
      <c r="J41">
        <v>10000.000000000011</v>
      </c>
      <c r="K41">
        <v>1933.1631042049851</v>
      </c>
    </row>
    <row r="42" spans="10:11" x14ac:dyDescent="0.25">
      <c r="J42">
        <v>31622.776601683829</v>
      </c>
      <c r="K42">
        <v>1928.2085553937738</v>
      </c>
    </row>
    <row r="43" spans="10:11" x14ac:dyDescent="0.25">
      <c r="J43">
        <v>100000.00000000012</v>
      </c>
      <c r="K43">
        <v>1925.3627418891792</v>
      </c>
    </row>
    <row r="44" spans="10:11" x14ac:dyDescent="0.25">
      <c r="J44">
        <v>316227.76601683832</v>
      </c>
      <c r="K44">
        <v>1924.1761793250876</v>
      </c>
    </row>
    <row r="45" spans="10:11" x14ac:dyDescent="0.25">
      <c r="J45">
        <v>1000000.0000000013</v>
      </c>
      <c r="K45">
        <v>1923.4944077269233</v>
      </c>
    </row>
    <row r="46" spans="10:11" x14ac:dyDescent="0.25">
      <c r="J46">
        <v>3162277.6601683837</v>
      </c>
      <c r="K46">
        <v>1923.2099660999324</v>
      </c>
    </row>
    <row r="47" spans="10:11" x14ac:dyDescent="0.25">
      <c r="J47">
        <v>10000000.000000015</v>
      </c>
      <c r="K47">
        <v>1923.0469378896239</v>
      </c>
    </row>
    <row r="48" spans="10:11" x14ac:dyDescent="0.25">
      <c r="J48">
        <v>31622776.601683844</v>
      </c>
      <c r="K48">
        <v>1922.9790090077081</v>
      </c>
    </row>
    <row r="49" spans="10:11" x14ac:dyDescent="0.25">
      <c r="J49">
        <v>100000000.00000016</v>
      </c>
      <c r="K49">
        <v>1922.9373656136888</v>
      </c>
    </row>
    <row r="50" spans="10:11" x14ac:dyDescent="0.25">
      <c r="J50">
        <v>316227766.01683849</v>
      </c>
      <c r="K50">
        <v>1922.9161829537536</v>
      </c>
    </row>
    <row r="51" spans="10:11" x14ac:dyDescent="0.25">
      <c r="J51">
        <v>1000000000.0000018</v>
      </c>
      <c r="K51">
        <v>1922.9061558551814</v>
      </c>
    </row>
    <row r="52" spans="10:11" x14ac:dyDescent="0.25">
      <c r="J52">
        <v>3162277660.168385</v>
      </c>
      <c r="K52">
        <v>1922.9058163595012</v>
      </c>
    </row>
    <row r="53" spans="10:11" x14ac:dyDescent="0.25">
      <c r="J53">
        <v>10000000000.000019</v>
      </c>
      <c r="K53">
        <v>1922.9058163526538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0A825-BEFB-44ED-BE69-A186F9F9362A}">
  <dimension ref="B1:T23"/>
  <sheetViews>
    <sheetView tabSelected="1" workbookViewId="0">
      <selection activeCell="F29" sqref="F29"/>
    </sheetView>
  </sheetViews>
  <sheetFormatPr defaultColWidth="8.85546875" defaultRowHeight="15" x14ac:dyDescent="0.25"/>
  <cols>
    <col min="2" max="2" width="10.42578125" customWidth="1"/>
    <col min="3" max="3" width="9.140625" customWidth="1"/>
    <col min="4" max="4" width="9.28515625" customWidth="1"/>
    <col min="5" max="5" width="9.140625" customWidth="1"/>
    <col min="6" max="6" width="10" customWidth="1"/>
    <col min="8" max="8" width="11.85546875" customWidth="1"/>
    <col min="9" max="9" width="10.85546875" customWidth="1"/>
    <col min="13" max="13" width="10.42578125" customWidth="1"/>
    <col min="14" max="14" width="11.85546875" customWidth="1"/>
    <col min="16" max="16" width="8.7109375" customWidth="1"/>
    <col min="17" max="17" width="11.85546875" bestFit="1" customWidth="1"/>
    <col min="18" max="18" width="13.42578125" customWidth="1"/>
    <col min="20" max="20" width="8.7109375" customWidth="1"/>
    <col min="22" max="23" width="8.85546875" customWidth="1"/>
    <col min="24" max="24" width="10.85546875" customWidth="1"/>
    <col min="26" max="26" width="8.7109375" customWidth="1"/>
    <col min="28" max="29" width="12.7109375" customWidth="1"/>
    <col min="30" max="31" width="9.28515625" customWidth="1"/>
    <col min="32" max="33" width="10.28515625" customWidth="1"/>
  </cols>
  <sheetData>
    <row r="1" spans="2:20" ht="15.75" thickBot="1" x14ac:dyDescent="0.3"/>
    <row r="2" spans="2:20" ht="18.75" thickBot="1" x14ac:dyDescent="0.4">
      <c r="B2" s="7" t="s">
        <v>22</v>
      </c>
      <c r="C2" s="7" t="s">
        <v>23</v>
      </c>
      <c r="D2" s="7" t="s">
        <v>18</v>
      </c>
      <c r="E2" s="22" t="s">
        <v>21</v>
      </c>
      <c r="F2" s="7" t="s">
        <v>19</v>
      </c>
      <c r="G2" s="7" t="s">
        <v>20</v>
      </c>
      <c r="H2" s="7" t="s">
        <v>3</v>
      </c>
      <c r="I2" s="7"/>
      <c r="K2" s="7"/>
      <c r="M2" s="8" t="s">
        <v>4</v>
      </c>
      <c r="N2" s="8" t="s">
        <v>5</v>
      </c>
      <c r="P2" s="9" t="s">
        <v>6</v>
      </c>
      <c r="Q2" s="10" t="s">
        <v>7</v>
      </c>
      <c r="R2" s="10" t="s">
        <v>8</v>
      </c>
      <c r="S2" s="11" t="s">
        <v>9</v>
      </c>
      <c r="T2" s="12">
        <f>CORREL(C3:C20,Q3:Q20)</f>
        <v>0.97457248226591764</v>
      </c>
    </row>
    <row r="3" spans="2:20" ht="18.75" thickBot="1" x14ac:dyDescent="0.3">
      <c r="B3" s="6">
        <v>10</v>
      </c>
      <c r="C3" s="5">
        <v>25</v>
      </c>
      <c r="D3" s="13">
        <v>35000</v>
      </c>
      <c r="E3" s="4">
        <v>17.331244000000002</v>
      </c>
      <c r="F3" s="6">
        <f>ROUND(D3*COS(RADIANS(E3)),0)</f>
        <v>33411</v>
      </c>
      <c r="G3" s="6">
        <f>ROUND(D3*SIN(RADIANS(E3)),0)</f>
        <v>10426</v>
      </c>
      <c r="H3" s="1">
        <f>(($M$6*P3^$M$5)/(1-P3))^($M$8/($M$8-$M$5))</f>
        <v>707.62215990027244</v>
      </c>
      <c r="I3" s="3">
        <f>E3/(2*3.14*C3)</f>
        <v>0.11039008917197453</v>
      </c>
      <c r="J3">
        <f>E3/(0.2*2*3.14)</f>
        <v>13.798761146496814</v>
      </c>
      <c r="K3" s="24"/>
      <c r="L3" s="14" t="s">
        <v>11</v>
      </c>
      <c r="M3" s="15">
        <v>685.46289084468151</v>
      </c>
      <c r="N3" s="15">
        <v>50</v>
      </c>
      <c r="P3" s="16">
        <f>(D3-$M$3)/($M$4-$M$3)</f>
        <v>0.94773978949149251</v>
      </c>
      <c r="Q3" s="17">
        <f>(($M$6*EXP($M$7*(B3-$M$9))*P3^$M$5)/(1-P3))^($M$8/($M$8-$M$5))</f>
        <v>26.361528027354417</v>
      </c>
      <c r="R3" s="18">
        <f>((C3-Q3)^2)/(C3^2)</f>
        <v>2.9660137108345774E-3</v>
      </c>
      <c r="T3" s="4"/>
    </row>
    <row r="4" spans="2:20" ht="18.75" thickBot="1" x14ac:dyDescent="0.3">
      <c r="B4" s="6">
        <v>10</v>
      </c>
      <c r="C4" s="5">
        <v>10</v>
      </c>
      <c r="D4" s="6">
        <v>32464.939452999999</v>
      </c>
      <c r="E4" s="4">
        <v>13.031172</v>
      </c>
      <c r="F4" s="6">
        <f t="shared" ref="F4:F20" si="0">ROUND(D4*COS(RADIANS(E4)),0)</f>
        <v>31629</v>
      </c>
      <c r="G4" s="6">
        <f t="shared" ref="G4:G20" si="1">ROUND(D4*SIN(RADIANS(E4)),0)</f>
        <v>7320</v>
      </c>
      <c r="H4" s="1">
        <f t="shared" ref="H4:H20" si="2">(($M$6*P4^$M$5)/(1-P4))^($M$8/($M$8-$M$5))</f>
        <v>127.68272183196598</v>
      </c>
      <c r="I4" s="3">
        <f t="shared" ref="I4:I20" si="3">E4/(2*3.14*C4)</f>
        <v>0.20750273885350318</v>
      </c>
      <c r="J4">
        <f t="shared" ref="J4:J20" si="4">E4/(0.2*2*3.14)</f>
        <v>10.375136942675157</v>
      </c>
      <c r="K4" s="24"/>
      <c r="L4" s="14" t="s">
        <v>12</v>
      </c>
      <c r="M4" s="15">
        <v>36892.170142807481</v>
      </c>
      <c r="N4" s="15">
        <f>MAX(D3:D20)+10</f>
        <v>35010</v>
      </c>
      <c r="P4" s="16">
        <f t="shared" ref="P4:P20" si="5">(D4-$M$3)/($M$4-$M$3)</f>
        <v>0.87772346546184543</v>
      </c>
      <c r="Q4" s="17">
        <f t="shared" ref="Q4:Q20" si="6">(($M$6*EXP($M$7*(B4-$M$9))*P4^$M$5)/(1-P4))^($M$8/($M$8-$M$5))</f>
        <v>4.7566509938815935</v>
      </c>
      <c r="R4" s="18">
        <f t="shared" ref="R4:R20" si="7">((C4-Q4)^2)/(C4^2)</f>
        <v>0.27492708799962878</v>
      </c>
      <c r="T4" s="4"/>
    </row>
    <row r="5" spans="2:20" ht="15.75" thickBot="1" x14ac:dyDescent="0.3">
      <c r="B5" s="6">
        <v>10</v>
      </c>
      <c r="C5" s="5">
        <v>5</v>
      </c>
      <c r="D5" s="6">
        <v>32003.925781000002</v>
      </c>
      <c r="E5" s="4">
        <v>16.182673999999999</v>
      </c>
      <c r="F5" s="6">
        <f t="shared" si="0"/>
        <v>30736</v>
      </c>
      <c r="G5" s="6">
        <f t="shared" si="1"/>
        <v>8920</v>
      </c>
      <c r="H5" s="1">
        <f t="shared" si="2"/>
        <v>103.16306415901728</v>
      </c>
      <c r="I5" s="3">
        <f t="shared" si="3"/>
        <v>0.51537178343949042</v>
      </c>
      <c r="J5">
        <f t="shared" si="4"/>
        <v>12.884294585987258</v>
      </c>
      <c r="K5" s="24"/>
      <c r="L5" s="19" t="s">
        <v>13</v>
      </c>
      <c r="M5" s="20">
        <v>1.3443338411355261</v>
      </c>
      <c r="N5" s="20">
        <v>0.5</v>
      </c>
      <c r="P5" s="16">
        <f t="shared" si="5"/>
        <v>0.86499064033108164</v>
      </c>
      <c r="Q5" s="17">
        <f t="shared" si="6"/>
        <v>3.8432035644544702</v>
      </c>
      <c r="R5" s="18">
        <f t="shared" si="7"/>
        <v>5.3527119731633724E-2</v>
      </c>
      <c r="T5" s="4"/>
    </row>
    <row r="6" spans="2:20" ht="15.75" thickBot="1" x14ac:dyDescent="0.3">
      <c r="B6" s="6">
        <v>10</v>
      </c>
      <c r="C6" s="5">
        <v>1</v>
      </c>
      <c r="D6" s="6">
        <v>29290.876952999999</v>
      </c>
      <c r="E6" s="4">
        <v>18.755966000000001</v>
      </c>
      <c r="F6" s="6">
        <f t="shared" si="0"/>
        <v>27735</v>
      </c>
      <c r="G6" s="6">
        <f t="shared" si="1"/>
        <v>9418</v>
      </c>
      <c r="H6" s="1">
        <f t="shared" si="2"/>
        <v>37.502595132207261</v>
      </c>
      <c r="I6" s="3">
        <f t="shared" si="3"/>
        <v>2.9866187898089174</v>
      </c>
      <c r="J6">
        <f t="shared" si="4"/>
        <v>14.933093949044585</v>
      </c>
      <c r="K6" s="24"/>
      <c r="L6" s="19" t="s">
        <v>15</v>
      </c>
      <c r="M6" s="20">
        <v>2.1672840836690459</v>
      </c>
      <c r="N6" s="20">
        <v>0.1</v>
      </c>
      <c r="P6" s="16">
        <f t="shared" si="5"/>
        <v>0.79005842379120494</v>
      </c>
      <c r="Q6" s="17">
        <f t="shared" si="6"/>
        <v>1.3971095998682932</v>
      </c>
      <c r="R6" s="18">
        <f t="shared" si="7"/>
        <v>0.15769603430755594</v>
      </c>
      <c r="T6" s="4"/>
    </row>
    <row r="7" spans="2:20" ht="15.75" thickBot="1" x14ac:dyDescent="0.3">
      <c r="B7" s="6">
        <v>10</v>
      </c>
      <c r="C7" s="5">
        <v>0.5</v>
      </c>
      <c r="D7" s="6">
        <v>26386.759765999999</v>
      </c>
      <c r="E7" s="4">
        <v>22.237423</v>
      </c>
      <c r="F7" s="6">
        <f t="shared" si="0"/>
        <v>24424</v>
      </c>
      <c r="G7" s="6">
        <f t="shared" si="1"/>
        <v>9986</v>
      </c>
      <c r="H7" s="1">
        <f t="shared" si="2"/>
        <v>16.19364280288077</v>
      </c>
      <c r="I7" s="3">
        <f t="shared" si="3"/>
        <v>7.0819818471337577</v>
      </c>
      <c r="J7">
        <f t="shared" si="4"/>
        <v>17.704954617834392</v>
      </c>
      <c r="K7" s="24"/>
      <c r="L7" s="19" t="s">
        <v>16</v>
      </c>
      <c r="M7" s="20">
        <v>0.18314562310289259</v>
      </c>
      <c r="N7" s="20">
        <v>0.1</v>
      </c>
      <c r="P7" s="16">
        <f>(D7-$M$3)/($M$4-$M$3)</f>
        <v>0.70984905355518146</v>
      </c>
      <c r="Q7" s="17">
        <f t="shared" si="6"/>
        <v>0.60327275317843454</v>
      </c>
      <c r="R7" s="18">
        <f t="shared" si="7"/>
        <v>4.2661046196215448E-2</v>
      </c>
      <c r="T7" s="4"/>
    </row>
    <row r="8" spans="2:20" ht="15.75" thickBot="1" x14ac:dyDescent="0.3">
      <c r="B8" s="6">
        <v>10</v>
      </c>
      <c r="C8" s="5">
        <v>0.1</v>
      </c>
      <c r="D8" s="6">
        <v>18527.648437</v>
      </c>
      <c r="E8" s="4">
        <v>23.809588999999999</v>
      </c>
      <c r="F8" s="6">
        <f t="shared" si="0"/>
        <v>16951</v>
      </c>
      <c r="G8" s="6">
        <f t="shared" si="1"/>
        <v>7480</v>
      </c>
      <c r="H8" s="1">
        <f t="shared" si="2"/>
        <v>2.4593225344936607</v>
      </c>
      <c r="I8" s="3">
        <f>E8/(2*3.14*C8)</f>
        <v>37.913358280254769</v>
      </c>
      <c r="J8">
        <f t="shared" si="4"/>
        <v>18.956679140127385</v>
      </c>
      <c r="K8" s="24"/>
      <c r="L8" s="19" t="s">
        <v>28</v>
      </c>
      <c r="M8" s="20">
        <v>3.0323742496334227</v>
      </c>
      <c r="P8" s="16">
        <f t="shared" si="5"/>
        <v>0.49278674865381678</v>
      </c>
      <c r="Q8" s="17">
        <f t="shared" si="6"/>
        <v>9.1618809578399713E-2</v>
      </c>
      <c r="R8" s="18">
        <f t="shared" si="7"/>
        <v>7.0244352883124484E-3</v>
      </c>
      <c r="T8" s="4"/>
    </row>
    <row r="9" spans="2:20" ht="15.75" thickBot="1" x14ac:dyDescent="0.3">
      <c r="B9" s="6">
        <v>20</v>
      </c>
      <c r="C9" s="5">
        <v>25</v>
      </c>
      <c r="D9" s="13">
        <v>27600</v>
      </c>
      <c r="E9" s="4">
        <v>10.603424</v>
      </c>
      <c r="F9" s="6">
        <f t="shared" si="0"/>
        <v>27129</v>
      </c>
      <c r="G9" s="6">
        <f t="shared" si="1"/>
        <v>5079</v>
      </c>
      <c r="H9" s="1">
        <f t="shared" si="2"/>
        <v>22.566304183611457</v>
      </c>
      <c r="I9" s="3">
        <f t="shared" si="3"/>
        <v>6.7537732484076435E-2</v>
      </c>
      <c r="J9">
        <f t="shared" si="4"/>
        <v>8.4422165605095536</v>
      </c>
      <c r="L9" s="19" t="s">
        <v>10</v>
      </c>
      <c r="M9" s="20">
        <v>20</v>
      </c>
      <c r="P9" s="16">
        <f t="shared" si="5"/>
        <v>0.74335776854428692</v>
      </c>
      <c r="Q9" s="17">
        <f t="shared" si="6"/>
        <v>22.566304183611457</v>
      </c>
      <c r="R9" s="18">
        <f t="shared" si="7"/>
        <v>9.4766005227313529E-3</v>
      </c>
      <c r="T9" s="4"/>
    </row>
    <row r="10" spans="2:20" ht="15.75" thickBot="1" x14ac:dyDescent="0.3">
      <c r="B10" s="6">
        <v>20</v>
      </c>
      <c r="C10" s="5">
        <v>10</v>
      </c>
      <c r="D10" s="6">
        <v>22213.759765999999</v>
      </c>
      <c r="E10" s="4">
        <v>16.541653</v>
      </c>
      <c r="F10" s="6">
        <f t="shared" si="0"/>
        <v>21294</v>
      </c>
      <c r="G10" s="6">
        <f t="shared" si="1"/>
        <v>6325</v>
      </c>
      <c r="H10" s="1">
        <f t="shared" si="2"/>
        <v>5.7885768341251156</v>
      </c>
      <c r="I10" s="3">
        <f t="shared" si="3"/>
        <v>0.26340211783439488</v>
      </c>
      <c r="J10">
        <f t="shared" si="4"/>
        <v>13.170105891719743</v>
      </c>
      <c r="L10" s="19" t="s">
        <v>14</v>
      </c>
      <c r="M10" s="1">
        <f>$M$6*EXP($M$7*(20-$M$9))</f>
        <v>2.1672840836690459</v>
      </c>
      <c r="P10" s="16">
        <f t="shared" si="5"/>
        <v>0.59459416525616948</v>
      </c>
      <c r="Q10" s="17">
        <f t="shared" si="6"/>
        <v>5.7885768341251156</v>
      </c>
      <c r="R10" s="18">
        <f t="shared" si="7"/>
        <v>0.17736085082067635</v>
      </c>
      <c r="T10" s="4"/>
    </row>
    <row r="11" spans="2:20" ht="15.75" thickBot="1" x14ac:dyDescent="0.3">
      <c r="B11" s="6">
        <v>20</v>
      </c>
      <c r="C11" s="5">
        <v>5</v>
      </c>
      <c r="D11" s="6">
        <v>19019.732422000001</v>
      </c>
      <c r="E11" s="4">
        <v>17.987231999999999</v>
      </c>
      <c r="F11" s="6">
        <f t="shared" si="0"/>
        <v>18090</v>
      </c>
      <c r="G11" s="6">
        <f t="shared" si="1"/>
        <v>5873</v>
      </c>
      <c r="H11" s="1">
        <f t="shared" si="2"/>
        <v>2.7576508888338456</v>
      </c>
      <c r="I11" s="3">
        <f t="shared" si="3"/>
        <v>0.57284178343949033</v>
      </c>
      <c r="J11">
        <f t="shared" si="4"/>
        <v>14.321044585987257</v>
      </c>
      <c r="P11" s="16">
        <f t="shared" si="5"/>
        <v>0.5063777107254458</v>
      </c>
      <c r="Q11" s="17">
        <f t="shared" si="6"/>
        <v>2.7576508888338456</v>
      </c>
      <c r="R11" s="18">
        <f t="shared" si="7"/>
        <v>0.2011251814539057</v>
      </c>
      <c r="T11" s="4"/>
    </row>
    <row r="12" spans="2:20" ht="15.75" thickBot="1" x14ac:dyDescent="0.3">
      <c r="B12" s="6">
        <v>20</v>
      </c>
      <c r="C12" s="5">
        <v>1</v>
      </c>
      <c r="D12" s="6">
        <v>14287.422852</v>
      </c>
      <c r="E12" s="4">
        <v>26.221813000000001</v>
      </c>
      <c r="F12" s="6">
        <f t="shared" si="0"/>
        <v>12817</v>
      </c>
      <c r="G12" s="6">
        <f t="shared" si="1"/>
        <v>6313</v>
      </c>
      <c r="H12" s="1">
        <f t="shared" si="2"/>
        <v>0.87933125665969747</v>
      </c>
      <c r="I12" s="3">
        <f t="shared" si="3"/>
        <v>4.1754479299363059</v>
      </c>
      <c r="J12">
        <f t="shared" si="4"/>
        <v>20.877239649681524</v>
      </c>
      <c r="P12" s="16">
        <f t="shared" si="5"/>
        <v>0.37567514401404023</v>
      </c>
      <c r="Q12" s="17">
        <f t="shared" si="6"/>
        <v>0.87933125665969747</v>
      </c>
      <c r="R12" s="18">
        <f t="shared" si="7"/>
        <v>1.4560945619327807E-2</v>
      </c>
      <c r="T12" s="4"/>
    </row>
    <row r="13" spans="2:20" ht="15.75" thickBot="1" x14ac:dyDescent="0.3">
      <c r="B13" s="6">
        <v>20</v>
      </c>
      <c r="C13" s="5">
        <v>0.5</v>
      </c>
      <c r="D13" s="6">
        <v>11951.486328000001</v>
      </c>
      <c r="E13" s="4">
        <v>27.084215</v>
      </c>
      <c r="F13" s="6">
        <f t="shared" si="0"/>
        <v>10641</v>
      </c>
      <c r="G13" s="6">
        <f t="shared" si="1"/>
        <v>5442</v>
      </c>
      <c r="H13" s="1">
        <f t="shared" si="2"/>
        <v>0.46753511322236374</v>
      </c>
      <c r="I13" s="3">
        <f t="shared" si="3"/>
        <v>8.6255461783439493</v>
      </c>
      <c r="J13">
        <f t="shared" si="4"/>
        <v>21.563865445859868</v>
      </c>
      <c r="P13" s="16">
        <f t="shared" si="5"/>
        <v>0.31115846461140367</v>
      </c>
      <c r="Q13" s="17">
        <f t="shared" si="6"/>
        <v>0.46753511322236374</v>
      </c>
      <c r="R13" s="18">
        <f t="shared" si="7"/>
        <v>4.2158754939389661E-3</v>
      </c>
      <c r="T13" s="4"/>
    </row>
    <row r="14" spans="2:20" ht="15.75" thickBot="1" x14ac:dyDescent="0.3">
      <c r="B14" s="6">
        <v>20</v>
      </c>
      <c r="C14" s="5">
        <v>0.1</v>
      </c>
      <c r="D14" s="6">
        <v>7491.4033200000003</v>
      </c>
      <c r="E14" s="4">
        <v>29.858281999999999</v>
      </c>
      <c r="F14" s="6">
        <f t="shared" si="0"/>
        <v>6497</v>
      </c>
      <c r="G14" s="6">
        <f t="shared" si="1"/>
        <v>3730</v>
      </c>
      <c r="H14" s="1">
        <f t="shared" si="2"/>
        <v>0.10300843590201082</v>
      </c>
      <c r="I14" s="3">
        <f t="shared" si="3"/>
        <v>47.545035031847121</v>
      </c>
      <c r="J14">
        <f t="shared" si="4"/>
        <v>23.77251751592356</v>
      </c>
      <c r="P14" s="16">
        <f t="shared" si="5"/>
        <v>0.1879745755887913</v>
      </c>
      <c r="Q14" s="17">
        <f t="shared" si="6"/>
        <v>0.10300843590201082</v>
      </c>
      <c r="R14" s="18">
        <f t="shared" si="7"/>
        <v>9.0506865765076368E-4</v>
      </c>
      <c r="T14" s="4"/>
    </row>
    <row r="15" spans="2:20" ht="15.75" thickBot="1" x14ac:dyDescent="0.3">
      <c r="B15" s="6">
        <v>30</v>
      </c>
      <c r="C15" s="5">
        <v>25</v>
      </c>
      <c r="D15" s="13">
        <v>15169.161133</v>
      </c>
      <c r="E15" s="4">
        <v>19.588760000000001</v>
      </c>
      <c r="F15" s="6">
        <f t="shared" si="0"/>
        <v>14291</v>
      </c>
      <c r="G15" s="6">
        <f t="shared" si="1"/>
        <v>5086</v>
      </c>
      <c r="H15" s="1">
        <f t="shared" si="2"/>
        <v>1.0991786520233442</v>
      </c>
      <c r="I15" s="3">
        <f t="shared" si="3"/>
        <v>0.12476917197452229</v>
      </c>
      <c r="J15">
        <f t="shared" si="4"/>
        <v>15.596146496815285</v>
      </c>
      <c r="P15" s="16">
        <f t="shared" si="5"/>
        <v>0.40002804290826927</v>
      </c>
      <c r="Q15" s="17">
        <f t="shared" si="6"/>
        <v>29.505238507188597</v>
      </c>
      <c r="R15" s="18">
        <f t="shared" si="7"/>
        <v>3.24754784106479E-2</v>
      </c>
      <c r="T15" s="4"/>
    </row>
    <row r="16" spans="2:20" ht="15.75" thickBot="1" x14ac:dyDescent="0.3">
      <c r="B16" s="6">
        <v>30</v>
      </c>
      <c r="C16" s="5">
        <v>10</v>
      </c>
      <c r="D16" s="6">
        <v>11686.303711</v>
      </c>
      <c r="E16" s="4">
        <v>26.601870999999999</v>
      </c>
      <c r="F16" s="6">
        <f t="shared" si="0"/>
        <v>10449</v>
      </c>
      <c r="G16" s="6">
        <f t="shared" si="1"/>
        <v>5233</v>
      </c>
      <c r="H16" s="1">
        <f t="shared" si="2"/>
        <v>0.43309272950503203</v>
      </c>
      <c r="I16" s="3">
        <f t="shared" si="3"/>
        <v>0.42359667197452228</v>
      </c>
      <c r="J16">
        <f t="shared" si="4"/>
        <v>21.179833598726109</v>
      </c>
      <c r="P16" s="16">
        <f t="shared" si="5"/>
        <v>0.30383433499214302</v>
      </c>
      <c r="Q16" s="17">
        <f t="shared" si="6"/>
        <v>11.625502602559548</v>
      </c>
      <c r="R16" s="18">
        <f t="shared" si="7"/>
        <v>2.6422587109278643E-2</v>
      </c>
      <c r="T16" s="4"/>
    </row>
    <row r="17" spans="2:20" ht="15.75" thickBot="1" x14ac:dyDescent="0.3">
      <c r="B17" s="6">
        <v>30</v>
      </c>
      <c r="C17" s="5">
        <v>5</v>
      </c>
      <c r="D17" s="6">
        <v>8971.5976559999999</v>
      </c>
      <c r="E17" s="4">
        <v>28.265042999999999</v>
      </c>
      <c r="F17" s="6">
        <f t="shared" si="0"/>
        <v>7902</v>
      </c>
      <c r="G17" s="6">
        <f t="shared" si="1"/>
        <v>4249</v>
      </c>
      <c r="H17" s="1">
        <f t="shared" si="2"/>
        <v>0.18178748251566124</v>
      </c>
      <c r="I17" s="3">
        <f t="shared" si="3"/>
        <v>0.9001606050955413</v>
      </c>
      <c r="J17">
        <f t="shared" si="4"/>
        <v>22.504015127388531</v>
      </c>
      <c r="P17" s="16">
        <f t="shared" si="5"/>
        <v>0.22885634718153278</v>
      </c>
      <c r="Q17" s="17">
        <f t="shared" si="6"/>
        <v>4.8797190696640698</v>
      </c>
      <c r="R17" s="18">
        <f t="shared" si="7"/>
        <v>5.7870008809907602E-4</v>
      </c>
      <c r="T17" s="4"/>
    </row>
    <row r="18" spans="2:20" ht="15.75" thickBot="1" x14ac:dyDescent="0.3">
      <c r="B18" s="6">
        <v>30</v>
      </c>
      <c r="C18" s="5">
        <v>1</v>
      </c>
      <c r="D18" s="6">
        <v>5406.4360349999997</v>
      </c>
      <c r="E18" s="4">
        <v>30.273053999999998</v>
      </c>
      <c r="F18" s="6">
        <f t="shared" si="0"/>
        <v>4669</v>
      </c>
      <c r="G18" s="6">
        <f t="shared" si="1"/>
        <v>2726</v>
      </c>
      <c r="H18" s="1">
        <f t="shared" si="2"/>
        <v>3.7652268031612611E-2</v>
      </c>
      <c r="I18" s="3">
        <f t="shared" si="3"/>
        <v>4.8205499999999999</v>
      </c>
      <c r="J18">
        <f t="shared" si="4"/>
        <v>24.102749999999993</v>
      </c>
      <c r="P18" s="16">
        <f t="shared" si="5"/>
        <v>0.13038946378918206</v>
      </c>
      <c r="Q18" s="17">
        <f t="shared" si="6"/>
        <v>1.0106993495227814</v>
      </c>
      <c r="R18" s="18">
        <f t="shared" si="7"/>
        <v>1.1447608021064254E-4</v>
      </c>
      <c r="T18" s="4"/>
    </row>
    <row r="19" spans="2:20" ht="15.75" thickBot="1" x14ac:dyDescent="0.3">
      <c r="B19" s="6">
        <v>30</v>
      </c>
      <c r="C19" s="5">
        <v>0.5</v>
      </c>
      <c r="D19" s="6">
        <v>4250.2915039999998</v>
      </c>
      <c r="E19" s="4">
        <v>28.746621999999999</v>
      </c>
      <c r="F19" s="6">
        <f t="shared" si="0"/>
        <v>3726</v>
      </c>
      <c r="G19" s="6">
        <f t="shared" si="1"/>
        <v>2044</v>
      </c>
      <c r="H19" s="1">
        <f t="shared" si="2"/>
        <v>1.790817632559304E-2</v>
      </c>
      <c r="I19" s="3">
        <f t="shared" si="3"/>
        <v>9.1549751592356685</v>
      </c>
      <c r="J19">
        <f t="shared" si="4"/>
        <v>22.887437898089168</v>
      </c>
      <c r="P19" s="16">
        <f t="shared" si="5"/>
        <v>9.8457685984744317E-2</v>
      </c>
      <c r="Q19" s="17">
        <f t="shared" si="6"/>
        <v>0.48070894821580756</v>
      </c>
      <c r="R19" s="18">
        <f t="shared" si="7"/>
        <v>1.4885787157615767E-3</v>
      </c>
      <c r="T19" s="4"/>
    </row>
    <row r="20" spans="2:20" x14ac:dyDescent="0.25">
      <c r="B20" s="6">
        <v>30</v>
      </c>
      <c r="C20" s="5">
        <v>0.1</v>
      </c>
      <c r="D20" s="6">
        <v>2619.2705080000001</v>
      </c>
      <c r="E20" s="4">
        <v>23.550543000000001</v>
      </c>
      <c r="F20" s="6">
        <f t="shared" si="0"/>
        <v>2401</v>
      </c>
      <c r="G20" s="6">
        <f t="shared" si="1"/>
        <v>1047</v>
      </c>
      <c r="H20" s="1">
        <f t="shared" si="2"/>
        <v>3.7457700974599397E-3</v>
      </c>
      <c r="I20" s="3">
        <f t="shared" si="3"/>
        <v>37.500864649681525</v>
      </c>
      <c r="J20">
        <f t="shared" si="4"/>
        <v>18.750432324840762</v>
      </c>
      <c r="P20" s="16">
        <f t="shared" si="5"/>
        <v>5.3410203907743779E-2</v>
      </c>
      <c r="Q20" s="17">
        <f t="shared" si="6"/>
        <v>0.10054765884982217</v>
      </c>
      <c r="R20" s="18">
        <f t="shared" si="7"/>
        <v>2.99930215788535E-5</v>
      </c>
      <c r="T20" s="4"/>
    </row>
    <row r="21" spans="2:20" ht="15.75" thickBot="1" x14ac:dyDescent="0.3"/>
    <row r="22" spans="2:20" ht="16.5" thickTop="1" thickBot="1" x14ac:dyDescent="0.3">
      <c r="R22" s="21">
        <f>SUM(R3:R20)</f>
        <v>1.0075560732279882</v>
      </c>
      <c r="S22" s="23" t="s">
        <v>17</v>
      </c>
    </row>
    <row r="23" spans="2:20" ht="15.75" thickTop="1" x14ac:dyDescent="0.25"/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19CF1-7D09-4E98-A8C7-B45B702D670A}">
  <dimension ref="D7:O24"/>
  <sheetViews>
    <sheetView workbookViewId="0">
      <selection activeCell="K36" sqref="K36"/>
    </sheetView>
  </sheetViews>
  <sheetFormatPr defaultColWidth="8.85546875" defaultRowHeight="15" x14ac:dyDescent="0.25"/>
  <sheetData>
    <row r="7" spans="4:15" x14ac:dyDescent="0.25">
      <c r="N7" s="1">
        <v>572.24860900753606</v>
      </c>
      <c r="O7" s="6">
        <v>33411</v>
      </c>
    </row>
    <row r="8" spans="4:15" x14ac:dyDescent="0.25">
      <c r="N8" s="1">
        <v>175.26908894025095</v>
      </c>
      <c r="O8" s="6">
        <v>31629</v>
      </c>
    </row>
    <row r="9" spans="4:15" x14ac:dyDescent="0.25">
      <c r="N9" s="1">
        <v>111.01422864287257</v>
      </c>
      <c r="O9" s="6">
        <v>30736</v>
      </c>
    </row>
    <row r="10" spans="4:15" x14ac:dyDescent="0.25">
      <c r="N10" s="1">
        <v>33.491634566433284</v>
      </c>
      <c r="O10" s="6">
        <v>27735</v>
      </c>
    </row>
    <row r="11" spans="4:15" ht="18" x14ac:dyDescent="0.25">
      <c r="D11" s="14" t="s">
        <v>11</v>
      </c>
      <c r="E11" s="15">
        <v>1508.5741357408504</v>
      </c>
      <c r="G11" s="15">
        <v>1759.8212819594178</v>
      </c>
      <c r="H11" s="15">
        <v>1759.788591073795</v>
      </c>
      <c r="I11" s="15">
        <v>1759.7986581674827</v>
      </c>
      <c r="N11" s="1">
        <v>31.164706023341672</v>
      </c>
      <c r="O11" s="6">
        <v>27522</v>
      </c>
    </row>
    <row r="12" spans="4:15" ht="18" x14ac:dyDescent="0.25">
      <c r="D12" s="14" t="s">
        <v>12</v>
      </c>
      <c r="E12" s="15">
        <v>39536.238443743634</v>
      </c>
      <c r="G12" s="15">
        <v>36704.739449961664</v>
      </c>
      <c r="H12" s="15">
        <v>36704.87778885576</v>
      </c>
      <c r="I12" s="15">
        <v>36704.859834394294</v>
      </c>
      <c r="N12" s="1">
        <v>12.27179964690496</v>
      </c>
      <c r="O12" s="6">
        <v>24424</v>
      </c>
    </row>
    <row r="13" spans="4:15" x14ac:dyDescent="0.25">
      <c r="D13" s="19" t="s">
        <v>13</v>
      </c>
      <c r="E13" s="20">
        <v>0.64209137633957203</v>
      </c>
      <c r="G13" s="20">
        <v>0.60491949387972044</v>
      </c>
      <c r="H13" s="20">
        <v>0.60492248664523252</v>
      </c>
      <c r="I13" s="20">
        <v>0.60492109815975614</v>
      </c>
      <c r="N13" s="1">
        <v>5.5019217396614728</v>
      </c>
      <c r="O13" s="6">
        <v>21294</v>
      </c>
    </row>
    <row r="14" spans="4:15" x14ac:dyDescent="0.25">
      <c r="D14" s="19" t="s">
        <v>15</v>
      </c>
      <c r="E14" s="20">
        <v>0.11572675601170961</v>
      </c>
      <c r="G14" s="20">
        <v>0.3511387766525178</v>
      </c>
      <c r="H14" s="20">
        <v>1.2296895017882767</v>
      </c>
      <c r="I14" s="20">
        <v>4.3063274837738321</v>
      </c>
      <c r="N14" s="1">
        <v>2.5926662432087473</v>
      </c>
      <c r="O14" s="6">
        <v>18090</v>
      </c>
    </row>
    <row r="15" spans="4:15" x14ac:dyDescent="0.25">
      <c r="D15" s="19" t="s">
        <v>16</v>
      </c>
      <c r="E15" s="20">
        <v>0.11832254130445789</v>
      </c>
      <c r="G15" s="20">
        <v>0.12533341156928515</v>
      </c>
      <c r="H15" s="20">
        <v>0.12533269138113062</v>
      </c>
      <c r="I15" s="20">
        <v>0.12533250299671042</v>
      </c>
      <c r="N15" s="1">
        <v>1.9970326485747927</v>
      </c>
      <c r="O15" s="6">
        <v>16951</v>
      </c>
    </row>
    <row r="16" spans="4:15" x14ac:dyDescent="0.25">
      <c r="D16" s="19" t="s">
        <v>10</v>
      </c>
      <c r="E16" s="1">
        <v>20</v>
      </c>
      <c r="G16" s="20">
        <v>10</v>
      </c>
      <c r="H16" s="20">
        <v>20</v>
      </c>
      <c r="I16" s="20">
        <v>30</v>
      </c>
      <c r="N16" s="1">
        <v>1.0802150140450439</v>
      </c>
      <c r="O16" s="6">
        <v>14291</v>
      </c>
    </row>
    <row r="17" spans="4:15" x14ac:dyDescent="0.25">
      <c r="D17" s="19" t="s">
        <v>14</v>
      </c>
      <c r="E17" s="1" t="e">
        <f>$M$6*EXP($O$7*E16)*H11</f>
        <v>#NUM!</v>
      </c>
      <c r="N17" s="1">
        <v>0.75907075257782053</v>
      </c>
      <c r="O17" s="6">
        <v>12817</v>
      </c>
    </row>
    <row r="18" spans="4:15" x14ac:dyDescent="0.25">
      <c r="N18" s="1">
        <v>0.43523420326437767</v>
      </c>
      <c r="O18" s="6">
        <v>10641</v>
      </c>
    </row>
    <row r="19" spans="4:15" x14ac:dyDescent="0.25">
      <c r="N19" s="1">
        <v>0.41316294709470242</v>
      </c>
      <c r="O19" s="6">
        <v>10449</v>
      </c>
    </row>
    <row r="20" spans="4:15" x14ac:dyDescent="0.25">
      <c r="N20" s="1">
        <v>0.1921617513725371</v>
      </c>
      <c r="O20" s="6">
        <v>7902</v>
      </c>
    </row>
    <row r="21" spans="4:15" x14ac:dyDescent="0.25">
      <c r="N21" s="1">
        <v>0.1144441123742856</v>
      </c>
      <c r="O21" s="6">
        <v>6497</v>
      </c>
    </row>
    <row r="22" spans="4:15" x14ac:dyDescent="0.25">
      <c r="N22" s="1">
        <v>4.6750666603861527E-2</v>
      </c>
      <c r="O22" s="6">
        <v>4669</v>
      </c>
    </row>
    <row r="23" spans="4:15" x14ac:dyDescent="0.25">
      <c r="N23" s="1">
        <v>2.3843935294646238E-2</v>
      </c>
      <c r="O23" s="6">
        <v>3726</v>
      </c>
    </row>
    <row r="24" spans="4:15" x14ac:dyDescent="0.25">
      <c r="N24" s="1">
        <v>3.8812720906136085E-3</v>
      </c>
      <c r="O24" s="6">
        <v>2401</v>
      </c>
    </row>
  </sheetData>
  <sortState xmlns:xlrd2="http://schemas.microsoft.com/office/spreadsheetml/2017/richdata2" ref="N7:O27">
    <sortCondition descending="1" ref="N1:N27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705A-E8A3-458C-B188-CEED98DE14F6}">
  <dimension ref="B1:T29"/>
  <sheetViews>
    <sheetView workbookViewId="0">
      <selection activeCell="F25" sqref="F25"/>
    </sheetView>
  </sheetViews>
  <sheetFormatPr defaultColWidth="8.85546875" defaultRowHeight="15" x14ac:dyDescent="0.25"/>
  <cols>
    <col min="2" max="2" width="10.42578125" customWidth="1"/>
    <col min="3" max="3" width="9.140625" customWidth="1"/>
    <col min="4" max="4" width="9.28515625" customWidth="1"/>
    <col min="5" max="5" width="9.140625" customWidth="1"/>
    <col min="6" max="6" width="10" customWidth="1"/>
    <col min="8" max="8" width="11.85546875" customWidth="1"/>
    <col min="9" max="9" width="8.42578125" customWidth="1"/>
    <col min="13" max="13" width="10.42578125" customWidth="1"/>
    <col min="14" max="14" width="11.85546875" customWidth="1"/>
    <col min="16" max="16" width="8.7109375" customWidth="1"/>
    <col min="17" max="17" width="11.85546875" bestFit="1" customWidth="1"/>
    <col min="18" max="18" width="13.42578125" customWidth="1"/>
    <col min="20" max="20" width="8.7109375" customWidth="1"/>
    <col min="22" max="23" width="8.85546875" customWidth="1"/>
    <col min="24" max="24" width="10.85546875" customWidth="1"/>
    <col min="26" max="26" width="8.7109375" customWidth="1"/>
    <col min="28" max="29" width="12.7109375" customWidth="1"/>
    <col min="30" max="31" width="9.28515625" customWidth="1"/>
    <col min="32" max="33" width="10.28515625" customWidth="1"/>
  </cols>
  <sheetData>
    <row r="1" spans="2:20" ht="15.75" thickBot="1" x14ac:dyDescent="0.3"/>
    <row r="2" spans="2:20" ht="18.75" thickBot="1" x14ac:dyDescent="0.4">
      <c r="B2" s="7" t="s">
        <v>22</v>
      </c>
      <c r="C2" s="7" t="s">
        <v>23</v>
      </c>
      <c r="D2" s="7" t="s">
        <v>18</v>
      </c>
      <c r="E2" s="22"/>
      <c r="F2" s="7"/>
      <c r="G2" s="7"/>
      <c r="H2" s="7" t="s">
        <v>3</v>
      </c>
      <c r="I2" s="7"/>
      <c r="K2" s="7"/>
      <c r="M2" s="8" t="s">
        <v>4</v>
      </c>
      <c r="N2" s="8" t="s">
        <v>5</v>
      </c>
      <c r="P2" s="9" t="s">
        <v>6</v>
      </c>
      <c r="Q2" s="10" t="s">
        <v>7</v>
      </c>
      <c r="R2" s="10" t="s">
        <v>8</v>
      </c>
      <c r="S2" s="11" t="s">
        <v>9</v>
      </c>
      <c r="T2" s="12">
        <f>CORREL(C3:C26,Q3:Q26)</f>
        <v>0.95842932922116575</v>
      </c>
    </row>
    <row r="3" spans="2:20" ht="18.75" thickBot="1" x14ac:dyDescent="0.3">
      <c r="B3" s="25">
        <v>-10</v>
      </c>
      <c r="C3" s="25">
        <v>30</v>
      </c>
      <c r="D3" s="25">
        <v>28607.3</v>
      </c>
      <c r="E3" s="4"/>
      <c r="F3" s="6"/>
      <c r="G3" s="6"/>
      <c r="H3" s="1">
        <f>(($M$6*P3^$M$5)/(1-P3))^(1/(1-$M$5))</f>
        <v>421137.58445357357</v>
      </c>
      <c r="I3" s="3"/>
      <c r="K3" s="24"/>
      <c r="L3" s="14" t="s">
        <v>11</v>
      </c>
      <c r="M3" s="15">
        <v>0</v>
      </c>
      <c r="N3" s="15">
        <v>50</v>
      </c>
      <c r="P3" s="16">
        <f>(D3-$M$3)/($M$4-$M$3)</f>
        <v>0.86522876009646188</v>
      </c>
      <c r="Q3" s="17">
        <f>(($M$6*EXP($M$7*(B3-$M$8))*P3^$M$5)/(1-P3))^(1/(1-$M$5))</f>
        <v>34.947718767955621</v>
      </c>
      <c r="R3" s="18">
        <f>((C3-Q3)^2)/(C3^2)</f>
        <v>2.7199912229755874E-2</v>
      </c>
      <c r="T3" s="4"/>
    </row>
    <row r="4" spans="2:20" ht="18.75" thickBot="1" x14ac:dyDescent="0.3">
      <c r="B4" s="25">
        <v>-10</v>
      </c>
      <c r="C4" s="25">
        <v>10</v>
      </c>
      <c r="D4" s="25">
        <v>26860.3</v>
      </c>
      <c r="E4" s="4"/>
      <c r="F4" s="6"/>
      <c r="G4" s="6"/>
      <c r="H4" s="1">
        <f>(($M$6*P4^$M$5)/(1-P4))^(1/(1-$M$5))</f>
        <v>82003.300419129562</v>
      </c>
      <c r="I4" s="3"/>
      <c r="K4" s="24"/>
      <c r="L4" s="14" t="s">
        <v>12</v>
      </c>
      <c r="M4" s="15">
        <v>33063.279122634172</v>
      </c>
      <c r="N4" s="15">
        <f>MAX(D3:D26)+10</f>
        <v>28617.3</v>
      </c>
      <c r="P4" s="16">
        <f t="shared" ref="P4:P26" si="0">(D4-$M$3)/($M$4-$M$3)</f>
        <v>0.8123906857626898</v>
      </c>
      <c r="Q4" s="17">
        <f t="shared" ref="Q4:Q26" si="1">(($M$6*EXP($M$7*(B4-$M$8))*P4^$M$5)/(1-P4))^(1/(1-$M$5))</f>
        <v>6.804969176071836</v>
      </c>
      <c r="R4" s="18">
        <f t="shared" ref="R4:R26" si="2">((C4-Q4)^2)/(C4^2)</f>
        <v>0.10208221965851083</v>
      </c>
      <c r="T4" s="4"/>
    </row>
    <row r="5" spans="2:20" ht="15.75" thickBot="1" x14ac:dyDescent="0.3">
      <c r="B5" s="25">
        <v>-10</v>
      </c>
      <c r="C5" s="25">
        <v>3</v>
      </c>
      <c r="D5" s="25">
        <v>25600.799999999999</v>
      </c>
      <c r="E5" s="4"/>
      <c r="F5" s="6"/>
      <c r="G5" s="6"/>
      <c r="H5" s="1">
        <f t="shared" ref="H5:H26" si="3">(($M$6*P5^$M$5)/(1-P5))^(1/(1-$M$5))</f>
        <v>31497.257708318208</v>
      </c>
      <c r="I5" s="3"/>
      <c r="K5" s="24"/>
      <c r="L5" s="19" t="s">
        <v>13</v>
      </c>
      <c r="M5" s="20">
        <v>0.76824829379367321</v>
      </c>
      <c r="N5" s="20">
        <v>0.5</v>
      </c>
      <c r="P5" s="16">
        <f t="shared" si="0"/>
        <v>0.77429706548599486</v>
      </c>
      <c r="Q5" s="17">
        <f t="shared" si="1"/>
        <v>2.6137712353086733</v>
      </c>
      <c r="R5" s="18">
        <f t="shared" si="2"/>
        <v>1.6574739852776469E-2</v>
      </c>
      <c r="T5" s="4"/>
    </row>
    <row r="6" spans="2:20" ht="15.75" thickBot="1" x14ac:dyDescent="0.3">
      <c r="B6" s="25">
        <v>-10</v>
      </c>
      <c r="C6" s="25">
        <v>1</v>
      </c>
      <c r="D6" s="25">
        <v>24200.5</v>
      </c>
      <c r="E6" s="4"/>
      <c r="F6" s="6"/>
      <c r="G6" s="6"/>
      <c r="H6" s="1">
        <f t="shared" si="3"/>
        <v>12445.722337767351</v>
      </c>
      <c r="I6" s="3"/>
      <c r="K6" s="24"/>
      <c r="L6" s="19" t="s">
        <v>15</v>
      </c>
      <c r="M6" s="20">
        <v>3.0294662986296803</v>
      </c>
      <c r="N6" s="20">
        <v>0.1</v>
      </c>
      <c r="P6" s="16">
        <f t="shared" si="0"/>
        <v>0.73194494442727653</v>
      </c>
      <c r="Q6" s="17">
        <f t="shared" si="1"/>
        <v>1.0327969295086892</v>
      </c>
      <c r="R6" s="18">
        <f t="shared" si="2"/>
        <v>1.0756385851979269E-3</v>
      </c>
      <c r="T6" s="4"/>
    </row>
    <row r="7" spans="2:20" ht="15.75" thickBot="1" x14ac:dyDescent="0.3">
      <c r="B7" s="25">
        <v>0</v>
      </c>
      <c r="C7" s="25">
        <v>30</v>
      </c>
      <c r="D7" s="25">
        <v>24433.7</v>
      </c>
      <c r="E7" s="4"/>
      <c r="F7" s="6"/>
      <c r="G7" s="6"/>
      <c r="H7" s="1">
        <f t="shared" si="3"/>
        <v>14414.354620200511</v>
      </c>
      <c r="I7" s="3"/>
      <c r="K7" s="24"/>
      <c r="L7" s="19" t="s">
        <v>16</v>
      </c>
      <c r="M7" s="20">
        <v>7.2591290817795862E-2</v>
      </c>
      <c r="N7" s="20">
        <v>0.1</v>
      </c>
      <c r="P7" s="16">
        <f t="shared" si="0"/>
        <v>0.73899808634750297</v>
      </c>
      <c r="Q7" s="17">
        <f t="shared" si="1"/>
        <v>27.423639375274128</v>
      </c>
      <c r="R7" s="18">
        <f t="shared" si="2"/>
        <v>7.3751489651532063E-3</v>
      </c>
      <c r="T7" s="4"/>
    </row>
    <row r="8" spans="2:20" ht="15.75" thickBot="1" x14ac:dyDescent="0.3">
      <c r="B8" s="25">
        <v>0</v>
      </c>
      <c r="C8" s="25">
        <v>10</v>
      </c>
      <c r="D8" s="25">
        <v>22210.6</v>
      </c>
      <c r="E8" s="4"/>
      <c r="F8" s="6"/>
      <c r="G8" s="6"/>
      <c r="H8" s="1">
        <f t="shared" si="3"/>
        <v>3907.6591886638785</v>
      </c>
      <c r="I8" s="3"/>
      <c r="K8" s="24"/>
      <c r="L8" s="19" t="s">
        <v>10</v>
      </c>
      <c r="M8" s="20">
        <v>20</v>
      </c>
      <c r="P8" s="16">
        <f t="shared" si="0"/>
        <v>0.67176035134383449</v>
      </c>
      <c r="Q8" s="17">
        <f t="shared" si="1"/>
        <v>7.4344109892520391</v>
      </c>
      <c r="R8" s="18">
        <f t="shared" si="2"/>
        <v>6.5822469720707003E-2</v>
      </c>
      <c r="T8" s="4"/>
    </row>
    <row r="9" spans="2:20" ht="15.75" thickBot="1" x14ac:dyDescent="0.3">
      <c r="B9" s="25">
        <v>0</v>
      </c>
      <c r="C9" s="25">
        <v>3</v>
      </c>
      <c r="D9" s="25">
        <v>20551.3</v>
      </c>
      <c r="E9" s="4"/>
      <c r="F9" s="6"/>
      <c r="G9" s="6"/>
      <c r="H9" s="1">
        <f t="shared" si="3"/>
        <v>1634.9911127099685</v>
      </c>
      <c r="I9" s="3"/>
      <c r="L9" s="19"/>
      <c r="M9" s="1"/>
      <c r="P9" s="16">
        <f t="shared" si="0"/>
        <v>0.62157476648863808</v>
      </c>
      <c r="Q9" s="17">
        <f t="shared" si="1"/>
        <v>3.1106079903085293</v>
      </c>
      <c r="R9" s="18">
        <f t="shared" si="2"/>
        <v>1.3593475022324125E-3</v>
      </c>
      <c r="T9" s="4"/>
    </row>
    <row r="10" spans="2:20" ht="15.75" thickBot="1" x14ac:dyDescent="0.3">
      <c r="B10" s="25">
        <v>0</v>
      </c>
      <c r="C10" s="25">
        <v>1</v>
      </c>
      <c r="D10" s="25">
        <v>18822.599999999999</v>
      </c>
      <c r="E10" s="4"/>
      <c r="F10" s="6"/>
      <c r="G10" s="6"/>
      <c r="H10" s="1">
        <f t="shared" si="3"/>
        <v>699.03079438350051</v>
      </c>
      <c r="I10" s="3"/>
      <c r="L10" s="19"/>
      <c r="M10" s="1"/>
      <c r="P10" s="16">
        <f t="shared" si="0"/>
        <v>0.56929017627639322</v>
      </c>
      <c r="Q10" s="17">
        <f t="shared" si="1"/>
        <v>1.3299220757701791</v>
      </c>
      <c r="R10" s="18">
        <f t="shared" si="2"/>
        <v>0.10884857608050377</v>
      </c>
      <c r="T10" s="4"/>
    </row>
    <row r="11" spans="2:20" ht="15.75" thickBot="1" x14ac:dyDescent="0.3">
      <c r="B11" s="25">
        <v>10</v>
      </c>
      <c r="C11" s="25">
        <v>30</v>
      </c>
      <c r="D11" s="25">
        <v>18777.2</v>
      </c>
      <c r="E11" s="4"/>
      <c r="F11" s="6"/>
      <c r="G11" s="6"/>
      <c r="H11" s="1">
        <f t="shared" si="3"/>
        <v>683.99802511858366</v>
      </c>
      <c r="I11" s="3"/>
      <c r="P11" s="16">
        <f t="shared" si="0"/>
        <v>0.56791705173446239</v>
      </c>
      <c r="Q11" s="17">
        <f t="shared" si="1"/>
        <v>29.834570580132155</v>
      </c>
      <c r="R11" s="18">
        <f t="shared" si="2"/>
        <v>3.0407658842013049E-5</v>
      </c>
      <c r="T11" s="4"/>
    </row>
    <row r="12" spans="2:20" ht="15.75" thickBot="1" x14ac:dyDescent="0.3">
      <c r="B12" s="25">
        <v>10</v>
      </c>
      <c r="C12" s="25">
        <v>10</v>
      </c>
      <c r="D12" s="25">
        <v>16048.6</v>
      </c>
      <c r="E12" s="4"/>
      <c r="F12" s="6"/>
      <c r="G12" s="6"/>
      <c r="H12" s="1">
        <f t="shared" si="3"/>
        <v>191.18042959872338</v>
      </c>
      <c r="I12" s="3"/>
      <c r="P12" s="16">
        <f t="shared" si="0"/>
        <v>0.48539045206237846</v>
      </c>
      <c r="Q12" s="17">
        <f t="shared" si="1"/>
        <v>8.3388925273786398</v>
      </c>
      <c r="R12" s="18">
        <f t="shared" si="2"/>
        <v>2.7592780355985228E-2</v>
      </c>
      <c r="T12" s="4"/>
    </row>
    <row r="13" spans="2:20" ht="15.75" thickBot="1" x14ac:dyDescent="0.3">
      <c r="B13" s="25">
        <v>10</v>
      </c>
      <c r="C13" s="25">
        <v>3</v>
      </c>
      <c r="D13" s="25">
        <v>13873</v>
      </c>
      <c r="E13" s="4"/>
      <c r="F13" s="6"/>
      <c r="G13" s="6"/>
      <c r="H13" s="1">
        <f t="shared" si="3"/>
        <v>70.182229516560369</v>
      </c>
      <c r="I13" s="3"/>
      <c r="P13" s="16">
        <f t="shared" si="0"/>
        <v>0.41958935617196369</v>
      </c>
      <c r="Q13" s="17">
        <f t="shared" si="1"/>
        <v>3.0612028150517632</v>
      </c>
      <c r="R13" s="18">
        <f t="shared" si="2"/>
        <v>4.1619828558448092E-4</v>
      </c>
      <c r="T13" s="4"/>
    </row>
    <row r="14" spans="2:20" ht="15.75" thickBot="1" x14ac:dyDescent="0.3">
      <c r="B14" s="25">
        <v>10</v>
      </c>
      <c r="C14" s="25">
        <v>1</v>
      </c>
      <c r="D14" s="25">
        <v>11749.9</v>
      </c>
      <c r="E14" s="4"/>
      <c r="F14" s="6"/>
      <c r="G14" s="6"/>
      <c r="H14" s="1">
        <f t="shared" si="3"/>
        <v>25.731258859572602</v>
      </c>
      <c r="I14" s="3"/>
      <c r="P14" s="16">
        <f t="shared" si="0"/>
        <v>0.35537612456461876</v>
      </c>
      <c r="Q14" s="17">
        <f t="shared" si="1"/>
        <v>1.122343969382775</v>
      </c>
      <c r="R14" s="18">
        <f t="shared" si="2"/>
        <v>1.4968046844333394E-2</v>
      </c>
      <c r="T14" s="4"/>
    </row>
    <row r="15" spans="2:20" ht="15.75" thickBot="1" x14ac:dyDescent="0.3">
      <c r="B15" s="25">
        <v>15</v>
      </c>
      <c r="C15" s="25">
        <v>30</v>
      </c>
      <c r="D15" s="25">
        <v>15598.3</v>
      </c>
      <c r="E15" s="4"/>
      <c r="F15" s="6"/>
      <c r="G15" s="6"/>
      <c r="H15" s="1">
        <f t="shared" si="3"/>
        <v>155.42490536536667</v>
      </c>
      <c r="I15" s="3"/>
      <c r="P15" s="16">
        <f t="shared" si="0"/>
        <v>0.47177111326873356</v>
      </c>
      <c r="Q15" s="17">
        <f t="shared" si="1"/>
        <v>32.460341411728237</v>
      </c>
      <c r="R15" s="18">
        <f t="shared" si="2"/>
        <v>6.72586651362766E-3</v>
      </c>
      <c r="T15" s="4"/>
    </row>
    <row r="16" spans="2:20" ht="15.75" thickBot="1" x14ac:dyDescent="0.3">
      <c r="B16" s="25">
        <v>15</v>
      </c>
      <c r="C16" s="25">
        <v>10</v>
      </c>
      <c r="D16" s="25">
        <v>12662.1</v>
      </c>
      <c r="E16" s="4"/>
      <c r="F16" s="6"/>
      <c r="G16" s="6"/>
      <c r="H16" s="1">
        <f t="shared" si="3"/>
        <v>39.817556430744126</v>
      </c>
      <c r="I16" s="3"/>
      <c r="P16" s="16">
        <f t="shared" si="0"/>
        <v>0.382965644545882</v>
      </c>
      <c r="Q16" s="17">
        <f t="shared" si="1"/>
        <v>8.3158582138710138</v>
      </c>
      <c r="R16" s="18">
        <f t="shared" si="2"/>
        <v>2.8363335557857319E-2</v>
      </c>
      <c r="T16" s="4"/>
    </row>
    <row r="17" spans="2:20" ht="15.75" thickBot="1" x14ac:dyDescent="0.3">
      <c r="B17" s="25">
        <v>15</v>
      </c>
      <c r="C17" s="25">
        <v>3</v>
      </c>
      <c r="D17" s="25">
        <v>10336.700000000001</v>
      </c>
      <c r="E17" s="4"/>
      <c r="F17" s="6"/>
      <c r="G17" s="6"/>
      <c r="H17" s="1">
        <f t="shared" si="3"/>
        <v>12.754607874163867</v>
      </c>
      <c r="I17" s="3"/>
      <c r="P17" s="16">
        <f t="shared" si="0"/>
        <v>0.3126338425677746</v>
      </c>
      <c r="Q17" s="17">
        <f t="shared" si="1"/>
        <v>2.6637875390357619</v>
      </c>
      <c r="R17" s="18">
        <f t="shared" si="2"/>
        <v>1.2559868767514366E-2</v>
      </c>
      <c r="T17" s="4"/>
    </row>
    <row r="18" spans="2:20" ht="15.75" thickBot="1" x14ac:dyDescent="0.3">
      <c r="B18" s="25">
        <v>15</v>
      </c>
      <c r="C18" s="25">
        <v>1</v>
      </c>
      <c r="D18" s="25">
        <v>8329.6</v>
      </c>
      <c r="E18" s="4"/>
      <c r="F18" s="6"/>
      <c r="G18" s="6"/>
      <c r="H18" s="1">
        <f t="shared" si="3"/>
        <v>4.3278145302793858</v>
      </c>
      <c r="I18" s="3"/>
      <c r="P18" s="16">
        <f t="shared" si="0"/>
        <v>0.25192903490016499</v>
      </c>
      <c r="Q18" s="17">
        <f t="shared" si="1"/>
        <v>0.90385988583532839</v>
      </c>
      <c r="R18" s="18">
        <f t="shared" si="2"/>
        <v>9.2429215515960911E-3</v>
      </c>
      <c r="T18" s="4"/>
    </row>
    <row r="19" spans="2:20" ht="15.75" thickBot="1" x14ac:dyDescent="0.3">
      <c r="B19" s="25">
        <v>20</v>
      </c>
      <c r="C19" s="25">
        <v>30</v>
      </c>
      <c r="D19" s="25">
        <v>12468.7</v>
      </c>
      <c r="E19" s="4"/>
      <c r="F19" s="6"/>
      <c r="G19" s="6"/>
      <c r="H19" s="1">
        <f t="shared" si="3"/>
        <v>36.327399441560722</v>
      </c>
      <c r="I19" s="3"/>
      <c r="P19" s="16">
        <f t="shared" si="0"/>
        <v>0.37711625497739232</v>
      </c>
      <c r="Q19" s="17">
        <f t="shared" si="1"/>
        <v>36.327399441560722</v>
      </c>
      <c r="R19" s="18">
        <f t="shared" si="2"/>
        <v>4.4484426325625485E-2</v>
      </c>
      <c r="T19" s="4"/>
    </row>
    <row r="20" spans="2:20" ht="15.75" thickBot="1" x14ac:dyDescent="0.3">
      <c r="B20" s="25">
        <v>20</v>
      </c>
      <c r="C20" s="25">
        <v>10</v>
      </c>
      <c r="D20" s="25">
        <v>9528.9</v>
      </c>
      <c r="E20" s="4"/>
      <c r="F20" s="6"/>
      <c r="G20" s="6"/>
      <c r="H20" s="1">
        <f t="shared" si="3"/>
        <v>8.3765829358772805</v>
      </c>
      <c r="I20" s="3"/>
      <c r="P20" s="16">
        <f t="shared" si="0"/>
        <v>0.28820190413227309</v>
      </c>
      <c r="Q20" s="17">
        <f t="shared" si="1"/>
        <v>8.3765829358772805</v>
      </c>
      <c r="R20" s="18">
        <f t="shared" si="2"/>
        <v>2.6354829640848298E-2</v>
      </c>
      <c r="T20" s="4"/>
    </row>
    <row r="21" spans="2:20" ht="15.75" thickBot="1" x14ac:dyDescent="0.3">
      <c r="B21" s="26">
        <v>20</v>
      </c>
      <c r="C21" s="27">
        <v>3</v>
      </c>
      <c r="D21" s="27">
        <v>7320.6</v>
      </c>
      <c r="G21" s="1"/>
      <c r="H21" s="1">
        <f t="shared" si="3"/>
        <v>2.3738020170125869</v>
      </c>
      <c r="P21" s="16">
        <f t="shared" si="0"/>
        <v>0.22141179563126054</v>
      </c>
      <c r="Q21" s="17">
        <f t="shared" si="1"/>
        <v>2.3738020170125869</v>
      </c>
      <c r="R21" s="18">
        <f t="shared" si="2"/>
        <v>4.3569323766389396E-2</v>
      </c>
    </row>
    <row r="22" spans="2:20" ht="15.75" thickBot="1" x14ac:dyDescent="0.3">
      <c r="B22" s="26">
        <v>20</v>
      </c>
      <c r="C22" s="27">
        <v>1</v>
      </c>
      <c r="D22" s="27">
        <v>5574.7</v>
      </c>
      <c r="G22" s="1"/>
      <c r="H22" s="1">
        <f t="shared" si="3"/>
        <v>0.72482097688892533</v>
      </c>
      <c r="P22" s="16">
        <f t="shared" si="0"/>
        <v>0.16860699083484795</v>
      </c>
      <c r="Q22" s="17">
        <f t="shared" si="1"/>
        <v>0.72482097688892533</v>
      </c>
      <c r="R22" s="18">
        <f t="shared" si="2"/>
        <v>7.572349476036537E-2</v>
      </c>
    </row>
    <row r="23" spans="2:20" ht="15.75" thickBot="1" x14ac:dyDescent="0.3">
      <c r="B23" s="26">
        <v>30</v>
      </c>
      <c r="C23" s="27">
        <v>30</v>
      </c>
      <c r="D23" s="27">
        <v>7216.6</v>
      </c>
      <c r="G23" s="1"/>
      <c r="H23" s="1">
        <f t="shared" si="3"/>
        <v>2.2247931419155123</v>
      </c>
      <c r="P23" s="16">
        <f t="shared" si="0"/>
        <v>0.21826631209908406</v>
      </c>
      <c r="Q23" s="17">
        <f t="shared" si="1"/>
        <v>51.006402498079353</v>
      </c>
      <c r="R23" s="18">
        <f t="shared" si="2"/>
        <v>0.49029882879034947</v>
      </c>
    </row>
    <row r="24" spans="2:20" ht="15.75" thickBot="1" x14ac:dyDescent="0.3">
      <c r="B24" s="26">
        <v>30</v>
      </c>
      <c r="C24" s="27">
        <v>10</v>
      </c>
      <c r="D24" s="27">
        <v>4723.2</v>
      </c>
      <c r="G24" s="1"/>
      <c r="H24" s="1">
        <f t="shared" si="3"/>
        <v>0.36680451336402664</v>
      </c>
      <c r="P24" s="16">
        <f t="shared" si="0"/>
        <v>0.14285334441515307</v>
      </c>
      <c r="Q24" s="17">
        <f t="shared" si="1"/>
        <v>8.4094913339445032</v>
      </c>
      <c r="R24" s="18">
        <f t="shared" si="2"/>
        <v>2.5297178167976359E-2</v>
      </c>
    </row>
    <row r="25" spans="2:20" ht="15.75" thickBot="1" x14ac:dyDescent="0.3">
      <c r="B25" s="26">
        <v>30</v>
      </c>
      <c r="C25" s="27">
        <v>3</v>
      </c>
      <c r="D25" s="27">
        <v>3162.7</v>
      </c>
      <c r="G25" s="1"/>
      <c r="H25" s="1">
        <f t="shared" si="3"/>
        <v>7.7018297469308633E-2</v>
      </c>
      <c r="P25" s="16">
        <f t="shared" si="0"/>
        <v>9.5655968915524359E-2</v>
      </c>
      <c r="Q25" s="17">
        <f t="shared" si="1"/>
        <v>1.7657490066937411</v>
      </c>
      <c r="R25" s="18">
        <f t="shared" si="2"/>
        <v>0.16926394605305409</v>
      </c>
    </row>
    <row r="26" spans="2:20" x14ac:dyDescent="0.25">
      <c r="B26" s="26">
        <v>30</v>
      </c>
      <c r="C26" s="27">
        <v>1</v>
      </c>
      <c r="D26" s="27">
        <v>2166.6</v>
      </c>
      <c r="G26" s="1"/>
      <c r="H26" s="1">
        <f t="shared" si="3"/>
        <v>1.9081075395706693E-2</v>
      </c>
      <c r="P26" s="16">
        <f t="shared" si="0"/>
        <v>6.5528890584745647E-2</v>
      </c>
      <c r="Q26" s="17">
        <f t="shared" si="1"/>
        <v>0.43745955225826283</v>
      </c>
      <c r="R26" s="18">
        <f t="shared" si="2"/>
        <v>0.31645175534547415</v>
      </c>
    </row>
    <row r="27" spans="2:20" ht="15.75" thickBot="1" x14ac:dyDescent="0.3"/>
    <row r="28" spans="2:20" ht="16.5" thickTop="1" thickBot="1" x14ac:dyDescent="0.3">
      <c r="R28" s="21">
        <f>SUM(R3:R20)</f>
        <v>0.50107673409665188</v>
      </c>
      <c r="S28" s="23" t="s">
        <v>17</v>
      </c>
    </row>
    <row r="29" spans="2:20" ht="15.75" thickTop="1" x14ac:dyDescent="0.25"/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44B4E57A6BA1884FBC6BCFD1834A200A" ma:contentTypeVersion="10" ma:contentTypeDescription="Új dokumentum létrehozása." ma:contentTypeScope="" ma:versionID="8c50a5c0ef4ead7a2c246f5dacfbddee">
  <xsd:schema xmlns:xsd="http://www.w3.org/2001/XMLSchema" xmlns:xs="http://www.w3.org/2001/XMLSchema" xmlns:p="http://schemas.microsoft.com/office/2006/metadata/properties" xmlns:ns3="5570093c-1d2b-46f0-a568-81cfc03c6054" xmlns:ns4="ee594cd5-27a6-47f5-a9f7-8a2b1d140554" targetNamespace="http://schemas.microsoft.com/office/2006/metadata/properties" ma:root="true" ma:fieldsID="a3738a1a855613923a85381bb8018e1a" ns3:_="" ns4:_="">
    <xsd:import namespace="5570093c-1d2b-46f0-a568-81cfc03c6054"/>
    <xsd:import namespace="ee594cd5-27a6-47f5-a9f7-8a2b1d14055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70093c-1d2b-46f0-a568-81cfc03c605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Megosztva részletekkel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Megosztási tipp kivonata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94cd5-27a6-47f5-a9f7-8a2b1d1405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DACE85-1D72-4705-98A5-64E908DB6525}">
  <ds:schemaRefs>
    <ds:schemaRef ds:uri="http://schemas.microsoft.com/office/infopath/2007/PartnerControls"/>
    <ds:schemaRef ds:uri="5570093c-1d2b-46f0-a568-81cfc03c6054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openxmlformats.org/package/2006/metadata/core-properties"/>
    <ds:schemaRef ds:uri="ee594cd5-27a6-47f5-a9f7-8a2b1d140554"/>
  </ds:schemaRefs>
</ds:datastoreItem>
</file>

<file path=customXml/itemProps2.xml><?xml version="1.0" encoding="utf-8"?>
<ds:datastoreItem xmlns:ds="http://schemas.openxmlformats.org/officeDocument/2006/customXml" ds:itemID="{A9494D73-C2A0-4D98-BB1E-4A0D523459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EA443E-F53F-4598-8E5C-FAF5E53DA7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70093c-1d2b-46f0-a568-81cfc03c6054"/>
    <ds:schemaRef ds:uri="ee594cd5-27a6-47f5-a9f7-8a2b1d1405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Prony</vt:lpstr>
      <vt:lpstr>Munka1</vt:lpstr>
      <vt:lpstr>AG1</vt:lpstr>
      <vt:lpstr>Munka3</vt:lpstr>
      <vt:lpstr>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Primusz Péter</dc:creator>
  <cp:lastModifiedBy>Péter Primusz</cp:lastModifiedBy>
  <dcterms:created xsi:type="dcterms:W3CDTF">2022-02-17T07:41:51Z</dcterms:created>
  <dcterms:modified xsi:type="dcterms:W3CDTF">2022-06-02T14:19:16Z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0x01010044B4E57A6BA1884FBC6BCFD1834A200A</vt:lpwstr>
  </property>
</Properties>
</file>