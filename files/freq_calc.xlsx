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9a9013d9089981/Kutatás/doktori/files/"/>
    </mc:Choice>
  </mc:AlternateContent>
  <xr:revisionPtr revIDLastSave="21" documentId="8_{4C2A65D0-2659-4079-AF9A-6C6A6DF937FF}" xr6:coauthVersionLast="47" xr6:coauthVersionMax="47" xr10:uidLastSave="{0FEE0BED-EAE2-6E44-883A-357DE6B86E38}"/>
  <bookViews>
    <workbookView xWindow="-120" yWindow="-120" windowWidth="29040" windowHeight="15840" xr2:uid="{A4BC744F-D607-4FED-81CA-821ED48B62C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E35" i="1"/>
  <c r="E34" i="1"/>
  <c r="D35" i="1"/>
  <c r="D34" i="1"/>
  <c r="D8" i="1"/>
  <c r="E8" i="1" s="1"/>
  <c r="L8" i="1" s="1"/>
  <c r="D9" i="1"/>
  <c r="D10" i="1"/>
  <c r="D11" i="1"/>
  <c r="D12" i="1"/>
  <c r="D13" i="1"/>
  <c r="D14" i="1"/>
  <c r="E14" i="1" s="1"/>
  <c r="L14" i="1" s="1"/>
  <c r="I14" i="1" s="1"/>
  <c r="D15" i="1"/>
  <c r="E15" i="1" s="1"/>
  <c r="L15" i="1" s="1"/>
  <c r="I15" i="1" s="1"/>
  <c r="D16" i="1"/>
  <c r="E16" i="1" s="1"/>
  <c r="L16" i="1" s="1"/>
  <c r="I16" i="1" s="1"/>
  <c r="D17" i="1"/>
  <c r="D18" i="1"/>
  <c r="D19" i="1"/>
  <c r="D20" i="1"/>
  <c r="D21" i="1"/>
  <c r="D22" i="1"/>
  <c r="D23" i="1"/>
  <c r="I8" i="1" l="1"/>
  <c r="E13" i="1"/>
  <c r="L13" i="1" s="1"/>
  <c r="I13" i="1" s="1"/>
  <c r="E12" i="1"/>
  <c r="L12" i="1" s="1"/>
  <c r="I12" i="1" s="1"/>
  <c r="E21" i="1"/>
  <c r="L21" i="1" s="1"/>
  <c r="I21" i="1" s="1"/>
  <c r="E20" i="1"/>
  <c r="L20" i="1" s="1"/>
  <c r="I20" i="1" s="1"/>
  <c r="E19" i="1"/>
  <c r="L19" i="1" s="1"/>
  <c r="I19" i="1" s="1"/>
  <c r="E11" i="1"/>
  <c r="L11" i="1" s="1"/>
  <c r="I11" i="1" s="1"/>
  <c r="E18" i="1"/>
  <c r="L18" i="1" s="1"/>
  <c r="I18" i="1" s="1"/>
  <c r="E10" i="1"/>
  <c r="L10" i="1" s="1"/>
  <c r="I10" i="1" s="1"/>
  <c r="E17" i="1"/>
  <c r="L17" i="1" s="1"/>
  <c r="I17" i="1" s="1"/>
  <c r="E9" i="1"/>
  <c r="L9" i="1" s="1"/>
  <c r="I9" i="1" s="1"/>
  <c r="E23" i="1"/>
  <c r="L23" i="1" s="1"/>
  <c r="I23" i="1" s="1"/>
  <c r="E22" i="1"/>
  <c r="L22" i="1" s="1"/>
  <c r="I22" i="1" s="1"/>
  <c r="G29" i="1" l="1"/>
  <c r="G24" i="1"/>
  <c r="G25" i="1"/>
  <c r="G26" i="1"/>
  <c r="G27" i="1"/>
  <c r="G28" i="1"/>
  <c r="F11" i="1"/>
  <c r="G11" i="1" s="1"/>
  <c r="F8" i="1"/>
  <c r="G8" i="1" s="1"/>
  <c r="F9" i="1"/>
  <c r="G9" i="1" s="1"/>
  <c r="F10" i="1"/>
  <c r="G10" i="1" s="1"/>
  <c r="F12" i="1"/>
  <c r="G12" i="1" s="1"/>
  <c r="F13" i="1"/>
  <c r="G13" i="1" s="1"/>
  <c r="F14" i="1"/>
  <c r="G14" i="1" s="1"/>
  <c r="F17" i="1"/>
  <c r="G17" i="1" s="1"/>
  <c r="F18" i="1"/>
  <c r="G18" i="1" s="1"/>
  <c r="F20" i="1"/>
  <c r="G20" i="1" s="1"/>
  <c r="F21" i="1"/>
  <c r="G21" i="1" s="1"/>
  <c r="F22" i="1"/>
  <c r="G22" i="1" s="1"/>
  <c r="F23" i="1"/>
  <c r="G23" i="1" s="1"/>
  <c r="F16" i="1" l="1"/>
  <c r="G16" i="1" s="1"/>
  <c r="D7" i="1"/>
  <c r="E7" i="1" s="1"/>
  <c r="L7" i="1" s="1"/>
  <c r="I7" i="1" s="1"/>
  <c r="F15" i="1"/>
  <c r="G15" i="1" s="1"/>
  <c r="F19" i="1"/>
  <c r="G19" i="1" s="1"/>
  <c r="F7" i="1" l="1"/>
  <c r="G7" i="1" s="1"/>
</calcChain>
</file>

<file path=xl/sharedStrings.xml><?xml version="1.0" encoding="utf-8"?>
<sst xmlns="http://schemas.openxmlformats.org/spreadsheetml/2006/main" count="9" uniqueCount="7">
  <si>
    <t>s</t>
  </si>
  <si>
    <t>t</t>
  </si>
  <si>
    <t>f</t>
  </si>
  <si>
    <t>E</t>
  </si>
  <si>
    <t>v</t>
  </si>
  <si>
    <t>km/h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</si>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</sst>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5.8274934383202102E-2"/>
                  <c:y val="-7.09729512977544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Munka1!$F$7:$F$29</c:f>
              <c:numCache>
                <c:formatCode>General</c:formatCode>
                <c:ptCount val="23"/>
                <c:pt idx="0">
                  <c:v>13.282417399966794</c:v>
                </c:pt>
                <c:pt idx="1">
                  <c:v>9.4462156098712953</c:v>
                </c:pt>
                <c:pt idx="2">
                  <c:v>7.3293632615666517</c:v>
                </c:pt>
                <c:pt idx="3">
                  <c:v>5.9875757802559697</c:v>
                </c:pt>
                <c:pt idx="4">
                  <c:v>5.0610489023850196</c:v>
                </c:pt>
                <c:pt idx="5">
                  <c:v>4.3828411767928559</c:v>
                </c:pt>
                <c:pt idx="6">
                  <c:v>3.8649210106768441</c:v>
                </c:pt>
                <c:pt idx="7">
                  <c:v>3.4564700799308707</c:v>
                </c:pt>
                <c:pt idx="8">
                  <c:v>3.1260990191864328</c:v>
                </c:pt>
                <c:pt idx="9">
                  <c:v>2.8533723294218358</c:v>
                </c:pt>
                <c:pt idx="10">
                  <c:v>2.6244136075845552</c:v>
                </c:pt>
                <c:pt idx="11">
                  <c:v>2.4294694646056669</c:v>
                </c:pt>
                <c:pt idx="12">
                  <c:v>2.2614840989399294</c:v>
                </c:pt>
                <c:pt idx="13">
                  <c:v>2.1152269902963963</c:v>
                </c:pt>
                <c:pt idx="14">
                  <c:v>1.9867385203764869</c:v>
                </c:pt>
                <c:pt idx="15">
                  <c:v>1.8729660759019502</c:v>
                </c:pt>
                <c:pt idx="16">
                  <c:v>1.8208302986161689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0.1</c:v>
                </c:pt>
              </c:numCache>
            </c:numRef>
          </c:xVal>
          <c:yVal>
            <c:numRef>
              <c:f>Munka1!$G$7:$G$29</c:f>
              <c:numCache>
                <c:formatCode>General</c:formatCode>
                <c:ptCount val="23"/>
                <c:pt idx="0">
                  <c:v>6097.5761641276104</c:v>
                </c:pt>
                <c:pt idx="1">
                  <c:v>5561.5011444166148</c:v>
                </c:pt>
                <c:pt idx="2">
                  <c:v>5193.262761571812</c:v>
                </c:pt>
                <c:pt idx="3">
                  <c:v>4917.3394195620658</c:v>
                </c:pt>
                <c:pt idx="4">
                  <c:v>4699.128859511603</c:v>
                </c:pt>
                <c:pt idx="5">
                  <c:v>4520.0835064265748</c:v>
                </c:pt>
                <c:pt idx="6">
                  <c:v>4369.1844404379726</c:v>
                </c:pt>
                <c:pt idx="7">
                  <c:v>4239.3889824980379</c:v>
                </c:pt>
                <c:pt idx="8">
                  <c:v>4125.9422738787944</c:v>
                </c:pt>
                <c:pt idx="9">
                  <c:v>4025.4940639008637</c:v>
                </c:pt>
                <c:pt idx="10">
                  <c:v>3935.6015791303712</c:v>
                </c:pt>
                <c:pt idx="11">
                  <c:v>3854.4329957325531</c:v>
                </c:pt>
                <c:pt idx="12">
                  <c:v>3780.5820299599941</c:v>
                </c:pt>
                <c:pt idx="13">
                  <c:v>3712.9473827658671</c:v>
                </c:pt>
                <c:pt idx="14">
                  <c:v>3650.6517227497075</c:v>
                </c:pt>
                <c:pt idx="15">
                  <c:v>3592.9856804111591</c:v>
                </c:pt>
                <c:pt idx="16">
                  <c:v>3565.7030096398371</c:v>
                </c:pt>
                <c:pt idx="17">
                  <c:v>4683.7565288611477</c:v>
                </c:pt>
                <c:pt idx="18">
                  <c:v>4409.8986450325019</c:v>
                </c:pt>
                <c:pt idx="19">
                  <c:v>4080.3286908207124</c:v>
                </c:pt>
                <c:pt idx="20">
                  <c:v>3657.2151413860765</c:v>
                </c:pt>
                <c:pt idx="21">
                  <c:v>3033</c:v>
                </c:pt>
                <c:pt idx="22">
                  <c:v>1628.8174383909766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16-4E81-9EA3-AB04DECE6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354000"/>
        <c:axId val="634358264"/>
      </c:scatterChart>
      <c:valAx>
        <c:axId val="63435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34358264"/>
        <c:crosses val="autoZero"/>
        <c:crossBetween val="midCat"/>
      </c:valAx>
      <c:valAx>
        <c:axId val="63435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63435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Munka1!$F$7:$F$23</c:f>
              <c:numCache>
                <c:formatCode>General</c:formatCode>
                <c:ptCount val="17"/>
                <c:pt idx="0">
                  <c:v>13.282417399966794</c:v>
                </c:pt>
                <c:pt idx="1">
                  <c:v>9.4462156098712953</c:v>
                </c:pt>
                <c:pt idx="2">
                  <c:v>7.3293632615666517</c:v>
                </c:pt>
                <c:pt idx="3">
                  <c:v>5.9875757802559697</c:v>
                </c:pt>
                <c:pt idx="4">
                  <c:v>5.0610489023850196</c:v>
                </c:pt>
                <c:pt idx="5">
                  <c:v>4.3828411767928559</c:v>
                </c:pt>
                <c:pt idx="6">
                  <c:v>3.8649210106768441</c:v>
                </c:pt>
                <c:pt idx="7">
                  <c:v>3.4564700799308707</c:v>
                </c:pt>
                <c:pt idx="8">
                  <c:v>3.1260990191864328</c:v>
                </c:pt>
                <c:pt idx="9">
                  <c:v>2.8533723294218358</c:v>
                </c:pt>
                <c:pt idx="10">
                  <c:v>2.6244136075845552</c:v>
                </c:pt>
                <c:pt idx="11">
                  <c:v>2.4294694646056669</c:v>
                </c:pt>
                <c:pt idx="12">
                  <c:v>2.2614840989399294</c:v>
                </c:pt>
                <c:pt idx="13">
                  <c:v>2.1152269902963963</c:v>
                </c:pt>
                <c:pt idx="14">
                  <c:v>1.9867385203764869</c:v>
                </c:pt>
                <c:pt idx="15">
                  <c:v>1.8729660759019502</c:v>
                </c:pt>
                <c:pt idx="16">
                  <c:v>1.8208302986161689</c:v>
                </c:pt>
              </c:numCache>
            </c:numRef>
          </c:xVal>
          <c:yVal>
            <c:numRef>
              <c:f>Munka1!$G$7:$G$23</c:f>
              <c:numCache>
                <c:formatCode>General</c:formatCode>
                <c:ptCount val="17"/>
                <c:pt idx="0">
                  <c:v>6097.5761641276104</c:v>
                </c:pt>
                <c:pt idx="1">
                  <c:v>5561.5011444166148</c:v>
                </c:pt>
                <c:pt idx="2">
                  <c:v>5193.262761571812</c:v>
                </c:pt>
                <c:pt idx="3">
                  <c:v>4917.3394195620658</c:v>
                </c:pt>
                <c:pt idx="4">
                  <c:v>4699.128859511603</c:v>
                </c:pt>
                <c:pt idx="5">
                  <c:v>4520.0835064265748</c:v>
                </c:pt>
                <c:pt idx="6">
                  <c:v>4369.1844404379726</c:v>
                </c:pt>
                <c:pt idx="7">
                  <c:v>4239.3889824980379</c:v>
                </c:pt>
                <c:pt idx="8">
                  <c:v>4125.9422738787944</c:v>
                </c:pt>
                <c:pt idx="9">
                  <c:v>4025.4940639008637</c:v>
                </c:pt>
                <c:pt idx="10">
                  <c:v>3935.6015791303712</c:v>
                </c:pt>
                <c:pt idx="11">
                  <c:v>3854.4329957325531</c:v>
                </c:pt>
                <c:pt idx="12">
                  <c:v>3780.5820299599941</c:v>
                </c:pt>
                <c:pt idx="13">
                  <c:v>3712.9473827658671</c:v>
                </c:pt>
                <c:pt idx="14">
                  <c:v>3650.6517227497075</c:v>
                </c:pt>
                <c:pt idx="15">
                  <c:v>3592.9856804111591</c:v>
                </c:pt>
                <c:pt idx="16">
                  <c:v>3565.7030096398371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56-4966-960F-732E8E4F0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836112"/>
        <c:axId val="725834472"/>
      </c:scatterChart>
      <c:valAx>
        <c:axId val="72583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25834472"/>
        <c:crosses val="autoZero"/>
        <c:crossBetween val="midCat"/>
      </c:valAx>
      <c:valAx>
        <c:axId val="72583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72583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Munka1!$F$7:$F$23</c:f>
              <c:numCache>
                <c:formatCode>General</c:formatCode>
                <c:ptCount val="17"/>
                <c:pt idx="0">
                  <c:v>13.282417399966794</c:v>
                </c:pt>
                <c:pt idx="1">
                  <c:v>9.4462156098712953</c:v>
                </c:pt>
                <c:pt idx="2">
                  <c:v>7.3293632615666517</c:v>
                </c:pt>
                <c:pt idx="3">
                  <c:v>5.9875757802559697</c:v>
                </c:pt>
                <c:pt idx="4">
                  <c:v>5.0610489023850196</c:v>
                </c:pt>
                <c:pt idx="5">
                  <c:v>4.3828411767928559</c:v>
                </c:pt>
                <c:pt idx="6">
                  <c:v>3.8649210106768441</c:v>
                </c:pt>
                <c:pt idx="7">
                  <c:v>3.4564700799308707</c:v>
                </c:pt>
                <c:pt idx="8">
                  <c:v>3.1260990191864328</c:v>
                </c:pt>
                <c:pt idx="9">
                  <c:v>2.8533723294218358</c:v>
                </c:pt>
                <c:pt idx="10">
                  <c:v>2.6244136075845552</c:v>
                </c:pt>
                <c:pt idx="11">
                  <c:v>2.4294694646056669</c:v>
                </c:pt>
                <c:pt idx="12">
                  <c:v>2.2614840989399294</c:v>
                </c:pt>
                <c:pt idx="13">
                  <c:v>2.1152269902963963</c:v>
                </c:pt>
                <c:pt idx="14">
                  <c:v>1.9867385203764869</c:v>
                </c:pt>
                <c:pt idx="15">
                  <c:v>1.8729660759019502</c:v>
                </c:pt>
                <c:pt idx="16">
                  <c:v>1.8208302986161689</c:v>
                </c:pt>
              </c:numCache>
            </c:numRef>
          </c:xVal>
          <c:yVal>
            <c:numRef>
              <c:f>Munka1!$I$7:$I$23</c:f>
              <c:numCache>
                <c:formatCode>General</c:formatCode>
                <c:ptCount val="17"/>
                <c:pt idx="0">
                  <c:v>12.81256858885048</c:v>
                </c:pt>
                <c:pt idx="1">
                  <c:v>6.4803380836415805</c:v>
                </c:pt>
                <c:pt idx="2">
                  <c:v>3.901345830221608</c:v>
                </c:pt>
                <c:pt idx="3">
                  <c:v>2.6036583847026709</c:v>
                </c:pt>
                <c:pt idx="4">
                  <c:v>1.8602144903947211</c:v>
                </c:pt>
                <c:pt idx="5">
                  <c:v>1.3950617201396514</c:v>
                </c:pt>
                <c:pt idx="6">
                  <c:v>1.0848337814456381</c:v>
                </c:pt>
                <c:pt idx="7">
                  <c:v>0.86765597011434625</c:v>
                </c:pt>
                <c:pt idx="8">
                  <c:v>0.70972060813412852</c:v>
                </c:pt>
                <c:pt idx="9">
                  <c:v>0.59128770202355441</c:v>
                </c:pt>
                <c:pt idx="10">
                  <c:v>0.5002032595531718</c:v>
                </c:pt>
                <c:pt idx="11">
                  <c:v>0.42865199116052727</c:v>
                </c:pt>
                <c:pt idx="12">
                  <c:v>0.37142320446736882</c:v>
                </c:pt>
                <c:pt idx="13">
                  <c:v>0.32493456689578659</c:v>
                </c:pt>
                <c:pt idx="14">
                  <c:v>0.28665754702722002</c:v>
                </c:pt>
                <c:pt idx="15">
                  <c:v>0.25476618174150534</c:v>
                </c:pt>
                <c:pt idx="16">
                  <c:v>0.24078027077838751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AF-4AFA-BAC6-EECA6CA2C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098888"/>
        <c:axId val="556096264"/>
      </c:scatterChart>
      <c:valAx>
        <c:axId val="55609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56096264"/>
        <c:crosses val="autoZero"/>
        <c:crossBetween val="midCat"/>
      </c:valAx>
      <c:valAx>
        <c:axId val="55609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56098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547687</xdr:colOff>
      <xdr:row>18</xdr:row>
      <xdr:rowOff>152400</xdr:rowOff>
    </xdr:from>
    <xdr:to>
      <xdr:col>22</xdr:col>
      <xdr:colOff>242887</xdr:colOff>
      <xdr:row>33</xdr:row>
      <xdr:rowOff>38100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EFA396B3-46D3-FDAA-FAC5-96AD59B80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647700</xdr:colOff>
      <xdr:row>28</xdr:row>
      <xdr:rowOff>42862</xdr:rowOff>
    </xdr:from>
    <xdr:to>
      <xdr:col>16</xdr:col>
      <xdr:colOff>152400</xdr:colOff>
      <xdr:row>42</xdr:row>
      <xdr:rowOff>119062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3C9C198B-6C10-F25F-D365-74CE3DAAE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247650</xdr:colOff>
      <xdr:row>2</xdr:row>
      <xdr:rowOff>166687</xdr:rowOff>
    </xdr:from>
    <xdr:to>
      <xdr:col>20</xdr:col>
      <xdr:colOff>552450</xdr:colOff>
      <xdr:row>17</xdr:row>
      <xdr:rowOff>52387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ABD7B5BC-B3AE-BE92-58E5-37485526C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6144-64D0-444E-B082-EF7460141E67}">
  <dimension ref="B3:L35"/>
  <sheetViews>
    <sheetView tabSelected="1" zoomScale="150" zoomScaleNormal="150" workbookViewId="0">
      <selection activeCell="J10" sqref="J10"/>
    </sheetView>
  </sheetViews>
  <sheetFormatPr defaultColWidth="8.85546875" defaultRowHeight="15" x14ac:dyDescent="0.25"/>
  <cols>
    <col min="7" max="7" width="11.42578125" bestFit="1" customWidth="1"/>
    <col min="9" max="9" width="12" bestFit="1" customWidth="1"/>
  </cols>
  <sheetData>
    <row r="3" spans="2:12" x14ac:dyDescent="0.25">
      <c r="C3">
        <v>3.3515000000000001</v>
      </c>
      <c r="D3">
        <v>-0.64690000000000003</v>
      </c>
      <c r="E3">
        <v>2.3104</v>
      </c>
      <c r="F3">
        <v>2.7530999999999999</v>
      </c>
    </row>
    <row r="4" spans="2:12" x14ac:dyDescent="0.25">
      <c r="C4">
        <v>3033</v>
      </c>
      <c r="D4">
        <v>0.27</v>
      </c>
      <c r="E4">
        <v>1223</v>
      </c>
      <c r="F4">
        <v>511</v>
      </c>
    </row>
    <row r="6" spans="2:12" x14ac:dyDescent="0.25">
      <c r="D6" s="2" t="s">
        <v>0</v>
      </c>
      <c r="E6" s="2" t="s">
        <v>1</v>
      </c>
      <c r="F6" s="3" t="s">
        <v>2</v>
      </c>
      <c r="G6" s="1" t="s">
        <v>3</v>
      </c>
      <c r="I6" s="2" t="s">
        <v>2</v>
      </c>
      <c r="L6" s="4" t="s">
        <v>4</v>
      </c>
    </row>
    <row r="7" spans="2:12" x14ac:dyDescent="0.25">
      <c r="B7">
        <f>3.6*(0.3/0.03)</f>
        <v>36</v>
      </c>
      <c r="C7">
        <v>5</v>
      </c>
      <c r="D7" s="2">
        <f>2*(($E$4/160)*C7+150)</f>
        <v>376.4375</v>
      </c>
      <c r="E7" s="3">
        <f>D7/10/1000</f>
        <v>3.7643749999999997E-2</v>
      </c>
      <c r="F7" s="3">
        <f>1/(2*E7)</f>
        <v>13.282417399966794</v>
      </c>
      <c r="G7">
        <f>$C$4*F7^$D$4</f>
        <v>6097.5761641276104</v>
      </c>
      <c r="I7">
        <f>50/((D7/L7))</f>
        <v>12.81256858885048</v>
      </c>
      <c r="J7" s="3"/>
      <c r="L7">
        <f>1/(0.0984*EXP(0.016*21)*2*E7)</f>
        <v>96.462625763308054</v>
      </c>
    </row>
    <row r="8" spans="2:12" x14ac:dyDescent="0.25">
      <c r="B8">
        <f>0.127*36</f>
        <v>4.5720000000000001</v>
      </c>
      <c r="C8">
        <v>15</v>
      </c>
      <c r="D8" s="2">
        <f t="shared" ref="D8:D23" si="0">2*(($E$4/160)*C8+150)</f>
        <v>529.3125</v>
      </c>
      <c r="E8" s="3">
        <f t="shared" ref="E8:E23" si="1">D8/10/1000</f>
        <v>5.2931249999999999E-2</v>
      </c>
      <c r="F8" s="3">
        <f t="shared" ref="F8:F23" si="2">1/(2*E8)</f>
        <v>9.4462156098712953</v>
      </c>
      <c r="G8">
        <f t="shared" ref="G8:G29" si="3">$C$4*F8^$D$4</f>
        <v>5561.5011444166148</v>
      </c>
      <c r="I8">
        <f t="shared" ref="I8:I23" si="4">50/((D8/L8))</f>
        <v>6.4803380836415805</v>
      </c>
      <c r="J8" s="3"/>
      <c r="L8">
        <f t="shared" ref="L8:L23" si="5">1/(0.0984*EXP(0.016*21)*2*E8)</f>
        <v>68.602479037950687</v>
      </c>
    </row>
    <row r="9" spans="2:12" x14ac:dyDescent="0.25">
      <c r="B9">
        <f>14/10</f>
        <v>1.4</v>
      </c>
      <c r="C9">
        <v>25</v>
      </c>
      <c r="D9" s="2">
        <f t="shared" si="0"/>
        <v>682.1875</v>
      </c>
      <c r="E9" s="3">
        <f t="shared" si="1"/>
        <v>6.8218749999999995E-2</v>
      </c>
      <c r="F9" s="3">
        <f t="shared" si="2"/>
        <v>7.3293632615666517</v>
      </c>
      <c r="G9">
        <f t="shared" si="3"/>
        <v>5193.262761571812</v>
      </c>
      <c r="I9">
        <f t="shared" si="4"/>
        <v>3.901345830221608</v>
      </c>
      <c r="J9" s="3"/>
      <c r="L9">
        <f t="shared" si="5"/>
        <v>53.228987171086061</v>
      </c>
    </row>
    <row r="10" spans="2:12" x14ac:dyDescent="0.25">
      <c r="C10">
        <v>35</v>
      </c>
      <c r="D10" s="2">
        <f t="shared" si="0"/>
        <v>835.0625</v>
      </c>
      <c r="E10" s="3">
        <f t="shared" si="1"/>
        <v>8.350624999999999E-2</v>
      </c>
      <c r="F10" s="3">
        <f t="shared" si="2"/>
        <v>5.9875757802559697</v>
      </c>
      <c r="G10">
        <f t="shared" si="3"/>
        <v>4917.3394195620658</v>
      </c>
      <c r="I10">
        <f t="shared" si="4"/>
        <v>2.6036583847026709</v>
      </c>
      <c r="J10" s="3"/>
      <c r="L10">
        <f t="shared" si="5"/>
        <v>43.484349597515482</v>
      </c>
    </row>
    <row r="11" spans="2:12" x14ac:dyDescent="0.25">
      <c r="C11">
        <v>45</v>
      </c>
      <c r="D11" s="2">
        <f t="shared" si="0"/>
        <v>987.9375</v>
      </c>
      <c r="E11" s="3">
        <f t="shared" si="1"/>
        <v>9.879375E-2</v>
      </c>
      <c r="F11" s="3">
        <f t="shared" si="2"/>
        <v>5.0610489023850196</v>
      </c>
      <c r="G11">
        <f t="shared" si="3"/>
        <v>4699.128859511603</v>
      </c>
      <c r="I11">
        <f t="shared" si="4"/>
        <v>1.8602144903947211</v>
      </c>
      <c r="J11" s="3"/>
      <c r="L11">
        <f t="shared" si="5"/>
        <v>36.755513062086692</v>
      </c>
    </row>
    <row r="12" spans="2:12" x14ac:dyDescent="0.25">
      <c r="C12">
        <v>55</v>
      </c>
      <c r="D12" s="2">
        <f t="shared" si="0"/>
        <v>1140.8125</v>
      </c>
      <c r="E12" s="3">
        <f t="shared" si="1"/>
        <v>0.11408125</v>
      </c>
      <c r="F12" s="3">
        <f t="shared" si="2"/>
        <v>4.3828411767928559</v>
      </c>
      <c r="G12">
        <f t="shared" si="3"/>
        <v>4520.0835064265748</v>
      </c>
      <c r="I12">
        <f t="shared" si="4"/>
        <v>1.3950617201396514</v>
      </c>
      <c r="J12" s="3"/>
      <c r="L12">
        <f t="shared" si="5"/>
        <v>31.830076972136322</v>
      </c>
    </row>
    <row r="13" spans="2:12" x14ac:dyDescent="0.25">
      <c r="C13">
        <v>65</v>
      </c>
      <c r="D13" s="2">
        <f t="shared" si="0"/>
        <v>1293.6875</v>
      </c>
      <c r="E13" s="3">
        <f t="shared" si="1"/>
        <v>0.12936875</v>
      </c>
      <c r="F13" s="3">
        <f t="shared" si="2"/>
        <v>3.8649210106768441</v>
      </c>
      <c r="G13">
        <f t="shared" si="3"/>
        <v>4369.1844404379726</v>
      </c>
      <c r="I13">
        <f t="shared" si="4"/>
        <v>1.0848337814456381</v>
      </c>
      <c r="J13" s="3"/>
      <c r="L13">
        <f t="shared" si="5"/>
        <v>28.068718052679078</v>
      </c>
    </row>
    <row r="14" spans="2:12" x14ac:dyDescent="0.25">
      <c r="C14">
        <v>75</v>
      </c>
      <c r="D14" s="2">
        <f t="shared" si="0"/>
        <v>1446.5625</v>
      </c>
      <c r="E14" s="3">
        <f>D14/10/1000</f>
        <v>0.14465624999999999</v>
      </c>
      <c r="F14" s="3">
        <f t="shared" si="2"/>
        <v>3.4564700799308707</v>
      </c>
      <c r="G14">
        <f t="shared" si="3"/>
        <v>4239.3889824980379</v>
      </c>
      <c r="I14">
        <f t="shared" si="4"/>
        <v>0.86765597011434625</v>
      </c>
      <c r="J14" s="3"/>
      <c r="L14">
        <f t="shared" si="5"/>
        <v>25.102371785370678</v>
      </c>
    </row>
    <row r="15" spans="2:12" x14ac:dyDescent="0.25">
      <c r="C15">
        <v>85</v>
      </c>
      <c r="D15" s="2">
        <f t="shared" si="0"/>
        <v>1599.4375</v>
      </c>
      <c r="E15" s="3">
        <f t="shared" si="1"/>
        <v>0.15994375</v>
      </c>
      <c r="F15" s="3">
        <f t="shared" si="2"/>
        <v>3.1260990191864328</v>
      </c>
      <c r="G15">
        <f t="shared" si="3"/>
        <v>4125.9422738787944</v>
      </c>
      <c r="I15">
        <f t="shared" si="4"/>
        <v>0.70972060813412852</v>
      </c>
      <c r="J15" s="3"/>
      <c r="L15">
        <f t="shared" si="5"/>
        <v>22.703075103450601</v>
      </c>
    </row>
    <row r="16" spans="2:12" x14ac:dyDescent="0.25">
      <c r="C16">
        <v>95</v>
      </c>
      <c r="D16" s="2">
        <f t="shared" si="0"/>
        <v>1752.3125</v>
      </c>
      <c r="E16" s="3">
        <f t="shared" si="1"/>
        <v>0.17523124999999998</v>
      </c>
      <c r="F16" s="3">
        <f t="shared" si="2"/>
        <v>2.8533723294218358</v>
      </c>
      <c r="G16">
        <f t="shared" si="3"/>
        <v>4025.4940639008637</v>
      </c>
      <c r="I16">
        <f t="shared" si="4"/>
        <v>0.59128770202355441</v>
      </c>
      <c r="J16" s="3"/>
      <c r="L16">
        <f t="shared" si="5"/>
        <v>20.722416627042993</v>
      </c>
    </row>
    <row r="17" spans="3:12" x14ac:dyDescent="0.25">
      <c r="C17">
        <v>105</v>
      </c>
      <c r="D17" s="2">
        <f t="shared" si="0"/>
        <v>1905.1875</v>
      </c>
      <c r="E17" s="3">
        <f t="shared" si="1"/>
        <v>0.19051875000000001</v>
      </c>
      <c r="F17" s="3">
        <f t="shared" si="2"/>
        <v>2.6244136075845552</v>
      </c>
      <c r="G17">
        <f t="shared" si="3"/>
        <v>3935.6015791303712</v>
      </c>
      <c r="I17">
        <f t="shared" si="4"/>
        <v>0.5002032595531718</v>
      </c>
      <c r="J17" s="3"/>
      <c r="L17">
        <f t="shared" si="5"/>
        <v>19.059619951199171</v>
      </c>
    </row>
    <row r="18" spans="3:12" x14ac:dyDescent="0.25">
      <c r="C18">
        <v>115</v>
      </c>
      <c r="D18" s="2">
        <f t="shared" si="0"/>
        <v>2058.0625</v>
      </c>
      <c r="E18" s="3">
        <f t="shared" si="1"/>
        <v>0.20580625</v>
      </c>
      <c r="F18" s="3">
        <f t="shared" si="2"/>
        <v>2.4294694646056669</v>
      </c>
      <c r="G18">
        <f t="shared" si="3"/>
        <v>3854.4329957325531</v>
      </c>
      <c r="I18">
        <f t="shared" si="4"/>
        <v>0.42865199116052727</v>
      </c>
      <c r="J18" s="3"/>
      <c r="L18">
        <f t="shared" si="5"/>
        <v>17.643851771156253</v>
      </c>
    </row>
    <row r="19" spans="3:12" x14ac:dyDescent="0.25">
      <c r="C19">
        <v>125</v>
      </c>
      <c r="D19" s="2">
        <f t="shared" si="0"/>
        <v>2210.9375</v>
      </c>
      <c r="E19" s="3">
        <f t="shared" si="1"/>
        <v>0.22109375000000001</v>
      </c>
      <c r="F19" s="3">
        <f t="shared" si="2"/>
        <v>2.2614840989399294</v>
      </c>
      <c r="G19">
        <f t="shared" si="3"/>
        <v>3780.5820299599941</v>
      </c>
      <c r="I19">
        <f t="shared" si="4"/>
        <v>0.37142320446736882</v>
      </c>
      <c r="J19" s="3"/>
      <c r="L19">
        <f t="shared" si="5"/>
        <v>16.423869822541466</v>
      </c>
    </row>
    <row r="20" spans="3:12" x14ac:dyDescent="0.25">
      <c r="C20">
        <v>135</v>
      </c>
      <c r="D20" s="2">
        <f t="shared" si="0"/>
        <v>2363.8125</v>
      </c>
      <c r="E20" s="3">
        <f t="shared" si="1"/>
        <v>0.23638124999999999</v>
      </c>
      <c r="F20" s="3">
        <f t="shared" si="2"/>
        <v>2.1152269902963963</v>
      </c>
      <c r="G20">
        <f t="shared" si="3"/>
        <v>3712.9473827658671</v>
      </c>
      <c r="I20">
        <f t="shared" si="4"/>
        <v>0.32493456689578659</v>
      </c>
      <c r="J20" s="3"/>
      <c r="L20">
        <f t="shared" si="5"/>
        <v>15.36168781820693</v>
      </c>
    </row>
    <row r="21" spans="3:12" x14ac:dyDescent="0.25">
      <c r="C21">
        <v>145</v>
      </c>
      <c r="D21" s="2">
        <f t="shared" si="0"/>
        <v>2516.6875</v>
      </c>
      <c r="E21" s="3">
        <f t="shared" si="1"/>
        <v>0.25166875</v>
      </c>
      <c r="F21" s="3">
        <f t="shared" si="2"/>
        <v>1.9867385203764869</v>
      </c>
      <c r="G21">
        <f t="shared" si="3"/>
        <v>3650.6517227497075</v>
      </c>
      <c r="I21">
        <f t="shared" si="4"/>
        <v>0.28665754702722002</v>
      </c>
      <c r="J21" s="3"/>
      <c r="L21">
        <f t="shared" si="5"/>
        <v>14.428549307681335</v>
      </c>
    </row>
    <row r="22" spans="3:12" x14ac:dyDescent="0.25">
      <c r="C22">
        <v>155</v>
      </c>
      <c r="D22" s="2">
        <f t="shared" si="0"/>
        <v>2669.5625</v>
      </c>
      <c r="E22" s="3">
        <f t="shared" si="1"/>
        <v>0.26695625000000001</v>
      </c>
      <c r="F22" s="3">
        <f t="shared" si="2"/>
        <v>1.8729660759019502</v>
      </c>
      <c r="G22">
        <f t="shared" si="3"/>
        <v>3592.9856804111591</v>
      </c>
      <c r="I22">
        <f t="shared" si="4"/>
        <v>0.25476618174150534</v>
      </c>
      <c r="J22" s="3"/>
      <c r="L22">
        <f t="shared" si="5"/>
        <v>13.602284900906147</v>
      </c>
    </row>
    <row r="23" spans="3:12" x14ac:dyDescent="0.25">
      <c r="C23">
        <v>160</v>
      </c>
      <c r="D23" s="2">
        <f t="shared" si="0"/>
        <v>2746</v>
      </c>
      <c r="E23" s="3">
        <f t="shared" si="1"/>
        <v>0.27460000000000001</v>
      </c>
      <c r="F23" s="3">
        <f t="shared" si="2"/>
        <v>1.8208302986161689</v>
      </c>
      <c r="G23">
        <f t="shared" si="3"/>
        <v>3565.7030096398371</v>
      </c>
      <c r="I23">
        <f t="shared" si="4"/>
        <v>0.24078027077838751</v>
      </c>
      <c r="J23" s="3"/>
      <c r="L23">
        <f t="shared" si="5"/>
        <v>13.223652471149043</v>
      </c>
    </row>
    <row r="24" spans="3:12" x14ac:dyDescent="0.25">
      <c r="F24">
        <v>5</v>
      </c>
      <c r="G24">
        <f t="shared" si="3"/>
        <v>4683.7565288611477</v>
      </c>
    </row>
    <row r="25" spans="3:12" x14ac:dyDescent="0.25">
      <c r="F25">
        <v>4</v>
      </c>
      <c r="G25">
        <f t="shared" si="3"/>
        <v>4409.8986450325019</v>
      </c>
    </row>
    <row r="26" spans="3:12" x14ac:dyDescent="0.25">
      <c r="F26">
        <v>3</v>
      </c>
      <c r="G26">
        <f t="shared" si="3"/>
        <v>4080.3286908207124</v>
      </c>
    </row>
    <row r="27" spans="3:12" x14ac:dyDescent="0.25">
      <c r="F27">
        <v>2</v>
      </c>
      <c r="G27">
        <f t="shared" si="3"/>
        <v>3657.2151413860765</v>
      </c>
    </row>
    <row r="28" spans="3:12" x14ac:dyDescent="0.25">
      <c r="F28">
        <v>1</v>
      </c>
      <c r="G28">
        <f t="shared" si="3"/>
        <v>3033</v>
      </c>
    </row>
    <row r="29" spans="3:12" x14ac:dyDescent="0.25">
      <c r="F29">
        <v>0.1</v>
      </c>
      <c r="G29">
        <f t="shared" si="3"/>
        <v>1628.8174383909766</v>
      </c>
    </row>
    <row r="33" spans="3:5" x14ac:dyDescent="0.25">
      <c r="C33" t="s">
        <v>5</v>
      </c>
      <c r="D33" t="s">
        <v>6</v>
      </c>
      <c r="E33" t="s">
        <v>2</v>
      </c>
    </row>
    <row r="34" spans="3:5" x14ac:dyDescent="0.25">
      <c r="C34">
        <v>60</v>
      </c>
      <c r="D34">
        <f>C34/3.6</f>
        <v>16.666666666666668</v>
      </c>
      <c r="E34">
        <f>D34/12</f>
        <v>1.3888888888888891</v>
      </c>
    </row>
    <row r="35" spans="3:5" x14ac:dyDescent="0.25">
      <c r="C35">
        <v>90</v>
      </c>
      <c r="D35">
        <f>C35/3.6</f>
        <v>25</v>
      </c>
      <c r="E35">
        <f>D35/12</f>
        <v>2.0833333333333335</v>
      </c>
    </row>
  </sheetData>
  <sortState xmlns:xlrd2="http://schemas.microsoft.com/office/spreadsheetml/2017/richdata2" ref="I7:J23">
    <sortCondition descending="1" ref="I7:I2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primuszp</dc:creator>
  <cp:lastModifiedBy>Péter Primusz</cp:lastModifiedBy>
  <dcterms:created xsi:type="dcterms:W3CDTF">2022-06-02T09:32:15Z</dcterms:created>
  <dcterms:modified xsi:type="dcterms:W3CDTF">2023-05-19T11:01:03Z</dcterms:modified>
</cp:coreProperties>
</file>