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a9013d9089981/doktori/"/>
    </mc:Choice>
  </mc:AlternateContent>
  <xr:revisionPtr revIDLastSave="94898" documentId="13_ncr:1_{A2517496-8BCF-44D1-A870-E81C5DF113FE}" xr6:coauthVersionLast="47" xr6:coauthVersionMax="47" xr10:uidLastSave="{24CCA91C-CF99-4E6F-9E8F-60EB0B1624CA}"/>
  <bookViews>
    <workbookView xWindow="-120" yWindow="-120" windowWidth="29040" windowHeight="15840" activeTab="2" xr2:uid="{A9AE4168-86D1-4002-8EA4-889108BA1EAB}"/>
  </bookViews>
  <sheets>
    <sheet name="Munka1" sheetId="1" r:id="rId1"/>
    <sheet name="Munka2" sheetId="2" r:id="rId2"/>
    <sheet name="Munka3" sheetId="3" r:id="rId3"/>
  </sheets>
  <definedNames>
    <definedName name="_xlnm._FilterDatabase" localSheetId="0" hidden="1">Munka1!$C$2:$P$38</definedName>
    <definedName name="_xlnm._FilterDatabase" localSheetId="1" hidden="1">Munka2!$C$2:$P$40</definedName>
    <definedName name="_xlnm._FilterDatabase" localSheetId="2" hidden="1">Munka3!$C$1:$G$353</definedName>
    <definedName name="solver_adj" localSheetId="2" hidden="1">Munka3!$R$2:$W$2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Munka3!$Y$2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3" l="1"/>
  <c r="P3" i="3"/>
  <c r="Q3" i="3" s="1"/>
  <c r="P4" i="3"/>
  <c r="Q4" i="3" s="1"/>
  <c r="P5" i="3"/>
  <c r="Q5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Q42" i="3" s="1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6" i="3"/>
  <c r="Q66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88" i="3"/>
  <c r="Q88" i="3" s="1"/>
  <c r="P89" i="3"/>
  <c r="Q89" i="3" s="1"/>
  <c r="P90" i="3"/>
  <c r="Q90" i="3" s="1"/>
  <c r="P91" i="3"/>
  <c r="Q91" i="3" s="1"/>
  <c r="P92" i="3"/>
  <c r="Q92" i="3" s="1"/>
  <c r="P93" i="3"/>
  <c r="Q93" i="3" s="1"/>
  <c r="P94" i="3"/>
  <c r="Q94" i="3" s="1"/>
  <c r="P95" i="3"/>
  <c r="Q95" i="3" s="1"/>
  <c r="P96" i="3"/>
  <c r="Q96" i="3" s="1"/>
  <c r="P97" i="3"/>
  <c r="Q97" i="3" s="1"/>
  <c r="P98" i="3"/>
  <c r="Q98" i="3" s="1"/>
  <c r="P99" i="3"/>
  <c r="Q99" i="3" s="1"/>
  <c r="P100" i="3"/>
  <c r="Q100" i="3" s="1"/>
  <c r="P101" i="3"/>
  <c r="Q101" i="3" s="1"/>
  <c r="P102" i="3"/>
  <c r="Q102" i="3" s="1"/>
  <c r="P103" i="3"/>
  <c r="Q103" i="3" s="1"/>
  <c r="P104" i="3"/>
  <c r="Q104" i="3" s="1"/>
  <c r="P105" i="3"/>
  <c r="Q105" i="3" s="1"/>
  <c r="P106" i="3"/>
  <c r="Q106" i="3" s="1"/>
  <c r="P107" i="3"/>
  <c r="Q107" i="3" s="1"/>
  <c r="P108" i="3"/>
  <c r="Q108" i="3" s="1"/>
  <c r="P109" i="3"/>
  <c r="Q109" i="3" s="1"/>
  <c r="P110" i="3"/>
  <c r="Q110" i="3" s="1"/>
  <c r="P111" i="3"/>
  <c r="Q111" i="3" s="1"/>
  <c r="P112" i="3"/>
  <c r="Q112" i="3" s="1"/>
  <c r="P113" i="3"/>
  <c r="Q113" i="3" s="1"/>
  <c r="P114" i="3"/>
  <c r="Q114" i="3" s="1"/>
  <c r="P115" i="3"/>
  <c r="Q115" i="3" s="1"/>
  <c r="P116" i="3"/>
  <c r="Q116" i="3" s="1"/>
  <c r="P117" i="3"/>
  <c r="Q117" i="3" s="1"/>
  <c r="P118" i="3"/>
  <c r="Q118" i="3" s="1"/>
  <c r="P119" i="3"/>
  <c r="Q119" i="3" s="1"/>
  <c r="P120" i="3"/>
  <c r="Q120" i="3" s="1"/>
  <c r="P121" i="3"/>
  <c r="Q121" i="3" s="1"/>
  <c r="P122" i="3"/>
  <c r="Q122" i="3" s="1"/>
  <c r="P123" i="3"/>
  <c r="Q123" i="3" s="1"/>
  <c r="P124" i="3"/>
  <c r="Q124" i="3" s="1"/>
  <c r="P125" i="3"/>
  <c r="Q125" i="3" s="1"/>
  <c r="P126" i="3"/>
  <c r="Q126" i="3" s="1"/>
  <c r="P127" i="3"/>
  <c r="Q127" i="3" s="1"/>
  <c r="P128" i="3"/>
  <c r="Q128" i="3" s="1"/>
  <c r="P129" i="3"/>
  <c r="Q129" i="3" s="1"/>
  <c r="P130" i="3"/>
  <c r="Q130" i="3" s="1"/>
  <c r="P131" i="3"/>
  <c r="Q131" i="3" s="1"/>
  <c r="P132" i="3"/>
  <c r="Q132" i="3" s="1"/>
  <c r="P133" i="3"/>
  <c r="Q133" i="3" s="1"/>
  <c r="P134" i="3"/>
  <c r="Q134" i="3" s="1"/>
  <c r="P135" i="3"/>
  <c r="Q135" i="3" s="1"/>
  <c r="P136" i="3"/>
  <c r="Q136" i="3" s="1"/>
  <c r="P137" i="3"/>
  <c r="Q137" i="3" s="1"/>
  <c r="P138" i="3"/>
  <c r="Q138" i="3" s="1"/>
  <c r="P139" i="3"/>
  <c r="Q139" i="3" s="1"/>
  <c r="P140" i="3"/>
  <c r="Q140" i="3" s="1"/>
  <c r="P141" i="3"/>
  <c r="Q141" i="3" s="1"/>
  <c r="P142" i="3"/>
  <c r="Q142" i="3" s="1"/>
  <c r="P143" i="3"/>
  <c r="Q143" i="3" s="1"/>
  <c r="P144" i="3"/>
  <c r="Q144" i="3" s="1"/>
  <c r="P145" i="3"/>
  <c r="Q145" i="3" s="1"/>
  <c r="P146" i="3"/>
  <c r="Q146" i="3" s="1"/>
  <c r="P147" i="3"/>
  <c r="Q147" i="3" s="1"/>
  <c r="P148" i="3"/>
  <c r="Q148" i="3" s="1"/>
  <c r="P149" i="3"/>
  <c r="Q149" i="3" s="1"/>
  <c r="P150" i="3"/>
  <c r="Q150" i="3" s="1"/>
  <c r="P151" i="3"/>
  <c r="Q151" i="3" s="1"/>
  <c r="P152" i="3"/>
  <c r="Q152" i="3" s="1"/>
  <c r="P153" i="3"/>
  <c r="Q153" i="3" s="1"/>
  <c r="P154" i="3"/>
  <c r="Q154" i="3" s="1"/>
  <c r="P155" i="3"/>
  <c r="Q155" i="3" s="1"/>
  <c r="P156" i="3"/>
  <c r="Q156" i="3" s="1"/>
  <c r="P157" i="3"/>
  <c r="Q157" i="3" s="1"/>
  <c r="P158" i="3"/>
  <c r="Q158" i="3" s="1"/>
  <c r="P159" i="3"/>
  <c r="Q159" i="3" s="1"/>
  <c r="P160" i="3"/>
  <c r="Q160" i="3" s="1"/>
  <c r="P161" i="3"/>
  <c r="Q161" i="3" s="1"/>
  <c r="P162" i="3"/>
  <c r="Q162" i="3" s="1"/>
  <c r="P163" i="3"/>
  <c r="Q163" i="3" s="1"/>
  <c r="P164" i="3"/>
  <c r="Q164" i="3" s="1"/>
  <c r="P165" i="3"/>
  <c r="Q165" i="3" s="1"/>
  <c r="P166" i="3"/>
  <c r="Q166" i="3" s="1"/>
  <c r="P167" i="3"/>
  <c r="Q167" i="3" s="1"/>
  <c r="P168" i="3"/>
  <c r="Q168" i="3" s="1"/>
  <c r="P169" i="3"/>
  <c r="Q169" i="3" s="1"/>
  <c r="P170" i="3"/>
  <c r="Q170" i="3" s="1"/>
  <c r="P171" i="3"/>
  <c r="Q171" i="3" s="1"/>
  <c r="P172" i="3"/>
  <c r="Q172" i="3" s="1"/>
  <c r="P173" i="3"/>
  <c r="Q173" i="3" s="1"/>
  <c r="P174" i="3"/>
  <c r="Q174" i="3" s="1"/>
  <c r="P175" i="3"/>
  <c r="Q175" i="3" s="1"/>
  <c r="P176" i="3"/>
  <c r="Q176" i="3" s="1"/>
  <c r="P177" i="3"/>
  <c r="Q177" i="3" s="1"/>
  <c r="P178" i="3"/>
  <c r="Q178" i="3" s="1"/>
  <c r="P179" i="3"/>
  <c r="Q179" i="3" s="1"/>
  <c r="P180" i="3"/>
  <c r="Q180" i="3" s="1"/>
  <c r="P181" i="3"/>
  <c r="Q181" i="3" s="1"/>
  <c r="P182" i="3"/>
  <c r="Q182" i="3" s="1"/>
  <c r="P183" i="3"/>
  <c r="Q183" i="3" s="1"/>
  <c r="P184" i="3"/>
  <c r="Q184" i="3" s="1"/>
  <c r="P185" i="3"/>
  <c r="Q185" i="3" s="1"/>
  <c r="P186" i="3"/>
  <c r="Q186" i="3" s="1"/>
  <c r="P187" i="3"/>
  <c r="Q187" i="3" s="1"/>
  <c r="P188" i="3"/>
  <c r="Q188" i="3" s="1"/>
  <c r="P189" i="3"/>
  <c r="Q189" i="3" s="1"/>
  <c r="P190" i="3"/>
  <c r="Q190" i="3" s="1"/>
  <c r="P191" i="3"/>
  <c r="Q191" i="3" s="1"/>
  <c r="P192" i="3"/>
  <c r="Q192" i="3" s="1"/>
  <c r="P193" i="3"/>
  <c r="Q193" i="3" s="1"/>
  <c r="P194" i="3"/>
  <c r="Q194" i="3" s="1"/>
  <c r="P195" i="3"/>
  <c r="Q195" i="3" s="1"/>
  <c r="P196" i="3"/>
  <c r="Q196" i="3" s="1"/>
  <c r="P197" i="3"/>
  <c r="Q197" i="3" s="1"/>
  <c r="P198" i="3"/>
  <c r="Q198" i="3" s="1"/>
  <c r="P199" i="3"/>
  <c r="Q199" i="3" s="1"/>
  <c r="P200" i="3"/>
  <c r="Q200" i="3" s="1"/>
  <c r="P201" i="3"/>
  <c r="Q201" i="3" s="1"/>
  <c r="P202" i="3"/>
  <c r="Q202" i="3" s="1"/>
  <c r="P203" i="3"/>
  <c r="Q203" i="3" s="1"/>
  <c r="P204" i="3"/>
  <c r="Q204" i="3" s="1"/>
  <c r="P205" i="3"/>
  <c r="Q205" i="3" s="1"/>
  <c r="P206" i="3"/>
  <c r="Q206" i="3" s="1"/>
  <c r="P207" i="3"/>
  <c r="Q207" i="3" s="1"/>
  <c r="P208" i="3"/>
  <c r="Q208" i="3" s="1"/>
  <c r="P209" i="3"/>
  <c r="Q209" i="3" s="1"/>
  <c r="P210" i="3"/>
  <c r="Q210" i="3" s="1"/>
  <c r="P211" i="3"/>
  <c r="Q211" i="3" s="1"/>
  <c r="P212" i="3"/>
  <c r="Q212" i="3" s="1"/>
  <c r="P213" i="3"/>
  <c r="Q213" i="3" s="1"/>
  <c r="P214" i="3"/>
  <c r="Q214" i="3" s="1"/>
  <c r="P215" i="3"/>
  <c r="Q215" i="3" s="1"/>
  <c r="P216" i="3"/>
  <c r="Q216" i="3" s="1"/>
  <c r="P217" i="3"/>
  <c r="Q217" i="3" s="1"/>
  <c r="P218" i="3"/>
  <c r="Q218" i="3" s="1"/>
  <c r="P219" i="3"/>
  <c r="Q219" i="3" s="1"/>
  <c r="P220" i="3"/>
  <c r="Q220" i="3" s="1"/>
  <c r="P221" i="3"/>
  <c r="Q221" i="3" s="1"/>
  <c r="P222" i="3"/>
  <c r="Q222" i="3" s="1"/>
  <c r="P223" i="3"/>
  <c r="Q223" i="3" s="1"/>
  <c r="P224" i="3"/>
  <c r="Q224" i="3" s="1"/>
  <c r="P225" i="3"/>
  <c r="Q225" i="3" s="1"/>
  <c r="P226" i="3"/>
  <c r="Q226" i="3" s="1"/>
  <c r="P227" i="3"/>
  <c r="Q227" i="3" s="1"/>
  <c r="P228" i="3"/>
  <c r="Q228" i="3" s="1"/>
  <c r="P229" i="3"/>
  <c r="Q229" i="3" s="1"/>
  <c r="P230" i="3"/>
  <c r="Q230" i="3" s="1"/>
  <c r="P231" i="3"/>
  <c r="Q231" i="3" s="1"/>
  <c r="P232" i="3"/>
  <c r="Q232" i="3" s="1"/>
  <c r="P233" i="3"/>
  <c r="Q233" i="3" s="1"/>
  <c r="P234" i="3"/>
  <c r="Q234" i="3" s="1"/>
  <c r="P235" i="3"/>
  <c r="Q235" i="3" s="1"/>
  <c r="P236" i="3"/>
  <c r="Q236" i="3" s="1"/>
  <c r="P237" i="3"/>
  <c r="Q237" i="3" s="1"/>
  <c r="P238" i="3"/>
  <c r="Q238" i="3" s="1"/>
  <c r="P239" i="3"/>
  <c r="Q239" i="3" s="1"/>
  <c r="P240" i="3"/>
  <c r="Q240" i="3" s="1"/>
  <c r="P241" i="3"/>
  <c r="Q241" i="3" s="1"/>
  <c r="P242" i="3"/>
  <c r="Q242" i="3" s="1"/>
  <c r="P243" i="3"/>
  <c r="Q243" i="3" s="1"/>
  <c r="P244" i="3"/>
  <c r="Q244" i="3" s="1"/>
  <c r="P245" i="3"/>
  <c r="Q245" i="3" s="1"/>
  <c r="P246" i="3"/>
  <c r="Q246" i="3" s="1"/>
  <c r="P247" i="3"/>
  <c r="Q247" i="3" s="1"/>
  <c r="P248" i="3"/>
  <c r="Q248" i="3" s="1"/>
  <c r="P249" i="3"/>
  <c r="Q249" i="3" s="1"/>
  <c r="P250" i="3"/>
  <c r="Q250" i="3" s="1"/>
  <c r="P251" i="3"/>
  <c r="Q251" i="3" s="1"/>
  <c r="P252" i="3"/>
  <c r="Q252" i="3" s="1"/>
  <c r="P253" i="3"/>
  <c r="Q253" i="3" s="1"/>
  <c r="P254" i="3"/>
  <c r="Q254" i="3" s="1"/>
  <c r="P255" i="3"/>
  <c r="Q255" i="3" s="1"/>
  <c r="P256" i="3"/>
  <c r="Q256" i="3" s="1"/>
  <c r="P257" i="3"/>
  <c r="Q257" i="3" s="1"/>
  <c r="P258" i="3"/>
  <c r="Q258" i="3" s="1"/>
  <c r="P259" i="3"/>
  <c r="Q259" i="3" s="1"/>
  <c r="P260" i="3"/>
  <c r="Q260" i="3" s="1"/>
  <c r="P261" i="3"/>
  <c r="Q261" i="3" s="1"/>
  <c r="P262" i="3"/>
  <c r="Q262" i="3" s="1"/>
  <c r="P263" i="3"/>
  <c r="Q263" i="3" s="1"/>
  <c r="P264" i="3"/>
  <c r="Q264" i="3" s="1"/>
  <c r="P265" i="3"/>
  <c r="Q265" i="3" s="1"/>
  <c r="P266" i="3"/>
  <c r="Q266" i="3" s="1"/>
  <c r="P267" i="3"/>
  <c r="Q267" i="3" s="1"/>
  <c r="P268" i="3"/>
  <c r="Q268" i="3" s="1"/>
  <c r="P269" i="3"/>
  <c r="Q269" i="3" s="1"/>
  <c r="P270" i="3"/>
  <c r="Q270" i="3" s="1"/>
  <c r="P271" i="3"/>
  <c r="Q271" i="3" s="1"/>
  <c r="P272" i="3"/>
  <c r="Q272" i="3" s="1"/>
  <c r="P273" i="3"/>
  <c r="Q273" i="3" s="1"/>
  <c r="P274" i="3"/>
  <c r="Q274" i="3" s="1"/>
  <c r="P275" i="3"/>
  <c r="Q275" i="3" s="1"/>
  <c r="P276" i="3"/>
  <c r="Q276" i="3" s="1"/>
  <c r="P277" i="3"/>
  <c r="Q277" i="3" s="1"/>
  <c r="P278" i="3"/>
  <c r="Q278" i="3" s="1"/>
  <c r="P279" i="3"/>
  <c r="Q279" i="3" s="1"/>
  <c r="P280" i="3"/>
  <c r="Q280" i="3" s="1"/>
  <c r="P281" i="3"/>
  <c r="Q281" i="3" s="1"/>
  <c r="P282" i="3"/>
  <c r="Q282" i="3" s="1"/>
  <c r="P283" i="3"/>
  <c r="Q283" i="3" s="1"/>
  <c r="P284" i="3"/>
  <c r="Q284" i="3" s="1"/>
  <c r="P285" i="3"/>
  <c r="Q285" i="3" s="1"/>
  <c r="P286" i="3"/>
  <c r="Q286" i="3" s="1"/>
  <c r="P287" i="3"/>
  <c r="Q287" i="3" s="1"/>
  <c r="P288" i="3"/>
  <c r="Q288" i="3" s="1"/>
  <c r="P289" i="3"/>
  <c r="Q289" i="3" s="1"/>
  <c r="P290" i="3"/>
  <c r="Q290" i="3" s="1"/>
  <c r="P291" i="3"/>
  <c r="Q291" i="3" s="1"/>
  <c r="P292" i="3"/>
  <c r="Q292" i="3" s="1"/>
  <c r="P293" i="3"/>
  <c r="Q293" i="3" s="1"/>
  <c r="P294" i="3"/>
  <c r="Q294" i="3" s="1"/>
  <c r="P295" i="3"/>
  <c r="Q295" i="3" s="1"/>
  <c r="P296" i="3"/>
  <c r="Q296" i="3" s="1"/>
  <c r="P297" i="3"/>
  <c r="Q297" i="3" s="1"/>
  <c r="P298" i="3"/>
  <c r="Q298" i="3" s="1"/>
  <c r="P299" i="3"/>
  <c r="Q299" i="3" s="1"/>
  <c r="P300" i="3"/>
  <c r="Q300" i="3" s="1"/>
  <c r="P301" i="3"/>
  <c r="Q301" i="3" s="1"/>
  <c r="P302" i="3"/>
  <c r="Q302" i="3" s="1"/>
  <c r="P303" i="3"/>
  <c r="Q303" i="3" s="1"/>
  <c r="P304" i="3"/>
  <c r="Q304" i="3" s="1"/>
  <c r="P305" i="3"/>
  <c r="Q305" i="3" s="1"/>
  <c r="P306" i="3"/>
  <c r="Q306" i="3" s="1"/>
  <c r="P307" i="3"/>
  <c r="Q307" i="3" s="1"/>
  <c r="P308" i="3"/>
  <c r="Q308" i="3" s="1"/>
  <c r="P309" i="3"/>
  <c r="Q309" i="3" s="1"/>
  <c r="P310" i="3"/>
  <c r="Q310" i="3" s="1"/>
  <c r="P311" i="3"/>
  <c r="Q311" i="3" s="1"/>
  <c r="P312" i="3"/>
  <c r="Q312" i="3" s="1"/>
  <c r="P313" i="3"/>
  <c r="Q313" i="3" s="1"/>
  <c r="P314" i="3"/>
  <c r="Q314" i="3" s="1"/>
  <c r="P315" i="3"/>
  <c r="Q315" i="3" s="1"/>
  <c r="P316" i="3"/>
  <c r="Q316" i="3" s="1"/>
  <c r="P317" i="3"/>
  <c r="Q317" i="3" s="1"/>
  <c r="P318" i="3"/>
  <c r="Q318" i="3" s="1"/>
  <c r="P319" i="3"/>
  <c r="Q319" i="3" s="1"/>
  <c r="P320" i="3"/>
  <c r="Q320" i="3" s="1"/>
  <c r="P321" i="3"/>
  <c r="Q321" i="3" s="1"/>
  <c r="P322" i="3"/>
  <c r="Q322" i="3" s="1"/>
  <c r="P323" i="3"/>
  <c r="Q323" i="3" s="1"/>
  <c r="P324" i="3"/>
  <c r="Q324" i="3" s="1"/>
  <c r="P325" i="3"/>
  <c r="Q325" i="3" s="1"/>
  <c r="P326" i="3"/>
  <c r="Q326" i="3" s="1"/>
  <c r="P327" i="3"/>
  <c r="Q327" i="3" s="1"/>
  <c r="P328" i="3"/>
  <c r="Q328" i="3" s="1"/>
  <c r="P329" i="3"/>
  <c r="Q329" i="3" s="1"/>
  <c r="P330" i="3"/>
  <c r="Q330" i="3" s="1"/>
  <c r="P331" i="3"/>
  <c r="Q331" i="3" s="1"/>
  <c r="P332" i="3"/>
  <c r="Q332" i="3" s="1"/>
  <c r="P333" i="3"/>
  <c r="Q333" i="3" s="1"/>
  <c r="P334" i="3"/>
  <c r="Q334" i="3" s="1"/>
  <c r="P335" i="3"/>
  <c r="Q335" i="3" s="1"/>
  <c r="P336" i="3"/>
  <c r="Q336" i="3" s="1"/>
  <c r="P337" i="3"/>
  <c r="Q337" i="3" s="1"/>
  <c r="P338" i="3"/>
  <c r="Q338" i="3" s="1"/>
  <c r="P339" i="3"/>
  <c r="Q339" i="3" s="1"/>
  <c r="P340" i="3"/>
  <c r="Q340" i="3" s="1"/>
  <c r="P341" i="3"/>
  <c r="Q341" i="3" s="1"/>
  <c r="P342" i="3"/>
  <c r="Q342" i="3" s="1"/>
  <c r="P343" i="3"/>
  <c r="Q343" i="3" s="1"/>
  <c r="P344" i="3"/>
  <c r="Q344" i="3" s="1"/>
  <c r="P345" i="3"/>
  <c r="Q345" i="3" s="1"/>
  <c r="P346" i="3"/>
  <c r="Q346" i="3" s="1"/>
  <c r="P347" i="3"/>
  <c r="Q347" i="3" s="1"/>
  <c r="P348" i="3"/>
  <c r="Q348" i="3" s="1"/>
  <c r="P349" i="3"/>
  <c r="Q349" i="3" s="1"/>
  <c r="P350" i="3"/>
  <c r="Q350" i="3" s="1"/>
  <c r="P351" i="3"/>
  <c r="Q351" i="3" s="1"/>
  <c r="Q2" i="3"/>
  <c r="H2" i="3"/>
  <c r="I2" i="3" s="1"/>
  <c r="J71" i="3"/>
  <c r="H71" i="3"/>
  <c r="I71" i="3" s="1"/>
  <c r="J70" i="3"/>
  <c r="H70" i="3"/>
  <c r="I70" i="3" s="1"/>
  <c r="J69" i="3"/>
  <c r="H69" i="3"/>
  <c r="I69" i="3" s="1"/>
  <c r="J68" i="3"/>
  <c r="H68" i="3"/>
  <c r="I68" i="3" s="1"/>
  <c r="J67" i="3"/>
  <c r="H67" i="3"/>
  <c r="I67" i="3" s="1"/>
  <c r="J66" i="3"/>
  <c r="H66" i="3"/>
  <c r="I66" i="3" s="1"/>
  <c r="J65" i="3"/>
  <c r="H65" i="3"/>
  <c r="I65" i="3" s="1"/>
  <c r="J64" i="3"/>
  <c r="H64" i="3"/>
  <c r="I64" i="3" s="1"/>
  <c r="J63" i="3"/>
  <c r="H63" i="3"/>
  <c r="I63" i="3" s="1"/>
  <c r="J62" i="3"/>
  <c r="H62" i="3"/>
  <c r="I62" i="3" s="1"/>
  <c r="J61" i="3"/>
  <c r="H61" i="3"/>
  <c r="I61" i="3" s="1"/>
  <c r="J60" i="3"/>
  <c r="H60" i="3"/>
  <c r="I60" i="3" s="1"/>
  <c r="J59" i="3"/>
  <c r="H59" i="3"/>
  <c r="I59" i="3" s="1"/>
  <c r="J58" i="3"/>
  <c r="H58" i="3"/>
  <c r="I58" i="3" s="1"/>
  <c r="J57" i="3"/>
  <c r="H57" i="3"/>
  <c r="I57" i="3" s="1"/>
  <c r="J56" i="3"/>
  <c r="H56" i="3"/>
  <c r="I56" i="3" s="1"/>
  <c r="J55" i="3"/>
  <c r="H55" i="3"/>
  <c r="I55" i="3" s="1"/>
  <c r="J54" i="3"/>
  <c r="H54" i="3"/>
  <c r="I54" i="3" s="1"/>
  <c r="J53" i="3"/>
  <c r="H53" i="3"/>
  <c r="I53" i="3" s="1"/>
  <c r="J52" i="3"/>
  <c r="H52" i="3"/>
  <c r="I52" i="3" s="1"/>
  <c r="J51" i="3"/>
  <c r="H51" i="3"/>
  <c r="I51" i="3" s="1"/>
  <c r="J50" i="3"/>
  <c r="H50" i="3"/>
  <c r="I50" i="3" s="1"/>
  <c r="J49" i="3"/>
  <c r="H49" i="3"/>
  <c r="I49" i="3" s="1"/>
  <c r="J48" i="3"/>
  <c r="H48" i="3"/>
  <c r="I48" i="3" s="1"/>
  <c r="J47" i="3"/>
  <c r="H47" i="3"/>
  <c r="I47" i="3" s="1"/>
  <c r="J46" i="3"/>
  <c r="H46" i="3"/>
  <c r="I46" i="3" s="1"/>
  <c r="J45" i="3"/>
  <c r="H45" i="3"/>
  <c r="I45" i="3" s="1"/>
  <c r="J44" i="3"/>
  <c r="H44" i="3"/>
  <c r="I44" i="3" s="1"/>
  <c r="J43" i="3"/>
  <c r="H43" i="3"/>
  <c r="I43" i="3" s="1"/>
  <c r="J42" i="3"/>
  <c r="H42" i="3"/>
  <c r="I42" i="3" s="1"/>
  <c r="J41" i="3"/>
  <c r="H41" i="3"/>
  <c r="I41" i="3" s="1"/>
  <c r="J40" i="3"/>
  <c r="H40" i="3"/>
  <c r="I40" i="3" s="1"/>
  <c r="J39" i="3"/>
  <c r="H39" i="3"/>
  <c r="I39" i="3" s="1"/>
  <c r="J38" i="3"/>
  <c r="H38" i="3"/>
  <c r="I38" i="3" s="1"/>
  <c r="J37" i="3"/>
  <c r="H37" i="3"/>
  <c r="I37" i="3" s="1"/>
  <c r="J36" i="3"/>
  <c r="H36" i="3"/>
  <c r="I36" i="3" s="1"/>
  <c r="J35" i="3"/>
  <c r="H35" i="3"/>
  <c r="I35" i="3" s="1"/>
  <c r="J34" i="3"/>
  <c r="H34" i="3"/>
  <c r="I34" i="3" s="1"/>
  <c r="J33" i="3"/>
  <c r="H33" i="3"/>
  <c r="I33" i="3" s="1"/>
  <c r="J32" i="3"/>
  <c r="H32" i="3"/>
  <c r="I32" i="3" s="1"/>
  <c r="J31" i="3"/>
  <c r="H31" i="3"/>
  <c r="I31" i="3" s="1"/>
  <c r="J30" i="3"/>
  <c r="H30" i="3"/>
  <c r="I30" i="3" s="1"/>
  <c r="J29" i="3"/>
  <c r="H29" i="3"/>
  <c r="I29" i="3" s="1"/>
  <c r="J28" i="3"/>
  <c r="H28" i="3"/>
  <c r="I28" i="3" s="1"/>
  <c r="J27" i="3"/>
  <c r="H27" i="3"/>
  <c r="I27" i="3" s="1"/>
  <c r="J26" i="3"/>
  <c r="H26" i="3"/>
  <c r="I26" i="3" s="1"/>
  <c r="J25" i="3"/>
  <c r="H25" i="3"/>
  <c r="I25" i="3" s="1"/>
  <c r="J24" i="3"/>
  <c r="H24" i="3"/>
  <c r="I24" i="3" s="1"/>
  <c r="J23" i="3"/>
  <c r="H23" i="3"/>
  <c r="I23" i="3" s="1"/>
  <c r="J22" i="3"/>
  <c r="H22" i="3"/>
  <c r="I22" i="3" s="1"/>
  <c r="J21" i="3"/>
  <c r="H21" i="3"/>
  <c r="I21" i="3" s="1"/>
  <c r="J20" i="3"/>
  <c r="H20" i="3"/>
  <c r="I20" i="3" s="1"/>
  <c r="J19" i="3"/>
  <c r="H19" i="3"/>
  <c r="I19" i="3" s="1"/>
  <c r="J18" i="3"/>
  <c r="H18" i="3"/>
  <c r="I18" i="3" s="1"/>
  <c r="J17" i="3"/>
  <c r="H17" i="3"/>
  <c r="I17" i="3" s="1"/>
  <c r="J16" i="3"/>
  <c r="H16" i="3"/>
  <c r="I16" i="3" s="1"/>
  <c r="J15" i="3"/>
  <c r="H15" i="3"/>
  <c r="I15" i="3" s="1"/>
  <c r="J14" i="3"/>
  <c r="H14" i="3"/>
  <c r="I14" i="3" s="1"/>
  <c r="J13" i="3"/>
  <c r="H13" i="3"/>
  <c r="I13" i="3" s="1"/>
  <c r="J12" i="3"/>
  <c r="H12" i="3"/>
  <c r="I12" i="3" s="1"/>
  <c r="J11" i="3"/>
  <c r="H11" i="3"/>
  <c r="I11" i="3" s="1"/>
  <c r="J10" i="3"/>
  <c r="H10" i="3"/>
  <c r="I10" i="3" s="1"/>
  <c r="J9" i="3"/>
  <c r="H9" i="3"/>
  <c r="I9" i="3" s="1"/>
  <c r="J8" i="3"/>
  <c r="H8" i="3"/>
  <c r="I8" i="3" s="1"/>
  <c r="J7" i="3"/>
  <c r="H7" i="3"/>
  <c r="I7" i="3" s="1"/>
  <c r="J6" i="3"/>
  <c r="H6" i="3"/>
  <c r="I6" i="3" s="1"/>
  <c r="J5" i="3"/>
  <c r="H5" i="3"/>
  <c r="I5" i="3" s="1"/>
  <c r="J4" i="3"/>
  <c r="H4" i="3"/>
  <c r="I4" i="3" s="1"/>
  <c r="J3" i="3"/>
  <c r="H3" i="3"/>
  <c r="I3" i="3" s="1"/>
  <c r="J2" i="3"/>
  <c r="X40" i="2"/>
  <c r="W40" i="2"/>
  <c r="V40" i="2"/>
  <c r="U40" i="2"/>
  <c r="T40" i="2"/>
  <c r="S40" i="2"/>
  <c r="R40" i="2"/>
  <c r="X32" i="2"/>
  <c r="W32" i="2"/>
  <c r="V32" i="2"/>
  <c r="U32" i="2"/>
  <c r="T32" i="2"/>
  <c r="S32" i="2"/>
  <c r="R32" i="2"/>
  <c r="X26" i="2"/>
  <c r="W26" i="2"/>
  <c r="V26" i="2"/>
  <c r="U26" i="2"/>
  <c r="T26" i="2"/>
  <c r="S26" i="2"/>
  <c r="R26" i="2"/>
  <c r="X20" i="2"/>
  <c r="W20" i="2"/>
  <c r="V20" i="2"/>
  <c r="U20" i="2"/>
  <c r="T20" i="2"/>
  <c r="S20" i="2"/>
  <c r="R20" i="2"/>
  <c r="X14" i="2"/>
  <c r="W14" i="2"/>
  <c r="V14" i="2"/>
  <c r="U14" i="2"/>
  <c r="T14" i="2"/>
  <c r="S14" i="2"/>
  <c r="R14" i="2"/>
  <c r="S8" i="2"/>
  <c r="T8" i="2"/>
  <c r="U8" i="2"/>
  <c r="V8" i="2"/>
  <c r="W8" i="2"/>
  <c r="X8" i="2"/>
  <c r="R8" i="2"/>
  <c r="X35" i="2"/>
  <c r="W35" i="2"/>
  <c r="V35" i="2"/>
  <c r="U35" i="2"/>
  <c r="T35" i="2"/>
  <c r="S35" i="2"/>
  <c r="R35" i="2"/>
  <c r="X29" i="2"/>
  <c r="W29" i="2"/>
  <c r="V29" i="2"/>
  <c r="U29" i="2"/>
  <c r="T29" i="2"/>
  <c r="S29" i="2"/>
  <c r="R29" i="2"/>
  <c r="X23" i="2"/>
  <c r="W23" i="2"/>
  <c r="V23" i="2"/>
  <c r="U23" i="2"/>
  <c r="T23" i="2"/>
  <c r="S23" i="2"/>
  <c r="R23" i="2"/>
  <c r="X17" i="2"/>
  <c r="W17" i="2"/>
  <c r="V17" i="2"/>
  <c r="U17" i="2"/>
  <c r="T17" i="2"/>
  <c r="S17" i="2"/>
  <c r="R17" i="2"/>
  <c r="X11" i="2"/>
  <c r="W11" i="2"/>
  <c r="V11" i="2"/>
  <c r="U11" i="2"/>
  <c r="T11" i="2"/>
  <c r="S11" i="2"/>
  <c r="R11" i="2"/>
  <c r="S5" i="2"/>
  <c r="T5" i="2"/>
  <c r="U5" i="2"/>
  <c r="V5" i="2"/>
  <c r="W5" i="2"/>
  <c r="X5" i="2"/>
  <c r="R5" i="2"/>
  <c r="R4" i="2"/>
  <c r="S4" i="2"/>
  <c r="T4" i="2"/>
  <c r="U4" i="2"/>
  <c r="V4" i="2"/>
  <c r="W4" i="2"/>
  <c r="X4" i="2"/>
  <c r="R6" i="2"/>
  <c r="S6" i="2"/>
  <c r="T6" i="2"/>
  <c r="U6" i="2"/>
  <c r="V6" i="2"/>
  <c r="W6" i="2"/>
  <c r="X6" i="2"/>
  <c r="R7" i="2"/>
  <c r="S7" i="2"/>
  <c r="T7" i="2"/>
  <c r="U7" i="2"/>
  <c r="V7" i="2"/>
  <c r="W7" i="2"/>
  <c r="X7" i="2"/>
  <c r="R9" i="2"/>
  <c r="S9" i="2"/>
  <c r="T9" i="2"/>
  <c r="U9" i="2"/>
  <c r="V9" i="2"/>
  <c r="W9" i="2"/>
  <c r="X9" i="2"/>
  <c r="R10" i="2"/>
  <c r="S10" i="2"/>
  <c r="T10" i="2"/>
  <c r="U10" i="2"/>
  <c r="V10" i="2"/>
  <c r="W10" i="2"/>
  <c r="X10" i="2"/>
  <c r="R12" i="2"/>
  <c r="S12" i="2"/>
  <c r="T12" i="2"/>
  <c r="U12" i="2"/>
  <c r="V12" i="2"/>
  <c r="W12" i="2"/>
  <c r="X12" i="2"/>
  <c r="R13" i="2"/>
  <c r="S13" i="2"/>
  <c r="T13" i="2"/>
  <c r="U13" i="2"/>
  <c r="V13" i="2"/>
  <c r="W13" i="2"/>
  <c r="X13" i="2"/>
  <c r="R15" i="2"/>
  <c r="S15" i="2"/>
  <c r="T15" i="2"/>
  <c r="U15" i="2"/>
  <c r="V15" i="2"/>
  <c r="W15" i="2"/>
  <c r="X15" i="2"/>
  <c r="R16" i="2"/>
  <c r="S16" i="2"/>
  <c r="T16" i="2"/>
  <c r="U16" i="2"/>
  <c r="V16" i="2"/>
  <c r="W16" i="2"/>
  <c r="X16" i="2"/>
  <c r="R18" i="2"/>
  <c r="S18" i="2"/>
  <c r="T18" i="2"/>
  <c r="U18" i="2"/>
  <c r="V18" i="2"/>
  <c r="W18" i="2"/>
  <c r="X18" i="2"/>
  <c r="R19" i="2"/>
  <c r="S19" i="2"/>
  <c r="T19" i="2"/>
  <c r="U19" i="2"/>
  <c r="V19" i="2"/>
  <c r="W19" i="2"/>
  <c r="X19" i="2"/>
  <c r="R21" i="2"/>
  <c r="S21" i="2"/>
  <c r="T21" i="2"/>
  <c r="U21" i="2"/>
  <c r="V21" i="2"/>
  <c r="W21" i="2"/>
  <c r="X21" i="2"/>
  <c r="R22" i="2"/>
  <c r="S22" i="2"/>
  <c r="T22" i="2"/>
  <c r="U22" i="2"/>
  <c r="V22" i="2"/>
  <c r="W22" i="2"/>
  <c r="X22" i="2"/>
  <c r="R24" i="2"/>
  <c r="S24" i="2"/>
  <c r="T24" i="2"/>
  <c r="U24" i="2"/>
  <c r="V24" i="2"/>
  <c r="W24" i="2"/>
  <c r="X24" i="2"/>
  <c r="R25" i="2"/>
  <c r="S25" i="2"/>
  <c r="T25" i="2"/>
  <c r="U25" i="2"/>
  <c r="V25" i="2"/>
  <c r="W25" i="2"/>
  <c r="X25" i="2"/>
  <c r="R27" i="2"/>
  <c r="S27" i="2"/>
  <c r="T27" i="2"/>
  <c r="U27" i="2"/>
  <c r="V27" i="2"/>
  <c r="W27" i="2"/>
  <c r="X27" i="2"/>
  <c r="R28" i="2"/>
  <c r="S28" i="2"/>
  <c r="T28" i="2"/>
  <c r="U28" i="2"/>
  <c r="V28" i="2"/>
  <c r="W28" i="2"/>
  <c r="X28" i="2"/>
  <c r="R30" i="2"/>
  <c r="S30" i="2"/>
  <c r="T30" i="2"/>
  <c r="U30" i="2"/>
  <c r="V30" i="2"/>
  <c r="W30" i="2"/>
  <c r="X30" i="2"/>
  <c r="R31" i="2"/>
  <c r="S31" i="2"/>
  <c r="T31" i="2"/>
  <c r="U31" i="2"/>
  <c r="V31" i="2"/>
  <c r="W31" i="2"/>
  <c r="X31" i="2"/>
  <c r="R33" i="2"/>
  <c r="S33" i="2"/>
  <c r="T33" i="2"/>
  <c r="U33" i="2"/>
  <c r="V33" i="2"/>
  <c r="W33" i="2"/>
  <c r="X33" i="2"/>
  <c r="R34" i="2"/>
  <c r="S34" i="2"/>
  <c r="T34" i="2"/>
  <c r="U34" i="2"/>
  <c r="V34" i="2"/>
  <c r="W34" i="2"/>
  <c r="X34" i="2"/>
  <c r="R36" i="2"/>
  <c r="S36" i="2"/>
  <c r="T36" i="2"/>
  <c r="U36" i="2"/>
  <c r="V36" i="2"/>
  <c r="W36" i="2"/>
  <c r="X36" i="2"/>
  <c r="R37" i="2"/>
  <c r="S37" i="2"/>
  <c r="T37" i="2"/>
  <c r="U37" i="2"/>
  <c r="V37" i="2"/>
  <c r="W37" i="2"/>
  <c r="X37" i="2"/>
  <c r="R38" i="2"/>
  <c r="S38" i="2"/>
  <c r="T38" i="2"/>
  <c r="U38" i="2"/>
  <c r="V38" i="2"/>
  <c r="W38" i="2"/>
  <c r="X38" i="2"/>
  <c r="R39" i="2"/>
  <c r="S39" i="2"/>
  <c r="T39" i="2"/>
  <c r="U39" i="2"/>
  <c r="V39" i="2"/>
  <c r="W39" i="2"/>
  <c r="X39" i="2"/>
  <c r="S3" i="2"/>
  <c r="T3" i="2"/>
  <c r="U3" i="2"/>
  <c r="V3" i="2"/>
  <c r="W3" i="2"/>
  <c r="X3" i="2"/>
  <c r="R3" i="2"/>
  <c r="F40" i="1"/>
  <c r="G40" i="1"/>
  <c r="H40" i="1"/>
  <c r="I40" i="1"/>
  <c r="J40" i="1"/>
  <c r="K40" i="1"/>
  <c r="L40" i="1"/>
  <c r="Y2" i="3" l="1"/>
  <c r="N2" i="3"/>
</calcChain>
</file>

<file path=xl/sharedStrings.xml><?xml version="1.0" encoding="utf-8"?>
<sst xmlns="http://schemas.openxmlformats.org/spreadsheetml/2006/main" count="118" uniqueCount="28">
  <si>
    <t>D</t>
  </si>
  <si>
    <t>Distance</t>
  </si>
  <si>
    <t>Imp</t>
  </si>
  <si>
    <t>Load</t>
  </si>
  <si>
    <t>D0</t>
  </si>
  <si>
    <t>D1</t>
  </si>
  <si>
    <t>D2</t>
  </si>
  <si>
    <t>D3</t>
  </si>
  <si>
    <t>D4</t>
  </si>
  <si>
    <t>D5</t>
  </si>
  <si>
    <t>D6</t>
  </si>
  <si>
    <t>Air</t>
  </si>
  <si>
    <t>Pave</t>
  </si>
  <si>
    <t>Mpa</t>
  </si>
  <si>
    <t>Time</t>
  </si>
  <si>
    <t>E3</t>
  </si>
  <si>
    <t>H1</t>
  </si>
  <si>
    <t>H2</t>
  </si>
  <si>
    <t>Rc</t>
  </si>
  <si>
    <t>Dc</t>
  </si>
  <si>
    <t>Pred</t>
  </si>
  <si>
    <t>ERROR</t>
  </si>
  <si>
    <t>ALFA</t>
  </si>
  <si>
    <t>BETA</t>
  </si>
  <si>
    <t>B</t>
  </si>
  <si>
    <t>PRED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</si>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</sst>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03567407983321E-2"/>
          <c:y val="2.9042898252561369E-2"/>
          <c:w val="0.89958900732323976"/>
          <c:h val="0.9097075627540733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Munka1!$F$5:$L$5</c:f>
            </c:numRef>
          </c:yVal>
          <c:smooth val="1"/>
          <c:extLst>
            <c:ext xmlns:c16="http://schemas.microsoft.com/office/drawing/2014/chart" uri="{C3380CC4-5D6E-409C-BE32-E72D297353CC}">
              <c16:uniqueId val="{00000000-EAA4-4422-B46B-A05FE6CC6BB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Munka1!$F$6:$L$6</c:f>
            </c:numRef>
          </c:yVal>
          <c:smooth val="1"/>
          <c:extLst>
            <c:ext xmlns:c16="http://schemas.microsoft.com/office/drawing/2014/chart" uri="{C3380CC4-5D6E-409C-BE32-E72D297353CC}">
              <c16:uniqueId val="{00000001-EAA4-4422-B46B-A05FE6CC6BB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Munka1!$F$7:$L$7</c:f>
            </c:numRef>
          </c:yVal>
          <c:smooth val="1"/>
          <c:extLst>
            <c:ext xmlns:c16="http://schemas.microsoft.com/office/drawing/2014/chart" uri="{C3380CC4-5D6E-409C-BE32-E72D297353CC}">
              <c16:uniqueId val="{00000002-EAA4-4422-B46B-A05FE6CC6BB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Munka1!$F$38:$L$38</c:f>
            </c:numRef>
          </c:yVal>
          <c:smooth val="1"/>
          <c:extLst>
            <c:ext xmlns:c16="http://schemas.microsoft.com/office/drawing/2014/chart" uri="{C3380CC4-5D6E-409C-BE32-E72D297353CC}">
              <c16:uniqueId val="{00000003-EAA4-4422-B46B-A05FE6CC6BB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Munka1!$F$9:$L$9</c:f>
            </c:numRef>
          </c:yVal>
          <c:smooth val="1"/>
          <c:extLst>
            <c:ext xmlns:c16="http://schemas.microsoft.com/office/drawing/2014/chart" uri="{C3380CC4-5D6E-409C-BE32-E72D297353CC}">
              <c16:uniqueId val="{00000004-EAA4-4422-B46B-A05FE6CC6BB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Munka1!$F$4:$L$4</c:f>
              <c:numCache>
                <c:formatCode>General</c:formatCode>
                <c:ptCount val="7"/>
                <c:pt idx="0">
                  <c:v>572</c:v>
                </c:pt>
                <c:pt idx="1">
                  <c:v>402</c:v>
                </c:pt>
                <c:pt idx="2">
                  <c:v>287</c:v>
                </c:pt>
                <c:pt idx="3">
                  <c:v>197</c:v>
                </c:pt>
                <c:pt idx="4">
                  <c:v>135</c:v>
                </c:pt>
                <c:pt idx="5">
                  <c:v>77</c:v>
                </c:pt>
                <c:pt idx="6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A4-4422-B46B-A05FE6CC6BB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Munka1!$F$11:$L$11</c:f>
            </c:numRef>
          </c:yVal>
          <c:smooth val="1"/>
          <c:extLst>
            <c:ext xmlns:c16="http://schemas.microsoft.com/office/drawing/2014/chart" uri="{C3380CC4-5D6E-409C-BE32-E72D297353CC}">
              <c16:uniqueId val="{00000007-EAA4-4422-B46B-A05FE6CC6BB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Munka1!$F$12:$L$12</c:f>
            </c:numRef>
          </c:yVal>
          <c:smooth val="1"/>
          <c:extLst>
            <c:ext xmlns:c16="http://schemas.microsoft.com/office/drawing/2014/chart" uri="{C3380CC4-5D6E-409C-BE32-E72D297353CC}">
              <c16:uniqueId val="{00000008-EAA4-4422-B46B-A05FE6CC6BB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Munka1!$F$13:$L$13</c:f>
            </c:numRef>
          </c:yVal>
          <c:smooth val="1"/>
          <c:extLst>
            <c:ext xmlns:c16="http://schemas.microsoft.com/office/drawing/2014/chart" uri="{C3380CC4-5D6E-409C-BE32-E72D297353CC}">
              <c16:uniqueId val="{00000009-EAA4-4422-B46B-A05FE6CC6BB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Munka1!$F$26:$L$26</c:f>
            </c:numRef>
          </c:yVal>
          <c:smooth val="1"/>
          <c:extLst>
            <c:ext xmlns:c16="http://schemas.microsoft.com/office/drawing/2014/chart" uri="{C3380CC4-5D6E-409C-BE32-E72D297353CC}">
              <c16:uniqueId val="{00000023-EAA4-4422-B46B-A05FE6CC6BB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Munka1!$F$16:$L$16</c:f>
              <c:numCache>
                <c:formatCode>General</c:formatCode>
                <c:ptCount val="7"/>
                <c:pt idx="0">
                  <c:v>573</c:v>
                </c:pt>
                <c:pt idx="1">
                  <c:v>411</c:v>
                </c:pt>
                <c:pt idx="2">
                  <c:v>280</c:v>
                </c:pt>
                <c:pt idx="3">
                  <c:v>172</c:v>
                </c:pt>
                <c:pt idx="4">
                  <c:v>127</c:v>
                </c:pt>
                <c:pt idx="5">
                  <c:v>75</c:v>
                </c:pt>
                <c:pt idx="6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EAA4-4422-B46B-A05FE6CC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533872"/>
        <c:axId val="640541088"/>
      </c:scatterChart>
      <c:valAx>
        <c:axId val="64053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40541088"/>
        <c:crosses val="autoZero"/>
        <c:crossBetween val="midCat"/>
      </c:valAx>
      <c:valAx>
        <c:axId val="6405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4053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Munka1!$F$1:$L$1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Munka1!$F$40:$L$40</c:f>
              <c:numCache>
                <c:formatCode>General</c:formatCode>
                <c:ptCount val="7"/>
                <c:pt idx="0">
                  <c:v>-1</c:v>
                </c:pt>
                <c:pt idx="1">
                  <c:v>-9</c:v>
                </c:pt>
                <c:pt idx="2">
                  <c:v>7</c:v>
                </c:pt>
                <c:pt idx="3">
                  <c:v>25</c:v>
                </c:pt>
                <c:pt idx="4">
                  <c:v>8</c:v>
                </c:pt>
                <c:pt idx="5">
                  <c:v>2</c:v>
                </c:pt>
                <c:pt idx="6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9-46E0-AEE4-773DFA64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7496"/>
        <c:axId val="122008152"/>
      </c:scatterChart>
      <c:valAx>
        <c:axId val="12200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008152"/>
        <c:crosses val="autoZero"/>
        <c:crossBetween val="midCat"/>
      </c:valAx>
      <c:valAx>
        <c:axId val="12200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2007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Munka2!$R$8:$X$8</c:f>
              <c:numCache>
                <c:formatCode>General</c:formatCode>
                <c:ptCount val="7"/>
                <c:pt idx="0">
                  <c:v>248.8030095759234</c:v>
                </c:pt>
                <c:pt idx="1">
                  <c:v>231.703146374829</c:v>
                </c:pt>
                <c:pt idx="2">
                  <c:v>204.34336525307799</c:v>
                </c:pt>
                <c:pt idx="3">
                  <c:v>170.1436388508892</c:v>
                </c:pt>
                <c:pt idx="4">
                  <c:v>150.47879616963064</c:v>
                </c:pt>
                <c:pt idx="5">
                  <c:v>104.30916552667578</c:v>
                </c:pt>
                <c:pt idx="6">
                  <c:v>76.094391244870039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B-49AA-AA41-4D9FE6C2ED7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Munka2!$R$9:$X$9</c:f>
            </c:numRef>
          </c:yVal>
          <c:smooth val="1"/>
          <c:extLst>
            <c:ext xmlns:c16="http://schemas.microsoft.com/office/drawing/2014/chart" uri="{C3380CC4-5D6E-409C-BE32-E72D297353CC}">
              <c16:uniqueId val="{00000001-C75B-49AA-AA41-4D9FE6C2ED7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Munka2!$R$10:$X$10</c:f>
            </c:numRef>
          </c:yVal>
          <c:smooth val="1"/>
          <c:extLst>
            <c:ext xmlns:c16="http://schemas.microsoft.com/office/drawing/2014/chart" uri="{C3380CC4-5D6E-409C-BE32-E72D297353CC}">
              <c16:uniqueId val="{00000002-C75B-49AA-AA41-4D9FE6C2ED7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Munka2!$R$11:$X$11</c:f>
            </c:numRef>
          </c:yVal>
          <c:smooth val="1"/>
          <c:extLst>
            <c:ext xmlns:c16="http://schemas.microsoft.com/office/drawing/2014/chart" uri="{C3380CC4-5D6E-409C-BE32-E72D297353CC}">
              <c16:uniqueId val="{00000003-C75B-49AA-AA41-4D9FE6C2ED7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Munka2!$R$12:$X$12</c:f>
            </c:numRef>
          </c:yVal>
          <c:smooth val="1"/>
          <c:extLst>
            <c:ext xmlns:c16="http://schemas.microsoft.com/office/drawing/2014/chart" uri="{C3380CC4-5D6E-409C-BE32-E72D297353CC}">
              <c16:uniqueId val="{00000004-C75B-49AA-AA41-4D9FE6C2ED7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Munka2!$R$13:$X$13</c:f>
            </c:numRef>
          </c:yVal>
          <c:smooth val="1"/>
          <c:extLst>
            <c:ext xmlns:c16="http://schemas.microsoft.com/office/drawing/2014/chart" uri="{C3380CC4-5D6E-409C-BE32-E72D297353CC}">
              <c16:uniqueId val="{00000005-C75B-49AA-AA41-4D9FE6C2ED7C}"/>
            </c:ext>
          </c:extLst>
        </c:ser>
        <c:ser>
          <c:idx val="7"/>
          <c:order val="6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Munka2!$R$15:$X$15</c:f>
            </c:numRef>
          </c:yVal>
          <c:smooth val="1"/>
          <c:extLst>
            <c:ext xmlns:c16="http://schemas.microsoft.com/office/drawing/2014/chart" uri="{C3380CC4-5D6E-409C-BE32-E72D297353CC}">
              <c16:uniqueId val="{00000008-C75B-49AA-AA41-4D9FE6C2ED7C}"/>
            </c:ext>
          </c:extLst>
        </c:ser>
        <c:ser>
          <c:idx val="8"/>
          <c:order val="7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Munka2!$R$16:$X$16</c:f>
            </c:numRef>
          </c:yVal>
          <c:smooth val="1"/>
          <c:extLst>
            <c:ext xmlns:c16="http://schemas.microsoft.com/office/drawing/2014/chart" uri="{C3380CC4-5D6E-409C-BE32-E72D297353CC}">
              <c16:uniqueId val="{00000009-C75B-49AA-AA41-4D9FE6C2ED7C}"/>
            </c:ext>
          </c:extLst>
        </c:ser>
        <c:ser>
          <c:idx val="9"/>
          <c:order val="8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Munka2!$R$17:$X$17</c:f>
            </c:numRef>
          </c:yVal>
          <c:smooth val="1"/>
          <c:extLst>
            <c:ext xmlns:c16="http://schemas.microsoft.com/office/drawing/2014/chart" uri="{C3380CC4-5D6E-409C-BE32-E72D297353CC}">
              <c16:uniqueId val="{0000000A-C75B-49AA-AA41-4D9FE6C2ED7C}"/>
            </c:ext>
          </c:extLst>
        </c:ser>
        <c:ser>
          <c:idx val="10"/>
          <c:order val="9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Munka2!$R$18:$X$18</c:f>
            </c:numRef>
          </c:yVal>
          <c:smooth val="1"/>
          <c:extLst>
            <c:ext xmlns:c16="http://schemas.microsoft.com/office/drawing/2014/chart" uri="{C3380CC4-5D6E-409C-BE32-E72D297353CC}">
              <c16:uniqueId val="{0000000B-C75B-49AA-AA41-4D9FE6C2ED7C}"/>
            </c:ext>
          </c:extLst>
        </c:ser>
        <c:ser>
          <c:idx val="11"/>
          <c:order val="10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Munka2!$R$19:$X$19</c:f>
            </c:numRef>
          </c:yVal>
          <c:smooth val="1"/>
          <c:extLst>
            <c:ext xmlns:c16="http://schemas.microsoft.com/office/drawing/2014/chart" uri="{C3380CC4-5D6E-409C-BE32-E72D297353CC}">
              <c16:uniqueId val="{0000000C-C75B-49AA-AA41-4D9FE6C2ED7C}"/>
            </c:ext>
          </c:extLst>
        </c:ser>
        <c:ser>
          <c:idx val="13"/>
          <c:order val="1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Munka2!$R$21:$X$21</c:f>
            </c:numRef>
          </c:yVal>
          <c:smooth val="1"/>
          <c:extLst>
            <c:ext xmlns:c16="http://schemas.microsoft.com/office/drawing/2014/chart" uri="{C3380CC4-5D6E-409C-BE32-E72D297353CC}">
              <c16:uniqueId val="{0000000E-C75B-49AA-AA41-4D9FE6C2ED7C}"/>
            </c:ext>
          </c:extLst>
        </c:ser>
        <c:ser>
          <c:idx val="14"/>
          <c:order val="1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Munka2!$R$22:$X$22</c:f>
            </c:numRef>
          </c:yVal>
          <c:smooth val="1"/>
          <c:extLst>
            <c:ext xmlns:c16="http://schemas.microsoft.com/office/drawing/2014/chart" uri="{C3380CC4-5D6E-409C-BE32-E72D297353CC}">
              <c16:uniqueId val="{0000000F-C75B-49AA-AA41-4D9FE6C2ED7C}"/>
            </c:ext>
          </c:extLst>
        </c:ser>
        <c:ser>
          <c:idx val="15"/>
          <c:order val="1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Munka2!$R$23:$X$23</c:f>
            </c:numRef>
          </c:yVal>
          <c:smooth val="1"/>
          <c:extLst>
            <c:ext xmlns:c16="http://schemas.microsoft.com/office/drawing/2014/chart" uri="{C3380CC4-5D6E-409C-BE32-E72D297353CC}">
              <c16:uniqueId val="{00000010-C75B-49AA-AA41-4D9FE6C2ED7C}"/>
            </c:ext>
          </c:extLst>
        </c:ser>
        <c:ser>
          <c:idx val="16"/>
          <c:order val="1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Munka2!$R$24:$X$24</c:f>
            </c:numRef>
          </c:yVal>
          <c:smooth val="1"/>
          <c:extLst>
            <c:ext xmlns:c16="http://schemas.microsoft.com/office/drawing/2014/chart" uri="{C3380CC4-5D6E-409C-BE32-E72D297353CC}">
              <c16:uniqueId val="{00000011-C75B-49AA-AA41-4D9FE6C2ED7C}"/>
            </c:ext>
          </c:extLst>
        </c:ser>
        <c:ser>
          <c:idx val="17"/>
          <c:order val="1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Munka2!$R$25:$X$25</c:f>
            </c:numRef>
          </c:yVal>
          <c:smooth val="1"/>
          <c:extLst>
            <c:ext xmlns:c16="http://schemas.microsoft.com/office/drawing/2014/chart" uri="{C3380CC4-5D6E-409C-BE32-E72D297353CC}">
              <c16:uniqueId val="{00000012-C75B-49AA-AA41-4D9FE6C2ED7C}"/>
            </c:ext>
          </c:extLst>
        </c:ser>
        <c:ser>
          <c:idx val="19"/>
          <c:order val="16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Munka2!$R$27:$X$27</c:f>
            </c:numRef>
          </c:yVal>
          <c:smooth val="1"/>
          <c:extLst>
            <c:ext xmlns:c16="http://schemas.microsoft.com/office/drawing/2014/chart" uri="{C3380CC4-5D6E-409C-BE32-E72D297353CC}">
              <c16:uniqueId val="{00000014-C75B-49AA-AA41-4D9FE6C2ED7C}"/>
            </c:ext>
          </c:extLst>
        </c:ser>
        <c:ser>
          <c:idx val="20"/>
          <c:order val="17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Munka2!$R$28:$X$28</c:f>
            </c:numRef>
          </c:yVal>
          <c:smooth val="1"/>
          <c:extLst>
            <c:ext xmlns:c16="http://schemas.microsoft.com/office/drawing/2014/chart" uri="{C3380CC4-5D6E-409C-BE32-E72D297353CC}">
              <c16:uniqueId val="{00000015-C75B-49AA-AA41-4D9FE6C2ED7C}"/>
            </c:ext>
          </c:extLst>
        </c:ser>
        <c:ser>
          <c:idx val="21"/>
          <c:order val="18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Munka2!$R$29:$X$29</c:f>
            </c:numRef>
          </c:yVal>
          <c:smooth val="1"/>
          <c:extLst>
            <c:ext xmlns:c16="http://schemas.microsoft.com/office/drawing/2014/chart" uri="{C3380CC4-5D6E-409C-BE32-E72D297353CC}">
              <c16:uniqueId val="{00000016-C75B-49AA-AA41-4D9FE6C2ED7C}"/>
            </c:ext>
          </c:extLst>
        </c:ser>
        <c:ser>
          <c:idx val="22"/>
          <c:order val="19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Munka2!$R$30:$X$30</c:f>
            </c:numRef>
          </c:yVal>
          <c:smooth val="1"/>
          <c:extLst>
            <c:ext xmlns:c16="http://schemas.microsoft.com/office/drawing/2014/chart" uri="{C3380CC4-5D6E-409C-BE32-E72D297353CC}">
              <c16:uniqueId val="{00000017-C75B-49AA-AA41-4D9FE6C2ED7C}"/>
            </c:ext>
          </c:extLst>
        </c:ser>
        <c:ser>
          <c:idx val="23"/>
          <c:order val="20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Munka2!$R$31:$X$31</c:f>
            </c:numRef>
          </c:yVal>
          <c:smooth val="1"/>
          <c:extLst>
            <c:ext xmlns:c16="http://schemas.microsoft.com/office/drawing/2014/chart" uri="{C3380CC4-5D6E-409C-BE32-E72D297353CC}">
              <c16:uniqueId val="{00000018-C75B-49AA-AA41-4D9FE6C2ED7C}"/>
            </c:ext>
          </c:extLst>
        </c:ser>
        <c:ser>
          <c:idx val="24"/>
          <c:order val="21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Munka2!$R$32:$X$32</c:f>
              <c:numCache>
                <c:formatCode>General</c:formatCode>
                <c:ptCount val="7"/>
                <c:pt idx="0">
                  <c:v>355.94713656387665</c:v>
                </c:pt>
                <c:pt idx="1">
                  <c:v>311.01321585903082</c:v>
                </c:pt>
                <c:pt idx="2">
                  <c:v>259.91189427312776</c:v>
                </c:pt>
                <c:pt idx="3">
                  <c:v>202.6431718061674</c:v>
                </c:pt>
                <c:pt idx="4">
                  <c:v>170.92511013215858</c:v>
                </c:pt>
                <c:pt idx="5">
                  <c:v>108.37004405286343</c:v>
                </c:pt>
                <c:pt idx="6">
                  <c:v>75.770925110132154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75B-49AA-AA41-4D9FE6C2ED7C}"/>
            </c:ext>
          </c:extLst>
        </c:ser>
        <c:ser>
          <c:idx val="25"/>
          <c:order val="22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Munka2!$R$33:$X$33</c:f>
            </c:numRef>
          </c:yVal>
          <c:smooth val="1"/>
          <c:extLst>
            <c:ext xmlns:c16="http://schemas.microsoft.com/office/drawing/2014/chart" uri="{C3380CC4-5D6E-409C-BE32-E72D297353CC}">
              <c16:uniqueId val="{0000001A-C75B-49AA-AA41-4D9FE6C2ED7C}"/>
            </c:ext>
          </c:extLst>
        </c:ser>
        <c:ser>
          <c:idx val="26"/>
          <c:order val="23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Munka2!$R$34:$X$34</c:f>
            </c:numRef>
          </c:yVal>
          <c:smooth val="1"/>
          <c:extLst>
            <c:ext xmlns:c16="http://schemas.microsoft.com/office/drawing/2014/chart" uri="{C3380CC4-5D6E-409C-BE32-E72D297353CC}">
              <c16:uniqueId val="{0000001B-C75B-49AA-AA41-4D9FE6C2ED7C}"/>
            </c:ext>
          </c:extLst>
        </c:ser>
        <c:ser>
          <c:idx val="27"/>
          <c:order val="24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Munka2!$R$35:$X$35</c:f>
            </c:numRef>
          </c:yVal>
          <c:smooth val="1"/>
          <c:extLst>
            <c:ext xmlns:c16="http://schemas.microsoft.com/office/drawing/2014/chart" uri="{C3380CC4-5D6E-409C-BE32-E72D297353CC}">
              <c16:uniqueId val="{0000001C-C75B-49AA-AA41-4D9FE6C2ED7C}"/>
            </c:ext>
          </c:extLst>
        </c:ser>
        <c:ser>
          <c:idx val="28"/>
          <c:order val="25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Munka2!$R$36:$X$36</c:f>
            </c:numRef>
          </c:yVal>
          <c:smooth val="1"/>
          <c:extLst>
            <c:ext xmlns:c16="http://schemas.microsoft.com/office/drawing/2014/chart" uri="{C3380CC4-5D6E-409C-BE32-E72D297353CC}">
              <c16:uniqueId val="{0000001D-C75B-49AA-AA41-4D9FE6C2ED7C}"/>
            </c:ext>
          </c:extLst>
        </c:ser>
        <c:ser>
          <c:idx val="29"/>
          <c:order val="26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Munka2!$R$37:$X$37</c:f>
            </c:numRef>
          </c:yVal>
          <c:smooth val="1"/>
          <c:extLst>
            <c:ext xmlns:c16="http://schemas.microsoft.com/office/drawing/2014/chart" uri="{C3380CC4-5D6E-409C-BE32-E72D297353CC}">
              <c16:uniqueId val="{0000001E-C75B-49AA-AA41-4D9FE6C2ED7C}"/>
            </c:ext>
          </c:extLst>
        </c:ser>
        <c:ser>
          <c:idx val="30"/>
          <c:order val="27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Munka2!$R$38:$X$38</c:f>
            </c:numRef>
          </c:yVal>
          <c:smooth val="1"/>
          <c:extLst>
            <c:ext xmlns:c16="http://schemas.microsoft.com/office/drawing/2014/chart" uri="{C3380CC4-5D6E-409C-BE32-E72D297353CC}">
              <c16:uniqueId val="{0000001F-C75B-49AA-AA41-4D9FE6C2ED7C}"/>
            </c:ext>
          </c:extLst>
        </c:ser>
        <c:ser>
          <c:idx val="31"/>
          <c:order val="28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Munka2!$R$1:$X$1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Munka2!$R$39:$X$39</c:f>
            </c:numRef>
          </c:yVal>
          <c:smooth val="1"/>
          <c:extLst>
            <c:ext xmlns:c16="http://schemas.microsoft.com/office/drawing/2014/chart" uri="{C3380CC4-5D6E-409C-BE32-E72D297353CC}">
              <c16:uniqueId val="{00000020-C75B-49AA-AA41-4D9FE6C2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875344"/>
        <c:axId val="577872392"/>
      </c:scatterChart>
      <c:valAx>
        <c:axId val="57787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77872392"/>
        <c:crosses val="autoZero"/>
        <c:crossBetween val="midCat"/>
      </c:valAx>
      <c:valAx>
        <c:axId val="57787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7787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3.071163022026812E-2"/>
          <c:y val="3.3309222385828126E-2"/>
          <c:w val="0.90222315379079554"/>
          <c:h val="0.892616289074788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423440889386303"/>
                  <c:y val="0.133882116118558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Munka3!$G$2:$G$351</c:f>
              <c:numCache>
                <c:formatCode>General</c:formatCode>
                <c:ptCount val="350"/>
                <c:pt idx="0">
                  <c:v>0.87297470337638605</c:v>
                </c:pt>
                <c:pt idx="1">
                  <c:v>0.70262022328074802</c:v>
                </c:pt>
                <c:pt idx="2">
                  <c:v>0.59607234305996903</c:v>
                </c:pt>
                <c:pt idx="3">
                  <c:v>0.521533242745991</c:v>
                </c:pt>
                <c:pt idx="4">
                  <c:v>0.468861856373613</c:v>
                </c:pt>
                <c:pt idx="5">
                  <c:v>0.42857603923586901</c:v>
                </c:pt>
                <c:pt idx="6">
                  <c:v>0.39739459876646599</c:v>
                </c:pt>
                <c:pt idx="7">
                  <c:v>0.63924928557682004</c:v>
                </c:pt>
                <c:pt idx="8">
                  <c:v>0.54400922078010905</c:v>
                </c:pt>
                <c:pt idx="9">
                  <c:v>0.47937670522236803</c:v>
                </c:pt>
                <c:pt idx="10">
                  <c:v>0.43341291233368301</c:v>
                </c:pt>
                <c:pt idx="11">
                  <c:v>0.39788760042625498</c:v>
                </c:pt>
                <c:pt idx="12">
                  <c:v>0.36968416522699699</c:v>
                </c:pt>
                <c:pt idx="13">
                  <c:v>0.34636971465337901</c:v>
                </c:pt>
                <c:pt idx="14">
                  <c:v>0.499953245872372</c:v>
                </c:pt>
                <c:pt idx="15">
                  <c:v>0.44479201274789498</c:v>
                </c:pt>
                <c:pt idx="16">
                  <c:v>0.40257547141723699</c:v>
                </c:pt>
                <c:pt idx="17">
                  <c:v>0.37136615196094003</c:v>
                </c:pt>
                <c:pt idx="18">
                  <c:v>0.34680455087823497</c:v>
                </c:pt>
                <c:pt idx="19">
                  <c:v>0.32628072982276801</c:v>
                </c:pt>
                <c:pt idx="20">
                  <c:v>0.30848579993633202</c:v>
                </c:pt>
                <c:pt idx="21">
                  <c:v>0.396315600133055</c:v>
                </c:pt>
                <c:pt idx="22">
                  <c:v>0.36598506029795602</c:v>
                </c:pt>
                <c:pt idx="23">
                  <c:v>0.34262894916506398</c:v>
                </c:pt>
                <c:pt idx="24">
                  <c:v>0.32430296403058301</c:v>
                </c:pt>
                <c:pt idx="25">
                  <c:v>0.30783334964023301</c:v>
                </c:pt>
                <c:pt idx="26">
                  <c:v>0.29268918015429901</c:v>
                </c:pt>
                <c:pt idx="27">
                  <c:v>0.27838295558079801</c:v>
                </c:pt>
                <c:pt idx="28">
                  <c:v>0.31554352064493202</c:v>
                </c:pt>
                <c:pt idx="29">
                  <c:v>0.29936889652436</c:v>
                </c:pt>
                <c:pt idx="30">
                  <c:v>0.29300535880547401</c:v>
                </c:pt>
                <c:pt idx="31">
                  <c:v>0.285094724018429</c:v>
                </c:pt>
                <c:pt idx="32">
                  <c:v>0.27561052028389599</c:v>
                </c:pt>
                <c:pt idx="33">
                  <c:v>0.264595192072893</c:v>
                </c:pt>
                <c:pt idx="34">
                  <c:v>0.25348264471299098</c:v>
                </c:pt>
                <c:pt idx="35">
                  <c:v>0.53206167777321101</c:v>
                </c:pt>
                <c:pt idx="36">
                  <c:v>0.43438383893954702</c:v>
                </c:pt>
                <c:pt idx="37">
                  <c:v>0.37203647060530598</c:v>
                </c:pt>
                <c:pt idx="38">
                  <c:v>0.328697884798338</c:v>
                </c:pt>
                <c:pt idx="39">
                  <c:v>0.297071361042545</c:v>
                </c:pt>
                <c:pt idx="40">
                  <c:v>0.272851825418996</c:v>
                </c:pt>
                <c:pt idx="41">
                  <c:v>0.25339716819698799</c:v>
                </c:pt>
                <c:pt idx="42">
                  <c:v>0.38655962106098901</c:v>
                </c:pt>
                <c:pt idx="43">
                  <c:v>0.326723379339318</c:v>
                </c:pt>
                <c:pt idx="44">
                  <c:v>0.28864997324344499</c:v>
                </c:pt>
                <c:pt idx="45">
                  <c:v>0.26238941772565899</c:v>
                </c:pt>
                <c:pt idx="46">
                  <c:v>0.241967261521847</c:v>
                </c:pt>
                <c:pt idx="47">
                  <c:v>0.22550051552924999</c:v>
                </c:pt>
                <c:pt idx="48">
                  <c:v>0.21171018966834801</c:v>
                </c:pt>
                <c:pt idx="49">
                  <c:v>0.30458659068877197</c:v>
                </c:pt>
                <c:pt idx="50">
                  <c:v>0.268407069321906</c:v>
                </c:pt>
                <c:pt idx="51">
                  <c:v>0.241855094770938</c:v>
                </c:pt>
                <c:pt idx="52">
                  <c:v>0.22273963891190299</c:v>
                </c:pt>
                <c:pt idx="53">
                  <c:v>0.207929841817073</c:v>
                </c:pt>
                <c:pt idx="54">
                  <c:v>0.19555173418636301</c:v>
                </c:pt>
                <c:pt idx="55">
                  <c:v>0.18493051403900901</c:v>
                </c:pt>
                <c:pt idx="56">
                  <c:v>0.24504807731095701</c:v>
                </c:pt>
                <c:pt idx="57">
                  <c:v>0.22534379717216099</c:v>
                </c:pt>
                <c:pt idx="58">
                  <c:v>0.20798420559723299</c:v>
                </c:pt>
                <c:pt idx="59">
                  <c:v>0.194604494631261</c:v>
                </c:pt>
                <c:pt idx="60">
                  <c:v>0.18361103793758601</c:v>
                </c:pt>
                <c:pt idx="61">
                  <c:v>0.17408348166858401</c:v>
                </c:pt>
                <c:pt idx="62">
                  <c:v>0.16525202466575101</c:v>
                </c:pt>
                <c:pt idx="63">
                  <c:v>0.200310377146006</c:v>
                </c:pt>
                <c:pt idx="64">
                  <c:v>0.18889867419554199</c:v>
                </c:pt>
                <c:pt idx="65">
                  <c:v>0.18000138973731</c:v>
                </c:pt>
                <c:pt idx="66">
                  <c:v>0.17174993813950601</c:v>
                </c:pt>
                <c:pt idx="67">
                  <c:v>0.164032585427971</c:v>
                </c:pt>
                <c:pt idx="68">
                  <c:v>0.15652979792348001</c:v>
                </c:pt>
                <c:pt idx="69">
                  <c:v>0.149443574267318</c:v>
                </c:pt>
                <c:pt idx="70">
                  <c:v>0.39423691311987702</c:v>
                </c:pt>
                <c:pt idx="71">
                  <c:v>0.32684026465456401</c:v>
                </c:pt>
                <c:pt idx="72">
                  <c:v>0.282822329087069</c:v>
                </c:pt>
                <c:pt idx="73">
                  <c:v>0.251310619445476</c:v>
                </c:pt>
                <c:pt idx="74">
                  <c:v>0.22804854844963099</c:v>
                </c:pt>
                <c:pt idx="75">
                  <c:v>0.20989118182660799</c:v>
                </c:pt>
                <c:pt idx="76">
                  <c:v>0.19504456900717501</c:v>
                </c:pt>
                <c:pt idx="77">
                  <c:v>0.28615319516006898</c:v>
                </c:pt>
                <c:pt idx="78">
                  <c:v>0.24033668676386299</c:v>
                </c:pt>
                <c:pt idx="79">
                  <c:v>0.21264814807681301</c:v>
                </c:pt>
                <c:pt idx="80">
                  <c:v>0.194019550094749</c:v>
                </c:pt>
                <c:pt idx="81">
                  <c:v>0.179396056277602</c:v>
                </c:pt>
                <c:pt idx="82">
                  <c:v>0.16752511292962899</c:v>
                </c:pt>
                <c:pt idx="83">
                  <c:v>0.15749398595744399</c:v>
                </c:pt>
                <c:pt idx="84">
                  <c:v>0.226622368565396</c:v>
                </c:pt>
                <c:pt idx="85">
                  <c:v>0.196900468641589</c:v>
                </c:pt>
                <c:pt idx="86">
                  <c:v>0.17647551983461399</c:v>
                </c:pt>
                <c:pt idx="87">
                  <c:v>0.16255290756469201</c:v>
                </c:pt>
                <c:pt idx="88">
                  <c:v>0.151915732641308</c:v>
                </c:pt>
                <c:pt idx="89">
                  <c:v>0.14307315397186801</c:v>
                </c:pt>
                <c:pt idx="90">
                  <c:v>0.13534383639515099</c:v>
                </c:pt>
                <c:pt idx="91">
                  <c:v>0.18388037009432701</c:v>
                </c:pt>
                <c:pt idx="92">
                  <c:v>0.16714021983820601</c:v>
                </c:pt>
                <c:pt idx="93">
                  <c:v>0.15251553924245401</c:v>
                </c:pt>
                <c:pt idx="94">
                  <c:v>0.14185994191446399</c:v>
                </c:pt>
                <c:pt idx="95">
                  <c:v>0.133435376983224</c:v>
                </c:pt>
                <c:pt idx="96">
                  <c:v>0.12637476917106499</c:v>
                </c:pt>
                <c:pt idx="97">
                  <c:v>0.11999607034221101</c:v>
                </c:pt>
                <c:pt idx="98">
                  <c:v>0.152219175421522</c:v>
                </c:pt>
                <c:pt idx="99">
                  <c:v>0.14258147329385601</c:v>
                </c:pt>
                <c:pt idx="100">
                  <c:v>0.133494031020537</c:v>
                </c:pt>
                <c:pt idx="101">
                  <c:v>0.12585587571499399</c:v>
                </c:pt>
                <c:pt idx="102">
                  <c:v>0.119326166052532</c:v>
                </c:pt>
                <c:pt idx="103">
                  <c:v>0.113422527298655</c:v>
                </c:pt>
                <c:pt idx="104">
                  <c:v>0.10808010850516001</c:v>
                </c:pt>
                <c:pt idx="105">
                  <c:v>0.31536009371610102</c:v>
                </c:pt>
                <c:pt idx="106">
                  <c:v>0.266308119886146</c:v>
                </c:pt>
                <c:pt idx="107">
                  <c:v>0.23265533650110901</c:v>
                </c:pt>
                <c:pt idx="108">
                  <c:v>0.208088135488944</c:v>
                </c:pt>
                <c:pt idx="109">
                  <c:v>0.18946959425648199</c:v>
                </c:pt>
                <c:pt idx="110">
                  <c:v>0.17434702459502499</c:v>
                </c:pt>
                <c:pt idx="111">
                  <c:v>0.16226046537727401</c:v>
                </c:pt>
                <c:pt idx="112">
                  <c:v>0.22947188336648</c:v>
                </c:pt>
                <c:pt idx="113">
                  <c:v>0.19208920656138401</c:v>
                </c:pt>
                <c:pt idx="114">
                  <c:v>0.170478690900806</c:v>
                </c:pt>
                <c:pt idx="115">
                  <c:v>0.15579274998540099</c:v>
                </c:pt>
                <c:pt idx="116">
                  <c:v>0.14430896577913299</c:v>
                </c:pt>
                <c:pt idx="117">
                  <c:v>0.13490007353469799</c:v>
                </c:pt>
                <c:pt idx="118">
                  <c:v>0.12697521903321601</c:v>
                </c:pt>
                <c:pt idx="119">
                  <c:v>0.18291323567349099</c:v>
                </c:pt>
                <c:pt idx="120">
                  <c:v>0.15651798418241999</c:v>
                </c:pt>
                <c:pt idx="121">
                  <c:v>0.139502822548949</c:v>
                </c:pt>
                <c:pt idx="122">
                  <c:v>0.12865505125750901</c:v>
                </c:pt>
                <c:pt idx="123">
                  <c:v>0.120248317610956</c:v>
                </c:pt>
                <c:pt idx="124">
                  <c:v>0.11339375646826</c:v>
                </c:pt>
                <c:pt idx="125">
                  <c:v>0.107406204314784</c:v>
                </c:pt>
                <c:pt idx="126">
                  <c:v>0.14964392794020001</c:v>
                </c:pt>
                <c:pt idx="127">
                  <c:v>0.133904201069941</c:v>
                </c:pt>
                <c:pt idx="128">
                  <c:v>0.12080185796213699</c:v>
                </c:pt>
                <c:pt idx="129">
                  <c:v>0.11189321213113999</c:v>
                </c:pt>
                <c:pt idx="130">
                  <c:v>0.105075286727957</c:v>
                </c:pt>
                <c:pt idx="131">
                  <c:v>9.9458941241940199E-2</c:v>
                </c:pt>
                <c:pt idx="132">
                  <c:v>9.4366341513342902E-2</c:v>
                </c:pt>
                <c:pt idx="133">
                  <c:v>0.124911812555469</c:v>
                </c:pt>
                <c:pt idx="134">
                  <c:v>0.115819615935935</c:v>
                </c:pt>
                <c:pt idx="135">
                  <c:v>0.106949446221801</c:v>
                </c:pt>
                <c:pt idx="136">
                  <c:v>9.9588611136979505E-2</c:v>
                </c:pt>
                <c:pt idx="137">
                  <c:v>9.3995767754235099E-2</c:v>
                </c:pt>
                <c:pt idx="138">
                  <c:v>8.9114133978410295E-2</c:v>
                </c:pt>
                <c:pt idx="139">
                  <c:v>8.4501760246924906E-2</c:v>
                </c:pt>
                <c:pt idx="140">
                  <c:v>0.264708395171105</c:v>
                </c:pt>
                <c:pt idx="141">
                  <c:v>0.226724162215482</c:v>
                </c:pt>
                <c:pt idx="142">
                  <c:v>0.200007488146491</c:v>
                </c:pt>
                <c:pt idx="143">
                  <c:v>0.17949802407788701</c:v>
                </c:pt>
                <c:pt idx="144">
                  <c:v>0.16374690373853701</c:v>
                </c:pt>
                <c:pt idx="145">
                  <c:v>0.15097136904789801</c:v>
                </c:pt>
                <c:pt idx="146">
                  <c:v>0.140282543785958</c:v>
                </c:pt>
                <c:pt idx="147">
                  <c:v>0.19229535984066901</c:v>
                </c:pt>
                <c:pt idx="148">
                  <c:v>0.160798110251891</c:v>
                </c:pt>
                <c:pt idx="149">
                  <c:v>0.14305612721486499</c:v>
                </c:pt>
                <c:pt idx="150">
                  <c:v>0.130809381812686</c:v>
                </c:pt>
                <c:pt idx="151">
                  <c:v>0.121281000855927</c:v>
                </c:pt>
                <c:pt idx="152">
                  <c:v>0.113504737812148</c:v>
                </c:pt>
                <c:pt idx="153">
                  <c:v>0.10675778747814101</c:v>
                </c:pt>
                <c:pt idx="154">
                  <c:v>0.15426742291048001</c:v>
                </c:pt>
                <c:pt idx="155">
                  <c:v>0.129939802999437</c:v>
                </c:pt>
                <c:pt idx="156">
                  <c:v>0.115307914024554</c:v>
                </c:pt>
                <c:pt idx="157">
                  <c:v>0.106302428072912</c:v>
                </c:pt>
                <c:pt idx="158">
                  <c:v>9.9557578611601499E-2</c:v>
                </c:pt>
                <c:pt idx="159">
                  <c:v>9.3837037322248407E-2</c:v>
                </c:pt>
                <c:pt idx="160">
                  <c:v>8.8934200886286396E-2</c:v>
                </c:pt>
                <c:pt idx="161">
                  <c:v>0.12709789622119699</c:v>
                </c:pt>
                <c:pt idx="162">
                  <c:v>0.111847139979886</c:v>
                </c:pt>
                <c:pt idx="163">
                  <c:v>9.9726800964572093E-2</c:v>
                </c:pt>
                <c:pt idx="164">
                  <c:v>9.2142365105194302E-2</c:v>
                </c:pt>
                <c:pt idx="165">
                  <c:v>8.63095854025243E-2</c:v>
                </c:pt>
                <c:pt idx="166">
                  <c:v>8.1670842497953103E-2</c:v>
                </c:pt>
                <c:pt idx="167">
                  <c:v>7.7397417368312293E-2</c:v>
                </c:pt>
                <c:pt idx="168">
                  <c:v>0.107105663035089</c:v>
                </c:pt>
                <c:pt idx="169">
                  <c:v>9.7945098523845794E-2</c:v>
                </c:pt>
                <c:pt idx="170">
                  <c:v>8.9053853329226898E-2</c:v>
                </c:pt>
                <c:pt idx="171">
                  <c:v>8.2282747466485701E-2</c:v>
                </c:pt>
                <c:pt idx="172">
                  <c:v>7.7202299609461705E-2</c:v>
                </c:pt>
                <c:pt idx="173">
                  <c:v>7.2853430054492699E-2</c:v>
                </c:pt>
                <c:pt idx="174">
                  <c:v>6.9039316510372997E-2</c:v>
                </c:pt>
                <c:pt idx="175">
                  <c:v>0.22809095364039</c:v>
                </c:pt>
                <c:pt idx="176">
                  <c:v>0.198508424339915</c:v>
                </c:pt>
                <c:pt idx="177">
                  <c:v>0.176394936870197</c:v>
                </c:pt>
                <c:pt idx="178">
                  <c:v>0.15931273647510499</c:v>
                </c:pt>
                <c:pt idx="179">
                  <c:v>0.14520325810990101</c:v>
                </c:pt>
                <c:pt idx="180">
                  <c:v>0.13382519696905401</c:v>
                </c:pt>
                <c:pt idx="181">
                  <c:v>0.124153679311127</c:v>
                </c:pt>
                <c:pt idx="182">
                  <c:v>0.165279773852161</c:v>
                </c:pt>
                <c:pt idx="183">
                  <c:v>0.13843892422412599</c:v>
                </c:pt>
                <c:pt idx="184">
                  <c:v>0.123369165013042</c:v>
                </c:pt>
                <c:pt idx="185">
                  <c:v>0.11305089069301701</c:v>
                </c:pt>
                <c:pt idx="186">
                  <c:v>0.10479476426581399</c:v>
                </c:pt>
                <c:pt idx="187">
                  <c:v>9.79752423499404E-2</c:v>
                </c:pt>
                <c:pt idx="188">
                  <c:v>9.2081219388995494E-2</c:v>
                </c:pt>
                <c:pt idx="189">
                  <c:v>0.133690647158971</c:v>
                </c:pt>
                <c:pt idx="190">
                  <c:v>0.110670888433369</c:v>
                </c:pt>
                <c:pt idx="191">
                  <c:v>9.7930696434916503E-2</c:v>
                </c:pt>
                <c:pt idx="192">
                  <c:v>9.0266639797499604E-2</c:v>
                </c:pt>
                <c:pt idx="193">
                  <c:v>8.45648335994231E-2</c:v>
                </c:pt>
                <c:pt idx="194">
                  <c:v>7.9743951333094504E-2</c:v>
                </c:pt>
                <c:pt idx="195">
                  <c:v>7.5484699692555196E-2</c:v>
                </c:pt>
                <c:pt idx="196">
                  <c:v>0.11103672303493101</c:v>
                </c:pt>
                <c:pt idx="197">
                  <c:v>9.5821704387671403E-2</c:v>
                </c:pt>
                <c:pt idx="198">
                  <c:v>8.43508031124513E-2</c:v>
                </c:pt>
                <c:pt idx="199">
                  <c:v>7.7568119921125001E-2</c:v>
                </c:pt>
                <c:pt idx="200">
                  <c:v>7.2733754791537E-2</c:v>
                </c:pt>
                <c:pt idx="201">
                  <c:v>6.8685003545518E-2</c:v>
                </c:pt>
                <c:pt idx="202">
                  <c:v>6.5180161812228701E-2</c:v>
                </c:pt>
                <c:pt idx="203">
                  <c:v>9.4148670014693694E-2</c:v>
                </c:pt>
                <c:pt idx="204">
                  <c:v>8.5013732850146503E-2</c:v>
                </c:pt>
                <c:pt idx="205">
                  <c:v>7.5989953197838106E-2</c:v>
                </c:pt>
                <c:pt idx="206">
                  <c:v>6.9563988611229199E-2</c:v>
                </c:pt>
                <c:pt idx="207">
                  <c:v>6.5138915240534306E-2</c:v>
                </c:pt>
                <c:pt idx="208">
                  <c:v>6.11294016358939E-2</c:v>
                </c:pt>
                <c:pt idx="209">
                  <c:v>5.7692084808455897E-2</c:v>
                </c:pt>
                <c:pt idx="210">
                  <c:v>0.200890085640483</c:v>
                </c:pt>
                <c:pt idx="211">
                  <c:v>0.177254862288969</c:v>
                </c:pt>
                <c:pt idx="212">
                  <c:v>0.15866622897921201</c:v>
                </c:pt>
                <c:pt idx="213">
                  <c:v>0.14338480768741099</c:v>
                </c:pt>
                <c:pt idx="214">
                  <c:v>0.13100711400010501</c:v>
                </c:pt>
                <c:pt idx="215">
                  <c:v>0.12062741324151501</c:v>
                </c:pt>
                <c:pt idx="216">
                  <c:v>0.11182476325093001</c:v>
                </c:pt>
                <c:pt idx="217">
                  <c:v>0.144927141197672</c:v>
                </c:pt>
                <c:pt idx="218">
                  <c:v>0.121595045040858</c:v>
                </c:pt>
                <c:pt idx="219">
                  <c:v>0.108667396474423</c:v>
                </c:pt>
                <c:pt idx="220">
                  <c:v>9.9475423054290801E-2</c:v>
                </c:pt>
                <c:pt idx="221">
                  <c:v>9.21490305201242E-2</c:v>
                </c:pt>
                <c:pt idx="222">
                  <c:v>8.6125929075053703E-2</c:v>
                </c:pt>
                <c:pt idx="223">
                  <c:v>8.0827276914478705E-2</c:v>
                </c:pt>
                <c:pt idx="224">
                  <c:v>0.11781336099332</c:v>
                </c:pt>
                <c:pt idx="225">
                  <c:v>9.5908635736797504E-2</c:v>
                </c:pt>
                <c:pt idx="226">
                  <c:v>8.4523506034120094E-2</c:v>
                </c:pt>
                <c:pt idx="227">
                  <c:v>7.79674211184051E-2</c:v>
                </c:pt>
                <c:pt idx="228">
                  <c:v>7.3045265247957694E-2</c:v>
                </c:pt>
                <c:pt idx="229">
                  <c:v>6.8896561792026106E-2</c:v>
                </c:pt>
                <c:pt idx="230">
                  <c:v>6.5164055409964297E-2</c:v>
                </c:pt>
                <c:pt idx="231">
                  <c:v>9.8752517333901599E-2</c:v>
                </c:pt>
                <c:pt idx="232">
                  <c:v>8.3299404972276697E-2</c:v>
                </c:pt>
                <c:pt idx="233">
                  <c:v>7.24451920397641E-2</c:v>
                </c:pt>
                <c:pt idx="234">
                  <c:v>6.6282545486329197E-2</c:v>
                </c:pt>
                <c:pt idx="235">
                  <c:v>6.2164298991489599E-2</c:v>
                </c:pt>
                <c:pt idx="236">
                  <c:v>5.87265679830173E-2</c:v>
                </c:pt>
                <c:pt idx="237">
                  <c:v>5.5710943577261703E-2</c:v>
                </c:pt>
                <c:pt idx="238">
                  <c:v>8.4358956786500405E-2</c:v>
                </c:pt>
                <c:pt idx="239">
                  <c:v>7.5161031098848502E-2</c:v>
                </c:pt>
                <c:pt idx="240">
                  <c:v>6.5865594734021399E-2</c:v>
                </c:pt>
                <c:pt idx="241">
                  <c:v>5.9545914103353102E-2</c:v>
                </c:pt>
                <c:pt idx="242">
                  <c:v>5.5199298879709299E-2</c:v>
                </c:pt>
                <c:pt idx="243">
                  <c:v>5.1674498965445598E-2</c:v>
                </c:pt>
                <c:pt idx="244">
                  <c:v>4.89092226231796E-2</c:v>
                </c:pt>
                <c:pt idx="245">
                  <c:v>0.17983572782744001</c:v>
                </c:pt>
                <c:pt idx="246">
                  <c:v>0.160341655320756</c:v>
                </c:pt>
                <c:pt idx="247">
                  <c:v>0.14450346176687101</c:v>
                </c:pt>
                <c:pt idx="248">
                  <c:v>0.13080471968127</c:v>
                </c:pt>
                <c:pt idx="249">
                  <c:v>0.119481171207999</c:v>
                </c:pt>
                <c:pt idx="250">
                  <c:v>0.109791092080259</c:v>
                </c:pt>
                <c:pt idx="251">
                  <c:v>0.101607083449565</c:v>
                </c:pt>
                <c:pt idx="252">
                  <c:v>0.128554635236586</c:v>
                </c:pt>
                <c:pt idx="253">
                  <c:v>0.108200153611774</c:v>
                </c:pt>
                <c:pt idx="254">
                  <c:v>9.6773701835832407E-2</c:v>
                </c:pt>
                <c:pt idx="255">
                  <c:v>8.8692327134608701E-2</c:v>
                </c:pt>
                <c:pt idx="256">
                  <c:v>8.2150042109868093E-2</c:v>
                </c:pt>
                <c:pt idx="257">
                  <c:v>7.6579501867751698E-2</c:v>
                </c:pt>
                <c:pt idx="258">
                  <c:v>7.1705007259545803E-2</c:v>
                </c:pt>
                <c:pt idx="259">
                  <c:v>0.105113399180085</c:v>
                </c:pt>
                <c:pt idx="260">
                  <c:v>8.3956917056571503E-2</c:v>
                </c:pt>
                <c:pt idx="261">
                  <c:v>7.3841632952220196E-2</c:v>
                </c:pt>
                <c:pt idx="262">
                  <c:v>6.8134180262670693E-2</c:v>
                </c:pt>
                <c:pt idx="263">
                  <c:v>6.3801608973792903E-2</c:v>
                </c:pt>
                <c:pt idx="264">
                  <c:v>6.0150681324776398E-2</c:v>
                </c:pt>
                <c:pt idx="265">
                  <c:v>5.6877652497040403E-2</c:v>
                </c:pt>
                <c:pt idx="266">
                  <c:v>8.9154115491133806E-2</c:v>
                </c:pt>
                <c:pt idx="267">
                  <c:v>7.2978969139531696E-2</c:v>
                </c:pt>
                <c:pt idx="268">
                  <c:v>6.2458307866353299E-2</c:v>
                </c:pt>
                <c:pt idx="269">
                  <c:v>5.7230121691319802E-2</c:v>
                </c:pt>
                <c:pt idx="270">
                  <c:v>5.3676486016150902E-2</c:v>
                </c:pt>
                <c:pt idx="271">
                  <c:v>5.0657955970559401E-2</c:v>
                </c:pt>
                <c:pt idx="272">
                  <c:v>4.8020997304539098E-2</c:v>
                </c:pt>
                <c:pt idx="273">
                  <c:v>7.6741780542789795E-2</c:v>
                </c:pt>
                <c:pt idx="274">
                  <c:v>6.6855064675353099E-2</c:v>
                </c:pt>
                <c:pt idx="275">
                  <c:v>5.7207025763242103E-2</c:v>
                </c:pt>
                <c:pt idx="276">
                  <c:v>5.1125564901221901E-2</c:v>
                </c:pt>
                <c:pt idx="277">
                  <c:v>4.7135233983126398E-2</c:v>
                </c:pt>
                <c:pt idx="278">
                  <c:v>4.4334364364483403E-2</c:v>
                </c:pt>
                <c:pt idx="279">
                  <c:v>4.18143716157615E-2</c:v>
                </c:pt>
                <c:pt idx="280">
                  <c:v>0.1632228117889</c:v>
                </c:pt>
                <c:pt idx="281">
                  <c:v>0.14682503977946901</c:v>
                </c:pt>
                <c:pt idx="282">
                  <c:v>0.13272562444435501</c:v>
                </c:pt>
                <c:pt idx="283">
                  <c:v>0.120462998945132</c:v>
                </c:pt>
                <c:pt idx="284">
                  <c:v>0.109828747199789</c:v>
                </c:pt>
                <c:pt idx="285">
                  <c:v>0.100759320328387</c:v>
                </c:pt>
                <c:pt idx="286">
                  <c:v>9.2944044222057903E-2</c:v>
                </c:pt>
                <c:pt idx="287">
                  <c:v>0.115400625321084</c:v>
                </c:pt>
                <c:pt idx="288">
                  <c:v>9.7513329166430102E-2</c:v>
                </c:pt>
                <c:pt idx="289">
                  <c:v>8.7176829978909104E-2</c:v>
                </c:pt>
                <c:pt idx="290">
                  <c:v>7.9783942046344605E-2</c:v>
                </c:pt>
                <c:pt idx="291">
                  <c:v>7.3704927259634401E-2</c:v>
                </c:pt>
                <c:pt idx="292">
                  <c:v>6.86541780369537E-2</c:v>
                </c:pt>
                <c:pt idx="293">
                  <c:v>6.4150872139163595E-2</c:v>
                </c:pt>
                <c:pt idx="294">
                  <c:v>9.4706499005320993E-2</c:v>
                </c:pt>
                <c:pt idx="295">
                  <c:v>7.3828365802761503E-2</c:v>
                </c:pt>
                <c:pt idx="296">
                  <c:v>6.4787226643209406E-2</c:v>
                </c:pt>
                <c:pt idx="297">
                  <c:v>5.9910907141939501E-2</c:v>
                </c:pt>
                <c:pt idx="298">
                  <c:v>5.6158795236974597E-2</c:v>
                </c:pt>
                <c:pt idx="299">
                  <c:v>5.2889073880072399E-2</c:v>
                </c:pt>
                <c:pt idx="300">
                  <c:v>4.9959683644456701E-2</c:v>
                </c:pt>
                <c:pt idx="301">
                  <c:v>8.1012593677994502E-2</c:v>
                </c:pt>
                <c:pt idx="302">
                  <c:v>6.4137787378931402E-2</c:v>
                </c:pt>
                <c:pt idx="303">
                  <c:v>5.3695961536582203E-2</c:v>
                </c:pt>
                <c:pt idx="304">
                  <c:v>4.9286838161367898E-2</c:v>
                </c:pt>
                <c:pt idx="305">
                  <c:v>4.6379227850577603E-2</c:v>
                </c:pt>
                <c:pt idx="306">
                  <c:v>4.3877941436159702E-2</c:v>
                </c:pt>
                <c:pt idx="307">
                  <c:v>4.1616273397404598E-2</c:v>
                </c:pt>
                <c:pt idx="308">
                  <c:v>7.0298292098654E-2</c:v>
                </c:pt>
                <c:pt idx="309">
                  <c:v>6.0227409283321501E-2</c:v>
                </c:pt>
                <c:pt idx="310">
                  <c:v>4.94847364919003E-2</c:v>
                </c:pt>
                <c:pt idx="311">
                  <c:v>4.34630615393767E-2</c:v>
                </c:pt>
                <c:pt idx="312">
                  <c:v>4.0130061288363397E-2</c:v>
                </c:pt>
                <c:pt idx="313">
                  <c:v>3.7530425278337103E-2</c:v>
                </c:pt>
                <c:pt idx="314">
                  <c:v>3.5484180345502103E-2</c:v>
                </c:pt>
                <c:pt idx="315">
                  <c:v>0.14967025297380601</c:v>
                </c:pt>
                <c:pt idx="316">
                  <c:v>0.135577445930716</c:v>
                </c:pt>
                <c:pt idx="317">
                  <c:v>0.123013689105128</c:v>
                </c:pt>
                <c:pt idx="318">
                  <c:v>0.11147204148643</c:v>
                </c:pt>
                <c:pt idx="319">
                  <c:v>0.10172441910954599</c:v>
                </c:pt>
                <c:pt idx="320">
                  <c:v>9.2987687708645003E-2</c:v>
                </c:pt>
                <c:pt idx="321">
                  <c:v>8.5673461170654594E-2</c:v>
                </c:pt>
                <c:pt idx="322">
                  <c:v>0.104462817483475</c:v>
                </c:pt>
                <c:pt idx="323">
                  <c:v>8.8364973094949603E-2</c:v>
                </c:pt>
                <c:pt idx="324">
                  <c:v>7.9005007113341102E-2</c:v>
                </c:pt>
                <c:pt idx="325">
                  <c:v>7.2218960714118E-2</c:v>
                </c:pt>
                <c:pt idx="326">
                  <c:v>6.6663809492366805E-2</c:v>
                </c:pt>
                <c:pt idx="327">
                  <c:v>6.1792248496570598E-2</c:v>
                </c:pt>
                <c:pt idx="328">
                  <c:v>5.7557441799204002E-2</c:v>
                </c:pt>
                <c:pt idx="329">
                  <c:v>8.5715192428154702E-2</c:v>
                </c:pt>
                <c:pt idx="330">
                  <c:v>6.4705336137552305E-2</c:v>
                </c:pt>
                <c:pt idx="331">
                  <c:v>5.6731471209682E-2</c:v>
                </c:pt>
                <c:pt idx="332">
                  <c:v>5.2807628064704203E-2</c:v>
                </c:pt>
                <c:pt idx="333">
                  <c:v>4.9519560718863799E-2</c:v>
                </c:pt>
                <c:pt idx="334">
                  <c:v>4.66539996771363E-2</c:v>
                </c:pt>
                <c:pt idx="335">
                  <c:v>4.4040693714474097E-2</c:v>
                </c:pt>
                <c:pt idx="336">
                  <c:v>7.4088211315058203E-2</c:v>
                </c:pt>
                <c:pt idx="337">
                  <c:v>5.2413000000000001E-2</c:v>
                </c:pt>
                <c:pt idx="338">
                  <c:v>4.4724382813559997E-2</c:v>
                </c:pt>
                <c:pt idx="339">
                  <c:v>4.2057918490825498E-2</c:v>
                </c:pt>
                <c:pt idx="340">
                  <c:v>4.0026933407770297E-2</c:v>
                </c:pt>
                <c:pt idx="341">
                  <c:v>3.8030549842266802E-2</c:v>
                </c:pt>
                <c:pt idx="342">
                  <c:v>3.5985465972886398E-2</c:v>
                </c:pt>
                <c:pt idx="343">
                  <c:v>6.5062327915497695E-2</c:v>
                </c:pt>
                <c:pt idx="344">
                  <c:v>5.4046937177899101E-2</c:v>
                </c:pt>
                <c:pt idx="345">
                  <c:v>4.05929735914934E-2</c:v>
                </c:pt>
                <c:pt idx="346">
                  <c:v>3.4102E-2</c:v>
                </c:pt>
                <c:pt idx="347">
                  <c:v>3.2915851553496002E-2</c:v>
                </c:pt>
                <c:pt idx="348">
                  <c:v>3.1262902544545598E-2</c:v>
                </c:pt>
                <c:pt idx="349">
                  <c:v>2.96128221621389E-2</c:v>
                </c:pt>
              </c:numCache>
            </c:numRef>
          </c:xVal>
          <c:yVal>
            <c:numRef>
              <c:f>Munka3!$P$2:$P$351</c:f>
              <c:numCache>
                <c:formatCode>General</c:formatCode>
                <c:ptCount val="350"/>
                <c:pt idx="0">
                  <c:v>0.84730151424007849</c:v>
                </c:pt>
                <c:pt idx="1">
                  <c:v>0.69559258014120962</c:v>
                </c:pt>
                <c:pt idx="2">
                  <c:v>0.59788614798113127</c:v>
                </c:pt>
                <c:pt idx="3">
                  <c:v>0.52703536040835308</c:v>
                </c:pt>
                <c:pt idx="4">
                  <c:v>0.47597745918510337</c:v>
                </c:pt>
                <c:pt idx="5">
                  <c:v>0.43627645855285357</c:v>
                </c:pt>
                <c:pt idx="6">
                  <c:v>0.40593393912039888</c:v>
                </c:pt>
                <c:pt idx="7">
                  <c:v>0.63791562148082415</c:v>
                </c:pt>
                <c:pt idx="8">
                  <c:v>0.54654424886467412</c:v>
                </c:pt>
                <c:pt idx="9">
                  <c:v>0.48399163088714686</c:v>
                </c:pt>
                <c:pt idx="10">
                  <c:v>0.43925939579586276</c:v>
                </c:pt>
                <c:pt idx="11">
                  <c:v>0.40433423578605932</c:v>
                </c:pt>
                <c:pt idx="12">
                  <c:v>0.37677624592158349</c:v>
                </c:pt>
                <c:pt idx="13">
                  <c:v>0.35426841560677591</c:v>
                </c:pt>
                <c:pt idx="14">
                  <c:v>0.50770275474743909</c:v>
                </c:pt>
                <c:pt idx="15">
                  <c:v>0.45034190223512593</c:v>
                </c:pt>
                <c:pt idx="16">
                  <c:v>0.40676743458478248</c:v>
                </c:pt>
                <c:pt idx="17">
                  <c:v>0.37471377834328246</c:v>
                </c:pt>
                <c:pt idx="18">
                  <c:v>0.34986742913151919</c:v>
                </c:pt>
                <c:pt idx="19">
                  <c:v>0.32960582525362631</c:v>
                </c:pt>
                <c:pt idx="20">
                  <c:v>0.31239551807076643</c:v>
                </c:pt>
                <c:pt idx="21">
                  <c:v>0.40135004079776954</c:v>
                </c:pt>
                <c:pt idx="22">
                  <c:v>0.36799194479175051</c:v>
                </c:pt>
                <c:pt idx="23">
                  <c:v>0.34232714329150477</c:v>
                </c:pt>
                <c:pt idx="24">
                  <c:v>0.32269261930919257</c:v>
                </c:pt>
                <c:pt idx="25">
                  <c:v>0.30580663058732055</c:v>
                </c:pt>
                <c:pt idx="26">
                  <c:v>0.29071305893314819</c:v>
                </c:pt>
                <c:pt idx="27">
                  <c:v>0.27700695141513992</c:v>
                </c:pt>
                <c:pt idx="28">
                  <c:v>0.31159504291749029</c:v>
                </c:pt>
                <c:pt idx="29">
                  <c:v>0.2917378223202664</c:v>
                </c:pt>
                <c:pt idx="30">
                  <c:v>0.28377723959234208</c:v>
                </c:pt>
                <c:pt idx="31">
                  <c:v>0.27568442610450389</c:v>
                </c:pt>
                <c:pt idx="32">
                  <c:v>0.26649558710603455</c:v>
                </c:pt>
                <c:pt idx="33">
                  <c:v>0.25610821526109961</c:v>
                </c:pt>
                <c:pt idx="34">
                  <c:v>0.24528475764226823</c:v>
                </c:pt>
                <c:pt idx="35">
                  <c:v>0.51823420455556324</c:v>
                </c:pt>
                <c:pt idx="36">
                  <c:v>0.42585315088958053</c:v>
                </c:pt>
                <c:pt idx="37">
                  <c:v>0.36735881814287397</c:v>
                </c:pt>
                <c:pt idx="38">
                  <c:v>0.32676598940218721</c:v>
                </c:pt>
                <c:pt idx="39">
                  <c:v>0.29719979114851364</c:v>
                </c:pt>
                <c:pt idx="40">
                  <c:v>0.27486168131738326</c:v>
                </c:pt>
                <c:pt idx="41">
                  <c:v>0.25718967631825973</c:v>
                </c:pt>
                <c:pt idx="42">
                  <c:v>0.38611783013502643</c:v>
                </c:pt>
                <c:pt idx="43">
                  <c:v>0.32505462365330601</c:v>
                </c:pt>
                <c:pt idx="44">
                  <c:v>0.28708558713291915</c:v>
                </c:pt>
                <c:pt idx="45">
                  <c:v>0.2613510036294186</c:v>
                </c:pt>
                <c:pt idx="46">
                  <c:v>0.24154948920812552</c:v>
                </c:pt>
                <c:pt idx="47">
                  <c:v>0.22587105870587082</c:v>
                </c:pt>
                <c:pt idx="48">
                  <c:v>0.21294985587417195</c:v>
                </c:pt>
                <c:pt idx="49">
                  <c:v>0.31293268243589006</c:v>
                </c:pt>
                <c:pt idx="50">
                  <c:v>0.27285788128734878</c:v>
                </c:pt>
                <c:pt idx="51">
                  <c:v>0.2439982984095142</c:v>
                </c:pt>
                <c:pt idx="52">
                  <c:v>0.22373705220213089</c:v>
                </c:pt>
                <c:pt idx="53">
                  <c:v>0.2085053518741804</c:v>
                </c:pt>
                <c:pt idx="54">
                  <c:v>0.19604303856135566</c:v>
                </c:pt>
                <c:pt idx="55">
                  <c:v>0.18561155124853537</c:v>
                </c:pt>
                <c:pt idx="56">
                  <c:v>0.25517706022511133</c:v>
                </c:pt>
                <c:pt idx="57">
                  <c:v>0.23185638680652604</c:v>
                </c:pt>
                <c:pt idx="58">
                  <c:v>0.21152603060763567</c:v>
                </c:pt>
                <c:pt idx="59">
                  <c:v>0.19639508279214293</c:v>
                </c:pt>
                <c:pt idx="60">
                  <c:v>0.18437511440754978</c:v>
                </c:pt>
                <c:pt idx="61">
                  <c:v>0.17426559758029209</c:v>
                </c:pt>
                <c:pt idx="62">
                  <c:v>0.16514493440045322</c:v>
                </c:pt>
                <c:pt idx="63">
                  <c:v>0.20719584582842671</c:v>
                </c:pt>
                <c:pt idx="64">
                  <c:v>0.19261445705995386</c:v>
                </c:pt>
                <c:pt idx="65">
                  <c:v>0.18172845519414135</c:v>
                </c:pt>
                <c:pt idx="66">
                  <c:v>0.17205164743697268</c:v>
                </c:pt>
                <c:pt idx="67">
                  <c:v>0.16329384000846908</c:v>
                </c:pt>
                <c:pt idx="68">
                  <c:v>0.15504820366372776</c:v>
                </c:pt>
                <c:pt idx="69">
                  <c:v>0.14737447044938617</c:v>
                </c:pt>
                <c:pt idx="70">
                  <c:v>0.388458660472769</c:v>
                </c:pt>
                <c:pt idx="71">
                  <c:v>0.32205560724796095</c:v>
                </c:pt>
                <c:pt idx="72">
                  <c:v>0.27990411193875842</c:v>
                </c:pt>
                <c:pt idx="73">
                  <c:v>0.2501753327001609</c:v>
                </c:pt>
                <c:pt idx="74">
                  <c:v>0.22856892187469552</c:v>
                </c:pt>
                <c:pt idx="75">
                  <c:v>0.21199262744831307</c:v>
                </c:pt>
                <c:pt idx="76">
                  <c:v>0.19858526835403217</c:v>
                </c:pt>
                <c:pt idx="77">
                  <c:v>0.28646492335454848</c:v>
                </c:pt>
                <c:pt idx="78">
                  <c:v>0.23775459168204627</c:v>
                </c:pt>
                <c:pt idx="79">
                  <c:v>0.20951667336059801</c:v>
                </c:pt>
                <c:pt idx="80">
                  <c:v>0.19112254150290703</c:v>
                </c:pt>
                <c:pt idx="81">
                  <c:v>0.17693927764210854</c:v>
                </c:pt>
                <c:pt idx="82">
                  <c:v>0.16567894857646193</c:v>
                </c:pt>
                <c:pt idx="83">
                  <c:v>0.15633017734840843</c:v>
                </c:pt>
                <c:pt idx="84">
                  <c:v>0.23327442238905988</c:v>
                </c:pt>
                <c:pt idx="85">
                  <c:v>0.19896017858991555</c:v>
                </c:pt>
                <c:pt idx="86">
                  <c:v>0.17617377451217336</c:v>
                </c:pt>
                <c:pt idx="87">
                  <c:v>0.16120714026844452</c:v>
                </c:pt>
                <c:pt idx="88">
                  <c:v>0.15016599342021261</c:v>
                </c:pt>
                <c:pt idx="89">
                  <c:v>0.14122121134754848</c:v>
                </c:pt>
                <c:pt idx="90">
                  <c:v>0.13356135299128385</c:v>
                </c:pt>
                <c:pt idx="91">
                  <c:v>0.19271235617870006</c:v>
                </c:pt>
                <c:pt idx="92">
                  <c:v>0.17199937918885572</c:v>
                </c:pt>
                <c:pt idx="93">
                  <c:v>0.15427200083240578</c:v>
                </c:pt>
                <c:pt idx="94">
                  <c:v>0.14188013290204418</c:v>
                </c:pt>
                <c:pt idx="95">
                  <c:v>0.13241847062979956</c:v>
                </c:pt>
                <c:pt idx="96">
                  <c:v>0.12475067241330867</c:v>
                </c:pt>
                <c:pt idx="97">
                  <c:v>0.11803837517850227</c:v>
                </c:pt>
                <c:pt idx="98">
                  <c:v>0.15975032050347629</c:v>
                </c:pt>
                <c:pt idx="99">
                  <c:v>0.1470383820343272</c:v>
                </c:pt>
                <c:pt idx="100">
                  <c:v>0.13537828565179399</c:v>
                </c:pt>
                <c:pt idx="101">
                  <c:v>0.12589003694901407</c:v>
                </c:pt>
                <c:pt idx="102">
                  <c:v>0.11807256365692842</c:v>
                </c:pt>
                <c:pt idx="103">
                  <c:v>0.11125439483345269</c:v>
                </c:pt>
                <c:pt idx="104">
                  <c:v>0.10526367851339073</c:v>
                </c:pt>
                <c:pt idx="105">
                  <c:v>0.31426205729632989</c:v>
                </c:pt>
                <c:pt idx="106">
                  <c:v>0.26465046857261149</c:v>
                </c:pt>
                <c:pt idx="107">
                  <c:v>0.23184855103159591</c:v>
                </c:pt>
                <c:pt idx="108">
                  <c:v>0.20847602637534382</c:v>
                </c:pt>
                <c:pt idx="109">
                  <c:v>0.19106352575760857</c:v>
                </c:pt>
                <c:pt idx="110">
                  <c:v>0.17699637214026057</c:v>
                </c:pt>
                <c:pt idx="111">
                  <c:v>0.1660100037367101</c:v>
                </c:pt>
                <c:pt idx="112">
                  <c:v>0.23040439241792002</c:v>
                </c:pt>
                <c:pt idx="113">
                  <c:v>0.18949779542211018</c:v>
                </c:pt>
                <c:pt idx="114">
                  <c:v>0.16709282834874381</c:v>
                </c:pt>
                <c:pt idx="115">
                  <c:v>0.15240632556805178</c:v>
                </c:pt>
                <c:pt idx="116">
                  <c:v>0.14118763210262431</c:v>
                </c:pt>
                <c:pt idx="117">
                  <c:v>0.13219790518782482</c:v>
                </c:pt>
                <c:pt idx="118">
                  <c:v>0.12478440617720288</c:v>
                </c:pt>
                <c:pt idx="119">
                  <c:v>0.18849498335828169</c:v>
                </c:pt>
                <c:pt idx="120">
                  <c:v>0.15710132869933774</c:v>
                </c:pt>
                <c:pt idx="121">
                  <c:v>0.13780887402077979</c:v>
                </c:pt>
                <c:pt idx="122">
                  <c:v>0.12605628461479737</c:v>
                </c:pt>
                <c:pt idx="123">
                  <c:v>0.11724779896676324</c:v>
                </c:pt>
                <c:pt idx="124">
                  <c:v>0.11027813543693581</c:v>
                </c:pt>
                <c:pt idx="125">
                  <c:v>0.10432740342167802</c:v>
                </c:pt>
                <c:pt idx="126">
                  <c:v>0.15737838259447823</c:v>
                </c:pt>
                <c:pt idx="127">
                  <c:v>0.13720457540337039</c:v>
                </c:pt>
                <c:pt idx="128">
                  <c:v>0.12098771548444566</c:v>
                </c:pt>
                <c:pt idx="129">
                  <c:v>0.11047486589057952</c:v>
                </c:pt>
                <c:pt idx="130">
                  <c:v>0.10272478927974615</c:v>
                </c:pt>
                <c:pt idx="131">
                  <c:v>9.6579173965921791E-2</c:v>
                </c:pt>
                <c:pt idx="132">
                  <c:v>9.1140845094079312E-2</c:v>
                </c:pt>
                <c:pt idx="133">
                  <c:v>0.13219982561304164</c:v>
                </c:pt>
                <c:pt idx="134">
                  <c:v>0.11980285491772283</c:v>
                </c:pt>
                <c:pt idx="135">
                  <c:v>0.10802963241147898</c:v>
                </c:pt>
                <c:pt idx="136">
                  <c:v>9.8606038248694322E-2</c:v>
                </c:pt>
                <c:pt idx="137">
                  <c:v>9.174454162715541E-2</c:v>
                </c:pt>
                <c:pt idx="138">
                  <c:v>8.6026914355438161E-2</c:v>
                </c:pt>
                <c:pt idx="139">
                  <c:v>8.0739835908207686E-2</c:v>
                </c:pt>
                <c:pt idx="140">
                  <c:v>0.26667852591324559</c:v>
                </c:pt>
                <c:pt idx="141">
                  <c:v>0.2273876412094632</c:v>
                </c:pt>
                <c:pt idx="142">
                  <c:v>0.20097906850370728</c:v>
                </c:pt>
                <c:pt idx="143">
                  <c:v>0.18110096468041562</c:v>
                </c:pt>
                <c:pt idx="144">
                  <c:v>0.16610648251759338</c:v>
                </c:pt>
                <c:pt idx="145">
                  <c:v>0.15404847632265067</c:v>
                </c:pt>
                <c:pt idx="146">
                  <c:v>0.14397447863151838</c:v>
                </c:pt>
                <c:pt idx="147">
                  <c:v>0.19363728382491949</c:v>
                </c:pt>
                <c:pt idx="148">
                  <c:v>0.1584459328183345</c:v>
                </c:pt>
                <c:pt idx="149">
                  <c:v>0.13978172310141387</c:v>
                </c:pt>
                <c:pt idx="150">
                  <c:v>0.12735873849993107</c:v>
                </c:pt>
                <c:pt idx="151">
                  <c:v>0.11794376854366187</c:v>
                </c:pt>
                <c:pt idx="152">
                  <c:v>0.1104460008268805</c:v>
                </c:pt>
                <c:pt idx="153">
                  <c:v>0.10402513441081768</c:v>
                </c:pt>
                <c:pt idx="154">
                  <c:v>0.15909840874344794</c:v>
                </c:pt>
                <c:pt idx="155">
                  <c:v>0.1295647499250841</c:v>
                </c:pt>
                <c:pt idx="156">
                  <c:v>0.11282681248972762</c:v>
                </c:pt>
                <c:pt idx="157">
                  <c:v>0.10299842275374239</c:v>
                </c:pt>
                <c:pt idx="158">
                  <c:v>9.5908529596690481E-2</c:v>
                </c:pt>
                <c:pt idx="159">
                  <c:v>9.0036210105717551E-2</c:v>
                </c:pt>
                <c:pt idx="160">
                  <c:v>8.5130992546646189E-2</c:v>
                </c:pt>
                <c:pt idx="161">
                  <c:v>0.1339414630325069</c:v>
                </c:pt>
                <c:pt idx="162">
                  <c:v>0.11390602850205632</c:v>
                </c:pt>
                <c:pt idx="163">
                  <c:v>9.8746438969505246E-2</c:v>
                </c:pt>
                <c:pt idx="164">
                  <c:v>8.9750066841921355E-2</c:v>
                </c:pt>
                <c:pt idx="165">
                  <c:v>8.308458505207382E-2</c:v>
                </c:pt>
                <c:pt idx="166">
                  <c:v>7.7975330726318626E-2</c:v>
                </c:pt>
                <c:pt idx="167">
                  <c:v>7.3398230351493648E-2</c:v>
                </c:pt>
                <c:pt idx="168">
                  <c:v>0.11411907652101295</c:v>
                </c:pt>
                <c:pt idx="169">
                  <c:v>0.10124254723909105</c:v>
                </c:pt>
                <c:pt idx="170">
                  <c:v>8.9200634574384763E-2</c:v>
                </c:pt>
                <c:pt idx="171">
                  <c:v>8.0436565977466457E-2</c:v>
                </c:pt>
                <c:pt idx="172">
                  <c:v>7.4167254627247881E-2</c:v>
                </c:pt>
                <c:pt idx="173">
                  <c:v>6.8996101050652556E-2</c:v>
                </c:pt>
                <c:pt idx="174">
                  <c:v>6.4631922865429139E-2</c:v>
                </c:pt>
                <c:pt idx="175">
                  <c:v>0.23193570182916773</c:v>
                </c:pt>
                <c:pt idx="176">
                  <c:v>0.20088264164975078</c:v>
                </c:pt>
                <c:pt idx="177">
                  <c:v>0.17867179150943358</c:v>
                </c:pt>
                <c:pt idx="178">
                  <c:v>0.16193316885835521</c:v>
                </c:pt>
                <c:pt idx="179">
                  <c:v>0.14809028576391023</c:v>
                </c:pt>
                <c:pt idx="180">
                  <c:v>0.13703570923729644</c:v>
                </c:pt>
                <c:pt idx="181">
                  <c:v>0.12760126241958103</c:v>
                </c:pt>
                <c:pt idx="182">
                  <c:v>0.16677016814182616</c:v>
                </c:pt>
                <c:pt idx="183">
                  <c:v>0.13634664001572383</c:v>
                </c:pt>
                <c:pt idx="184">
                  <c:v>0.12028432391431534</c:v>
                </c:pt>
                <c:pt idx="185">
                  <c:v>0.10971058582410866</c:v>
                </c:pt>
                <c:pt idx="186">
                  <c:v>0.10143669328412737</c:v>
                </c:pt>
                <c:pt idx="187">
                  <c:v>9.4746134810316726E-2</c:v>
                </c:pt>
                <c:pt idx="188">
                  <c:v>8.903986656096341E-2</c:v>
                </c:pt>
                <c:pt idx="189">
                  <c:v>0.13790863216377761</c:v>
                </c:pt>
                <c:pt idx="190">
                  <c:v>0.10960212799805467</c:v>
                </c:pt>
                <c:pt idx="191">
                  <c:v>9.4980445387998991E-2</c:v>
                </c:pt>
                <c:pt idx="192">
                  <c:v>8.6579426170353094E-2</c:v>
                </c:pt>
                <c:pt idx="193">
                  <c:v>8.0557356784787051E-2</c:v>
                </c:pt>
                <c:pt idx="194">
                  <c:v>7.5581919487057211E-2</c:v>
                </c:pt>
                <c:pt idx="195">
                  <c:v>7.1279493945520786E-2</c:v>
                </c:pt>
                <c:pt idx="196">
                  <c:v>0.11720222712104413</c:v>
                </c:pt>
                <c:pt idx="197">
                  <c:v>9.68705125195157E-2</c:v>
                </c:pt>
                <c:pt idx="198">
                  <c:v>8.249692583661726E-2</c:v>
                </c:pt>
                <c:pt idx="199">
                  <c:v>7.4453374863989119E-2</c:v>
                </c:pt>
                <c:pt idx="200">
                  <c:v>6.8942839682944637E-2</c:v>
                </c:pt>
                <c:pt idx="201">
                  <c:v>6.4485469718834634E-2</c:v>
                </c:pt>
                <c:pt idx="202">
                  <c:v>6.0736025169825056E-2</c:v>
                </c:pt>
                <c:pt idx="203">
                  <c:v>0.10078309557138934</c:v>
                </c:pt>
                <c:pt idx="204">
                  <c:v>8.7637632982806926E-2</c:v>
                </c:pt>
                <c:pt idx="205">
                  <c:v>7.5299479381327056E-2</c:v>
                </c:pt>
                <c:pt idx="206">
                  <c:v>6.6979924256701698E-2</c:v>
                </c:pt>
                <c:pt idx="207">
                  <c:v>6.1504019832650692E-2</c:v>
                </c:pt>
                <c:pt idx="208">
                  <c:v>5.6768666052857415E-2</c:v>
                </c:pt>
                <c:pt idx="209">
                  <c:v>5.28492459824366E-2</c:v>
                </c:pt>
                <c:pt idx="210">
                  <c:v>0.20604638401541692</c:v>
                </c:pt>
                <c:pt idx="211">
                  <c:v>0.18091505859394738</c:v>
                </c:pt>
                <c:pt idx="212">
                  <c:v>0.16196922755550497</c:v>
                </c:pt>
                <c:pt idx="213">
                  <c:v>0.1465964858568384</c:v>
                </c:pt>
                <c:pt idx="214">
                  <c:v>0.13421935382808589</c:v>
                </c:pt>
                <c:pt idx="215">
                  <c:v>0.12382701561338647</c:v>
                </c:pt>
                <c:pt idx="216">
                  <c:v>0.11499878007762808</c:v>
                </c:pt>
                <c:pt idx="217">
                  <c:v>0.14649710904880517</c:v>
                </c:pt>
                <c:pt idx="218">
                  <c:v>0.11975569504333473</c:v>
                </c:pt>
                <c:pt idx="219">
                  <c:v>0.10583809870699667</c:v>
                </c:pt>
                <c:pt idx="220">
                  <c:v>9.6281347998541683E-2</c:v>
                </c:pt>
                <c:pt idx="221">
                  <c:v>8.8838512821026561E-2</c:v>
                </c:pt>
                <c:pt idx="222">
                  <c:v>8.2843702022444343E-2</c:v>
                </c:pt>
                <c:pt idx="223">
                  <c:v>7.7632792883809032E-2</c:v>
                </c:pt>
                <c:pt idx="224">
                  <c:v>0.12142858812815767</c:v>
                </c:pt>
                <c:pt idx="225">
                  <c:v>9.4333954095240299E-2</c:v>
                </c:pt>
                <c:pt idx="226">
                  <c:v>8.1269729005386912E-2</c:v>
                </c:pt>
                <c:pt idx="227">
                  <c:v>7.4076741997454273E-2</c:v>
                </c:pt>
                <c:pt idx="228">
                  <c:v>6.8859081561675195E-2</c:v>
                </c:pt>
                <c:pt idx="229">
                  <c:v>6.4556229776231294E-2</c:v>
                </c:pt>
                <c:pt idx="230">
                  <c:v>6.0770542021730489E-2</c:v>
                </c:pt>
                <c:pt idx="231">
                  <c:v>0.10430175398583502</c:v>
                </c:pt>
                <c:pt idx="232">
                  <c:v>8.3464287030132103E-2</c:v>
                </c:pt>
                <c:pt idx="233">
                  <c:v>6.9938884025686099E-2</c:v>
                </c:pt>
                <c:pt idx="234">
                  <c:v>6.268709272073196E-2</c:v>
                </c:pt>
                <c:pt idx="235">
                  <c:v>5.8017844740323517E-2</c:v>
                </c:pt>
                <c:pt idx="236">
                  <c:v>5.4244936259171858E-2</c:v>
                </c:pt>
                <c:pt idx="237">
                  <c:v>5.1025088498440313E-2</c:v>
                </c:pt>
                <c:pt idx="238">
                  <c:v>9.0671563375260042E-2</c:v>
                </c:pt>
                <c:pt idx="239">
                  <c:v>7.7176753293048517E-2</c:v>
                </c:pt>
                <c:pt idx="240">
                  <c:v>6.4461972290290201E-2</c:v>
                </c:pt>
                <c:pt idx="241">
                  <c:v>5.634715539351038E-2</c:v>
                </c:pt>
                <c:pt idx="242">
                  <c:v>5.1041092237661956E-2</c:v>
                </c:pt>
                <c:pt idx="243">
                  <c:v>4.6906552774174118E-2</c:v>
                </c:pt>
                <c:pt idx="244">
                  <c:v>4.3815038329754134E-2</c:v>
                </c:pt>
                <c:pt idx="245">
                  <c:v>0.18594790624657623</c:v>
                </c:pt>
                <c:pt idx="246">
                  <c:v>0.16493509866877193</c:v>
                </c:pt>
                <c:pt idx="247">
                  <c:v>0.14855083988314388</c:v>
                </c:pt>
                <c:pt idx="248">
                  <c:v>0.13444632100737081</c:v>
                </c:pt>
                <c:pt idx="249">
                  <c:v>0.12281055087071796</c:v>
                </c:pt>
                <c:pt idx="250">
                  <c:v>0.11281650697588312</c:v>
                </c:pt>
                <c:pt idx="251">
                  <c:v>0.10437804711585498</c:v>
                </c:pt>
                <c:pt idx="252">
                  <c:v>0.13006802017411739</c:v>
                </c:pt>
                <c:pt idx="253">
                  <c:v>0.106570614367773</c:v>
                </c:pt>
                <c:pt idx="254">
                  <c:v>9.4146634726817224E-2</c:v>
                </c:pt>
                <c:pt idx="255">
                  <c:v>8.5661434847720333E-2</c:v>
                </c:pt>
                <c:pt idx="256">
                  <c:v>7.8938404977571583E-2</c:v>
                </c:pt>
                <c:pt idx="257">
                  <c:v>7.3309044221309211E-2</c:v>
                </c:pt>
                <c:pt idx="258">
                  <c:v>6.8442664830260375E-2</c:v>
                </c:pt>
                <c:pt idx="259">
                  <c:v>0.1081610937359201</c:v>
                </c:pt>
                <c:pt idx="260">
                  <c:v>8.1985662302606496E-2</c:v>
                </c:pt>
                <c:pt idx="261">
                  <c:v>7.0427491802547773E-2</c:v>
                </c:pt>
                <c:pt idx="262">
                  <c:v>6.416660782732829E-2</c:v>
                </c:pt>
                <c:pt idx="263">
                  <c:v>5.956032862442602E-2</c:v>
                </c:pt>
                <c:pt idx="264">
                  <c:v>5.5767571476762645E-2</c:v>
                </c:pt>
                <c:pt idx="265">
                  <c:v>5.2435313252359068E-2</c:v>
                </c:pt>
                <c:pt idx="266">
                  <c:v>9.4202668938871179E-2</c:v>
                </c:pt>
                <c:pt idx="267">
                  <c:v>7.2352427603075795E-2</c:v>
                </c:pt>
                <c:pt idx="268">
                  <c:v>5.9407280633189084E-2</c:v>
                </c:pt>
                <c:pt idx="269">
                  <c:v>5.3329091634575047E-2</c:v>
                </c:pt>
                <c:pt idx="270">
                  <c:v>4.9323975425975448E-2</c:v>
                </c:pt>
                <c:pt idx="271">
                  <c:v>4.6042375737802552E-2</c:v>
                </c:pt>
                <c:pt idx="272">
                  <c:v>4.3245233457347806E-2</c:v>
                </c:pt>
                <c:pt idx="273">
                  <c:v>8.2799670574083842E-2</c:v>
                </c:pt>
                <c:pt idx="274">
                  <c:v>6.8168123224772975E-2</c:v>
                </c:pt>
                <c:pt idx="275">
                  <c:v>5.5064998468011966E-2</c:v>
                </c:pt>
                <c:pt idx="276">
                  <c:v>4.7404033942944533E-2</c:v>
                </c:pt>
                <c:pt idx="277">
                  <c:v>4.2622204491300546E-2</c:v>
                </c:pt>
                <c:pt idx="278">
                  <c:v>3.9412639446335392E-2</c:v>
                </c:pt>
                <c:pt idx="279">
                  <c:v>3.662933999999169E-2</c:v>
                </c:pt>
                <c:pt idx="280">
                  <c:v>0.17009646679045598</c:v>
                </c:pt>
                <c:pt idx="281">
                  <c:v>0.15216852625436067</c:v>
                </c:pt>
                <c:pt idx="282">
                  <c:v>0.13726645769486001</c:v>
                </c:pt>
                <c:pt idx="283">
                  <c:v>0.12437413964896263</c:v>
                </c:pt>
                <c:pt idx="284">
                  <c:v>0.11314798365044228</c:v>
                </c:pt>
                <c:pt idx="285">
                  <c:v>0.10356120143834814</c:v>
                </c:pt>
                <c:pt idx="286">
                  <c:v>9.529354543426001E-2</c:v>
                </c:pt>
                <c:pt idx="287">
                  <c:v>0.11686963460646475</c:v>
                </c:pt>
                <c:pt idx="288">
                  <c:v>9.6108403901570189E-2</c:v>
                </c:pt>
                <c:pt idx="289">
                  <c:v>8.4764372468375399E-2</c:v>
                </c:pt>
                <c:pt idx="290">
                  <c:v>7.6912870844268927E-2</c:v>
                </c:pt>
                <c:pt idx="291">
                  <c:v>7.059350694279351E-2</c:v>
                </c:pt>
                <c:pt idx="292">
                  <c:v>6.5432533898016135E-2</c:v>
                </c:pt>
                <c:pt idx="293">
                  <c:v>6.0889050655307274E-2</c:v>
                </c:pt>
                <c:pt idx="294">
                  <c:v>9.725115699862108E-2</c:v>
                </c:pt>
                <c:pt idx="295">
                  <c:v>7.1531949390688812E-2</c:v>
                </c:pt>
                <c:pt idx="296">
                  <c:v>6.1281000045905379E-2</c:v>
                </c:pt>
                <c:pt idx="297">
                  <c:v>5.5944241118467304E-2</c:v>
                </c:pt>
                <c:pt idx="298">
                  <c:v>5.1956027835852382E-2</c:v>
                </c:pt>
                <c:pt idx="299">
                  <c:v>4.8552226082990944E-2</c:v>
                </c:pt>
                <c:pt idx="300">
                  <c:v>4.5568429064306401E-2</c:v>
                </c:pt>
                <c:pt idx="301">
                  <c:v>8.5496017179688341E-2</c:v>
                </c:pt>
                <c:pt idx="302">
                  <c:v>6.2813317274477393E-2</c:v>
                </c:pt>
                <c:pt idx="303">
                  <c:v>5.0225275375960658E-2</c:v>
                </c:pt>
                <c:pt idx="304">
                  <c:v>4.5187888078081558E-2</c:v>
                </c:pt>
                <c:pt idx="305">
                  <c:v>4.1952595793492344E-2</c:v>
                </c:pt>
                <c:pt idx="306">
                  <c:v>3.9252906717954381E-2</c:v>
                </c:pt>
                <c:pt idx="307">
                  <c:v>3.6874283372119614E-2</c:v>
                </c:pt>
                <c:pt idx="308">
                  <c:v>7.5987414103929299E-2</c:v>
                </c:pt>
                <c:pt idx="309">
                  <c:v>6.0982488594354935E-2</c:v>
                </c:pt>
                <c:pt idx="310">
                  <c:v>4.6661230779826798E-2</c:v>
                </c:pt>
                <c:pt idx="311">
                  <c:v>3.9298273045440806E-2</c:v>
                </c:pt>
                <c:pt idx="312">
                  <c:v>3.5416738938065503E-2</c:v>
                </c:pt>
                <c:pt idx="313">
                  <c:v>3.2527163464548051E-2</c:v>
                </c:pt>
                <c:pt idx="314">
                  <c:v>3.0306677147102064E-2</c:v>
                </c:pt>
                <c:pt idx="315">
                  <c:v>0.15714042840136125</c:v>
                </c:pt>
                <c:pt idx="316">
                  <c:v>0.14148812030449459</c:v>
                </c:pt>
                <c:pt idx="317">
                  <c:v>0.12794207035577126</c:v>
                </c:pt>
                <c:pt idx="318">
                  <c:v>0.1154929299623985</c:v>
                </c:pt>
                <c:pt idx="319">
                  <c:v>0.10498568847079638</c:v>
                </c:pt>
                <c:pt idx="320">
                  <c:v>9.5544798234825257E-2</c:v>
                </c:pt>
                <c:pt idx="321">
                  <c:v>8.767433084246691E-2</c:v>
                </c:pt>
                <c:pt idx="322">
                  <c:v>0.10587472749580551</c:v>
                </c:pt>
                <c:pt idx="323">
                  <c:v>8.7117822657972466E-2</c:v>
                </c:pt>
                <c:pt idx="324">
                  <c:v>7.6780589309109873E-2</c:v>
                </c:pt>
                <c:pt idx="325">
                  <c:v>6.9519224447235628E-2</c:v>
                </c:pt>
                <c:pt idx="326">
                  <c:v>6.3690068651159129E-2</c:v>
                </c:pt>
                <c:pt idx="327">
                  <c:v>5.8651407731044082E-2</c:v>
                </c:pt>
                <c:pt idx="328">
                  <c:v>5.434345597547259E-2</c:v>
                </c:pt>
                <c:pt idx="329">
                  <c:v>8.7725009122493577E-2</c:v>
                </c:pt>
                <c:pt idx="330">
                  <c:v>6.2119026364838924E-2</c:v>
                </c:pt>
                <c:pt idx="331">
                  <c:v>5.318398694554094E-2</c:v>
                </c:pt>
                <c:pt idx="332">
                  <c:v>4.8903685705798748E-2</c:v>
                </c:pt>
                <c:pt idx="333">
                  <c:v>4.5414510162037347E-2</c:v>
                </c:pt>
                <c:pt idx="334">
                  <c:v>4.24351721689138E-2</c:v>
                </c:pt>
                <c:pt idx="335">
                  <c:v>3.9775812031057199E-2</c:v>
                </c:pt>
                <c:pt idx="336">
                  <c:v>7.8010449421046707E-2</c:v>
                </c:pt>
                <c:pt idx="337">
                  <c:v>5.1242996489992039E-2</c:v>
                </c:pt>
                <c:pt idx="338">
                  <c:v>4.0863664436768567E-2</c:v>
                </c:pt>
                <c:pt idx="339">
                  <c:v>3.7863048531145575E-2</c:v>
                </c:pt>
                <c:pt idx="340">
                  <c:v>3.5620806553198985E-2</c:v>
                </c:pt>
                <c:pt idx="341">
                  <c:v>3.3497533704830336E-2</c:v>
                </c:pt>
                <c:pt idx="342">
                  <c:v>3.1374476412987136E-2</c:v>
                </c:pt>
                <c:pt idx="343">
                  <c:v>7.0485823460362459E-2</c:v>
                </c:pt>
                <c:pt idx="344">
                  <c:v>5.4089092218558697E-2</c:v>
                </c:pt>
                <c:pt idx="345">
                  <c:v>3.6848157465591454E-2</c:v>
                </c:pt>
                <c:pt idx="346">
                  <c:v>3.0412409359848298E-2</c:v>
                </c:pt>
                <c:pt idx="347">
                  <c:v>2.8088526371317001E-2</c:v>
                </c:pt>
                <c:pt idx="348">
                  <c:v>2.630130548701258E-2</c:v>
                </c:pt>
                <c:pt idx="349">
                  <c:v>2.4569910077889199E-2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8-43A2-936A-24E818A24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36"/>
        <c:axId val="704806512"/>
      </c:scatterChart>
      <c:valAx>
        <c:axId val="704809136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4806512"/>
        <c:crosses val="autoZero"/>
        <c:crossBetween val="midCat"/>
      </c:valAx>
      <c:valAx>
        <c:axId val="704806512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480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41</xdr:row>
      <xdr:rowOff>38100</xdr:rowOff>
    </xdr:from>
    <xdr:to>
      <xdr:col>16</xdr:col>
      <xdr:colOff>342900</xdr:colOff>
      <xdr:row>66</xdr:row>
      <xdr:rowOff>85726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5FDCA2A-34E4-92BD-BB1D-7BCFCFB72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333375</xdr:colOff>
      <xdr:row>21</xdr:row>
      <xdr:rowOff>185737</xdr:rowOff>
    </xdr:from>
    <xdr:to>
      <xdr:col>23</xdr:col>
      <xdr:colOff>28575</xdr:colOff>
      <xdr:row>50</xdr:row>
      <xdr:rowOff>71437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94D9B09-52BD-0089-245B-35F1473F0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</xdr:colOff>
      <xdr:row>40</xdr:row>
      <xdr:rowOff>42861</xdr:rowOff>
    </xdr:from>
    <xdr:to>
      <xdr:col>20</xdr:col>
      <xdr:colOff>390524</xdr:colOff>
      <xdr:row>73</xdr:row>
      <xdr:rowOff>19050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1F34859-2328-9911-8210-73EAA3BB6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144075</xdr:colOff>
      <xdr:row>8</xdr:row>
      <xdr:rowOff>55230</xdr:rowOff>
    </xdr:from>
    <xdr:to>
      <xdr:col>33</xdr:col>
      <xdr:colOff>531478</xdr:colOff>
      <xdr:row>35</xdr:row>
      <xdr:rowOff>96052</xdr:rowOff>
    </xdr:to>
    <xdr:graphicFrame macro="">
      <xdr:nvGraphicFramePr>
        <xdr:cNvPr id="17" name="Diagram 16">
          <a:extLst>
            <a:ext uri="{FF2B5EF4-FFF2-40B4-BE49-F238E27FC236}">
              <a16:creationId xmlns:a16="http://schemas.microsoft.com/office/drawing/2014/main" id="{18F84DF4-57A6-594B-4E10-72DCECF21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2258-5710-475E-83E1-103376DDF8FA}">
  <sheetPr filterMode="1"/>
  <dimension ref="B1:P40"/>
  <sheetViews>
    <sheetView workbookViewId="0">
      <selection activeCell="P2" sqref="C1:P2"/>
    </sheetView>
  </sheetViews>
  <sheetFormatPr defaultRowHeight="15" x14ac:dyDescent="0.25"/>
  <sheetData>
    <row r="1" spans="2:16" x14ac:dyDescent="0.25">
      <c r="F1">
        <v>0</v>
      </c>
      <c r="G1">
        <v>200</v>
      </c>
      <c r="H1">
        <v>300</v>
      </c>
      <c r="I1">
        <v>450</v>
      </c>
      <c r="J1">
        <v>600</v>
      </c>
      <c r="K1">
        <v>900</v>
      </c>
      <c r="L1">
        <v>1200</v>
      </c>
    </row>
    <row r="2" spans="2:16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2:16" hidden="1" x14ac:dyDescent="0.25">
      <c r="B3" t="s">
        <v>0</v>
      </c>
      <c r="C3">
        <v>12250</v>
      </c>
      <c r="D3">
        <v>1</v>
      </c>
      <c r="E3">
        <v>5668</v>
      </c>
      <c r="F3">
        <v>606</v>
      </c>
      <c r="G3">
        <v>421</v>
      </c>
      <c r="H3">
        <v>298</v>
      </c>
      <c r="I3">
        <v>185</v>
      </c>
      <c r="J3">
        <v>136</v>
      </c>
      <c r="K3">
        <v>77</v>
      </c>
      <c r="L3">
        <v>55</v>
      </c>
      <c r="M3">
        <v>13</v>
      </c>
      <c r="N3">
        <v>17</v>
      </c>
      <c r="O3">
        <v>298</v>
      </c>
      <c r="P3" s="1">
        <v>0.34560185185185183</v>
      </c>
    </row>
    <row r="4" spans="2:16" x14ac:dyDescent="0.25">
      <c r="B4" t="s">
        <v>0</v>
      </c>
      <c r="C4">
        <v>12250</v>
      </c>
      <c r="D4">
        <v>2</v>
      </c>
      <c r="E4">
        <v>5774</v>
      </c>
      <c r="F4">
        <v>572</v>
      </c>
      <c r="G4">
        <v>402</v>
      </c>
      <c r="H4">
        <v>287</v>
      </c>
      <c r="I4">
        <v>197</v>
      </c>
      <c r="J4">
        <v>135</v>
      </c>
      <c r="K4">
        <v>77</v>
      </c>
      <c r="L4">
        <v>55</v>
      </c>
      <c r="M4">
        <v>13</v>
      </c>
      <c r="N4">
        <v>17</v>
      </c>
      <c r="O4">
        <v>321</v>
      </c>
      <c r="P4" s="1">
        <v>0.34575231481481478</v>
      </c>
    </row>
    <row r="5" spans="2:16" hidden="1" x14ac:dyDescent="0.25">
      <c r="B5" t="s">
        <v>0</v>
      </c>
      <c r="C5">
        <v>12250</v>
      </c>
      <c r="D5">
        <v>3</v>
      </c>
      <c r="E5">
        <v>5786</v>
      </c>
      <c r="F5">
        <v>564</v>
      </c>
      <c r="G5">
        <v>397</v>
      </c>
      <c r="H5">
        <v>287</v>
      </c>
      <c r="I5">
        <v>192</v>
      </c>
      <c r="J5">
        <v>135</v>
      </c>
      <c r="K5">
        <v>78</v>
      </c>
      <c r="L5">
        <v>55</v>
      </c>
      <c r="M5">
        <v>13</v>
      </c>
      <c r="N5">
        <v>17</v>
      </c>
      <c r="O5">
        <v>327</v>
      </c>
      <c r="P5" s="1">
        <v>0.34587962962962965</v>
      </c>
    </row>
    <row r="6" spans="2:16" hidden="1" x14ac:dyDescent="0.25">
      <c r="B6" t="s">
        <v>0</v>
      </c>
      <c r="C6">
        <v>12675</v>
      </c>
      <c r="D6">
        <v>1</v>
      </c>
      <c r="E6">
        <v>5198</v>
      </c>
      <c r="F6">
        <v>2217</v>
      </c>
      <c r="G6">
        <v>1657</v>
      </c>
      <c r="H6">
        <v>1177</v>
      </c>
      <c r="I6">
        <v>760</v>
      </c>
      <c r="J6">
        <v>517</v>
      </c>
      <c r="K6">
        <v>255</v>
      </c>
      <c r="L6">
        <v>159</v>
      </c>
      <c r="M6">
        <v>14</v>
      </c>
      <c r="N6">
        <v>17</v>
      </c>
      <c r="O6">
        <v>75</v>
      </c>
      <c r="P6" s="1">
        <v>0.34935185185185186</v>
      </c>
    </row>
    <row r="7" spans="2:16" hidden="1" x14ac:dyDescent="0.25">
      <c r="B7" t="s">
        <v>0</v>
      </c>
      <c r="C7">
        <v>12675</v>
      </c>
      <c r="D7">
        <v>2</v>
      </c>
      <c r="E7">
        <v>5347</v>
      </c>
      <c r="F7">
        <v>1895</v>
      </c>
      <c r="G7">
        <v>1519</v>
      </c>
      <c r="H7">
        <v>1137</v>
      </c>
      <c r="I7">
        <v>769</v>
      </c>
      <c r="J7">
        <v>560</v>
      </c>
      <c r="K7">
        <v>286</v>
      </c>
      <c r="L7">
        <v>177</v>
      </c>
      <c r="M7">
        <v>14</v>
      </c>
      <c r="N7">
        <v>17</v>
      </c>
      <c r="O7">
        <v>90</v>
      </c>
      <c r="P7" s="1">
        <v>0.34945601851851849</v>
      </c>
    </row>
    <row r="8" spans="2:16" hidden="1" x14ac:dyDescent="0.25">
      <c r="B8" t="s">
        <v>0</v>
      </c>
      <c r="C8">
        <v>12675</v>
      </c>
      <c r="D8">
        <v>3</v>
      </c>
      <c r="E8">
        <v>5359</v>
      </c>
      <c r="F8">
        <v>1861</v>
      </c>
      <c r="G8">
        <v>1510</v>
      </c>
      <c r="H8">
        <v>1146</v>
      </c>
      <c r="I8">
        <v>780</v>
      </c>
      <c r="J8">
        <v>570</v>
      </c>
      <c r="K8">
        <v>292</v>
      </c>
      <c r="L8">
        <v>181</v>
      </c>
      <c r="M8">
        <v>14</v>
      </c>
      <c r="N8">
        <v>17</v>
      </c>
      <c r="O8">
        <v>92</v>
      </c>
      <c r="P8" s="1">
        <v>0.34956018518518522</v>
      </c>
    </row>
    <row r="9" spans="2:16" hidden="1" x14ac:dyDescent="0.25">
      <c r="B9" t="s">
        <v>0</v>
      </c>
      <c r="C9">
        <v>12250</v>
      </c>
      <c r="D9">
        <v>1</v>
      </c>
      <c r="E9">
        <v>5690</v>
      </c>
      <c r="F9">
        <v>614</v>
      </c>
      <c r="G9">
        <v>434</v>
      </c>
      <c r="H9">
        <v>290</v>
      </c>
      <c r="I9">
        <v>174</v>
      </c>
      <c r="J9">
        <v>128</v>
      </c>
      <c r="K9">
        <v>74</v>
      </c>
      <c r="L9">
        <v>52</v>
      </c>
      <c r="M9">
        <v>21</v>
      </c>
      <c r="N9">
        <v>25</v>
      </c>
      <c r="O9">
        <v>295</v>
      </c>
      <c r="P9" s="1">
        <v>0.41653935185185187</v>
      </c>
    </row>
    <row r="10" spans="2:16" x14ac:dyDescent="0.25">
      <c r="B10" t="s">
        <v>0</v>
      </c>
      <c r="C10">
        <v>12250</v>
      </c>
      <c r="D10">
        <v>2</v>
      </c>
      <c r="E10">
        <v>5755</v>
      </c>
      <c r="F10">
        <v>564</v>
      </c>
      <c r="G10">
        <v>408</v>
      </c>
      <c r="H10">
        <v>277</v>
      </c>
      <c r="I10">
        <v>169</v>
      </c>
      <c r="J10">
        <v>127</v>
      </c>
      <c r="K10">
        <v>74</v>
      </c>
      <c r="L10">
        <v>52</v>
      </c>
      <c r="M10">
        <v>21</v>
      </c>
      <c r="N10">
        <v>25</v>
      </c>
      <c r="O10">
        <v>325</v>
      </c>
      <c r="P10" s="1">
        <v>0.4166435185185185</v>
      </c>
    </row>
    <row r="11" spans="2:16" hidden="1" x14ac:dyDescent="0.25">
      <c r="B11" t="s">
        <v>0</v>
      </c>
      <c r="C11">
        <v>12250</v>
      </c>
      <c r="D11">
        <v>3</v>
      </c>
      <c r="E11">
        <v>5757</v>
      </c>
      <c r="F11">
        <v>553</v>
      </c>
      <c r="G11">
        <v>402</v>
      </c>
      <c r="H11">
        <v>274</v>
      </c>
      <c r="I11">
        <v>170</v>
      </c>
      <c r="J11">
        <v>128</v>
      </c>
      <c r="K11">
        <v>75</v>
      </c>
      <c r="L11">
        <v>52</v>
      </c>
      <c r="M11">
        <v>21</v>
      </c>
      <c r="N11">
        <v>25</v>
      </c>
      <c r="O11">
        <v>331</v>
      </c>
      <c r="P11" s="1">
        <v>0.41674768518518518</v>
      </c>
    </row>
    <row r="12" spans="2:16" hidden="1" x14ac:dyDescent="0.25">
      <c r="B12" t="s">
        <v>0</v>
      </c>
      <c r="C12">
        <v>12675</v>
      </c>
      <c r="D12">
        <v>1</v>
      </c>
      <c r="E12">
        <v>5195</v>
      </c>
      <c r="F12">
        <v>2094</v>
      </c>
      <c r="G12">
        <v>1650</v>
      </c>
      <c r="H12">
        <v>1180</v>
      </c>
      <c r="I12">
        <v>736</v>
      </c>
      <c r="J12">
        <v>517</v>
      </c>
      <c r="K12">
        <v>268</v>
      </c>
      <c r="L12">
        <v>160</v>
      </c>
      <c r="M12">
        <v>23</v>
      </c>
      <c r="N12">
        <v>25</v>
      </c>
      <c r="O12">
        <v>79</v>
      </c>
      <c r="P12" s="1">
        <v>0.41890046296296296</v>
      </c>
    </row>
    <row r="13" spans="2:16" hidden="1" x14ac:dyDescent="0.25">
      <c r="B13" t="s">
        <v>0</v>
      </c>
      <c r="C13">
        <v>12675</v>
      </c>
      <c r="D13">
        <v>2</v>
      </c>
      <c r="E13">
        <v>5336</v>
      </c>
      <c r="F13">
        <v>1836</v>
      </c>
      <c r="G13">
        <v>1509</v>
      </c>
      <c r="H13">
        <v>1136</v>
      </c>
      <c r="I13">
        <v>779</v>
      </c>
      <c r="J13">
        <v>552</v>
      </c>
      <c r="K13">
        <v>291</v>
      </c>
      <c r="L13">
        <v>174</v>
      </c>
      <c r="M13">
        <v>23</v>
      </c>
      <c r="N13">
        <v>25</v>
      </c>
      <c r="O13">
        <v>93</v>
      </c>
      <c r="P13" s="1">
        <v>0.41900462962962964</v>
      </c>
    </row>
    <row r="14" spans="2:16" hidden="1" x14ac:dyDescent="0.25">
      <c r="B14" t="s">
        <v>0</v>
      </c>
      <c r="C14">
        <v>12675</v>
      </c>
      <c r="D14">
        <v>3</v>
      </c>
      <c r="E14">
        <v>5380</v>
      </c>
      <c r="F14">
        <v>1785</v>
      </c>
      <c r="G14">
        <v>1494</v>
      </c>
      <c r="H14">
        <v>1121</v>
      </c>
      <c r="I14">
        <v>756</v>
      </c>
      <c r="J14">
        <v>559</v>
      </c>
      <c r="K14">
        <v>291</v>
      </c>
      <c r="L14">
        <v>175</v>
      </c>
      <c r="M14">
        <v>23</v>
      </c>
      <c r="N14">
        <v>25</v>
      </c>
      <c r="O14">
        <v>96</v>
      </c>
      <c r="P14" s="1">
        <v>0.41912037037037037</v>
      </c>
    </row>
    <row r="15" spans="2:16" hidden="1" x14ac:dyDescent="0.25">
      <c r="B15" t="s">
        <v>0</v>
      </c>
      <c r="C15">
        <v>12250</v>
      </c>
      <c r="D15">
        <v>1</v>
      </c>
      <c r="E15">
        <v>5637</v>
      </c>
      <c r="F15">
        <v>620</v>
      </c>
      <c r="G15">
        <v>437</v>
      </c>
      <c r="H15">
        <v>292</v>
      </c>
      <c r="I15">
        <v>182</v>
      </c>
      <c r="J15">
        <v>129</v>
      </c>
      <c r="K15">
        <v>74</v>
      </c>
      <c r="L15">
        <v>50</v>
      </c>
      <c r="M15">
        <v>24</v>
      </c>
      <c r="N15">
        <v>32</v>
      </c>
      <c r="O15">
        <v>289</v>
      </c>
      <c r="P15" s="1">
        <v>0.48500000000000004</v>
      </c>
    </row>
    <row r="16" spans="2:16" x14ac:dyDescent="0.25">
      <c r="B16" t="s">
        <v>0</v>
      </c>
      <c r="C16">
        <v>12250</v>
      </c>
      <c r="D16">
        <v>2</v>
      </c>
      <c r="E16">
        <v>5678</v>
      </c>
      <c r="F16">
        <v>573</v>
      </c>
      <c r="G16">
        <v>411</v>
      </c>
      <c r="H16">
        <v>280</v>
      </c>
      <c r="I16">
        <v>172</v>
      </c>
      <c r="J16">
        <v>127</v>
      </c>
      <c r="K16">
        <v>75</v>
      </c>
      <c r="L16">
        <v>59</v>
      </c>
      <c r="M16">
        <v>24</v>
      </c>
      <c r="N16">
        <v>32</v>
      </c>
      <c r="O16">
        <v>315</v>
      </c>
      <c r="P16" s="1">
        <v>0.48510416666666667</v>
      </c>
    </row>
    <row r="17" spans="2:16" hidden="1" x14ac:dyDescent="0.25">
      <c r="B17" t="s">
        <v>0</v>
      </c>
      <c r="C17">
        <v>12250</v>
      </c>
      <c r="D17">
        <v>3</v>
      </c>
      <c r="E17">
        <v>5772</v>
      </c>
      <c r="F17">
        <v>563</v>
      </c>
      <c r="G17">
        <v>405</v>
      </c>
      <c r="H17">
        <v>275</v>
      </c>
      <c r="I17">
        <v>175</v>
      </c>
      <c r="J17">
        <v>126</v>
      </c>
      <c r="K17">
        <v>74</v>
      </c>
      <c r="L17">
        <v>50</v>
      </c>
      <c r="M17">
        <v>24</v>
      </c>
      <c r="N17">
        <v>32</v>
      </c>
      <c r="O17">
        <v>327</v>
      </c>
      <c r="P17" s="1">
        <v>0.48521990740740745</v>
      </c>
    </row>
    <row r="18" spans="2:16" hidden="1" x14ac:dyDescent="0.25">
      <c r="B18" t="s">
        <v>0</v>
      </c>
      <c r="C18">
        <v>12675</v>
      </c>
      <c r="D18">
        <v>1</v>
      </c>
      <c r="E18">
        <v>5215</v>
      </c>
      <c r="F18">
        <v>1970</v>
      </c>
      <c r="G18">
        <v>1579</v>
      </c>
      <c r="H18">
        <v>1200</v>
      </c>
      <c r="I18">
        <v>800</v>
      </c>
      <c r="J18">
        <v>594</v>
      </c>
      <c r="K18">
        <v>309</v>
      </c>
      <c r="L18">
        <v>181</v>
      </c>
      <c r="M18">
        <v>32</v>
      </c>
      <c r="N18">
        <v>34</v>
      </c>
      <c r="O18">
        <v>84</v>
      </c>
      <c r="P18" s="1">
        <v>0.5006828703703704</v>
      </c>
    </row>
    <row r="19" spans="2:16" hidden="1" x14ac:dyDescent="0.25">
      <c r="B19" t="s">
        <v>0</v>
      </c>
      <c r="C19">
        <v>12675</v>
      </c>
      <c r="D19">
        <v>2</v>
      </c>
      <c r="E19">
        <v>5237</v>
      </c>
      <c r="F19">
        <v>1990</v>
      </c>
      <c r="G19">
        <v>1581</v>
      </c>
      <c r="H19">
        <v>1207</v>
      </c>
      <c r="I19">
        <v>805</v>
      </c>
      <c r="J19">
        <v>600</v>
      </c>
      <c r="K19">
        <v>311</v>
      </c>
      <c r="L19">
        <v>186</v>
      </c>
      <c r="M19">
        <v>32</v>
      </c>
      <c r="N19">
        <v>34</v>
      </c>
      <c r="O19">
        <v>84</v>
      </c>
      <c r="P19" s="1">
        <v>0.50097222222222226</v>
      </c>
    </row>
    <row r="20" spans="2:16" hidden="1" x14ac:dyDescent="0.25">
      <c r="B20" t="s">
        <v>0</v>
      </c>
      <c r="C20">
        <v>12675</v>
      </c>
      <c r="D20">
        <v>3</v>
      </c>
      <c r="E20">
        <v>5301</v>
      </c>
      <c r="F20">
        <v>1967</v>
      </c>
      <c r="G20">
        <v>1583</v>
      </c>
      <c r="H20">
        <v>1202</v>
      </c>
      <c r="I20">
        <v>797</v>
      </c>
      <c r="J20">
        <v>599</v>
      </c>
      <c r="K20">
        <v>311</v>
      </c>
      <c r="L20">
        <v>194</v>
      </c>
      <c r="M20">
        <v>32</v>
      </c>
      <c r="N20">
        <v>34</v>
      </c>
      <c r="O20">
        <v>86</v>
      </c>
      <c r="P20" s="1">
        <v>0.50127314814814816</v>
      </c>
    </row>
    <row r="21" spans="2:16" hidden="1" x14ac:dyDescent="0.25">
      <c r="B21" t="s">
        <v>0</v>
      </c>
      <c r="C21">
        <v>12250</v>
      </c>
      <c r="D21">
        <v>1</v>
      </c>
      <c r="E21">
        <v>5671</v>
      </c>
      <c r="F21">
        <v>506</v>
      </c>
      <c r="G21">
        <v>362</v>
      </c>
      <c r="H21">
        <v>244</v>
      </c>
      <c r="I21">
        <v>166</v>
      </c>
      <c r="J21">
        <v>120</v>
      </c>
      <c r="K21">
        <v>71</v>
      </c>
      <c r="L21">
        <v>50</v>
      </c>
      <c r="M21">
        <v>26</v>
      </c>
      <c r="N21">
        <v>36</v>
      </c>
      <c r="O21">
        <v>357</v>
      </c>
      <c r="P21" s="1">
        <v>0.56370370370370371</v>
      </c>
    </row>
    <row r="22" spans="2:16" x14ac:dyDescent="0.25">
      <c r="B22" t="s">
        <v>0</v>
      </c>
      <c r="C22">
        <v>12250</v>
      </c>
      <c r="D22">
        <v>2</v>
      </c>
      <c r="E22">
        <v>5667</v>
      </c>
      <c r="F22">
        <v>496</v>
      </c>
      <c r="G22">
        <v>359</v>
      </c>
      <c r="H22">
        <v>242</v>
      </c>
      <c r="I22">
        <v>161</v>
      </c>
      <c r="J22">
        <v>119</v>
      </c>
      <c r="K22">
        <v>70</v>
      </c>
      <c r="L22">
        <v>49</v>
      </c>
      <c r="M22">
        <v>26</v>
      </c>
      <c r="N22">
        <v>36</v>
      </c>
      <c r="O22">
        <v>363</v>
      </c>
      <c r="P22" s="1">
        <v>0.56380787037037039</v>
      </c>
    </row>
    <row r="23" spans="2:16" hidden="1" x14ac:dyDescent="0.25">
      <c r="B23" t="s">
        <v>0</v>
      </c>
      <c r="C23">
        <v>12250</v>
      </c>
      <c r="D23">
        <v>3</v>
      </c>
      <c r="E23">
        <v>5669</v>
      </c>
      <c r="F23">
        <v>501</v>
      </c>
      <c r="G23">
        <v>358</v>
      </c>
      <c r="H23">
        <v>242</v>
      </c>
      <c r="I23">
        <v>159</v>
      </c>
      <c r="J23">
        <v>121</v>
      </c>
      <c r="K23">
        <v>72</v>
      </c>
      <c r="L23">
        <v>50</v>
      </c>
      <c r="M23">
        <v>26</v>
      </c>
      <c r="N23">
        <v>36</v>
      </c>
      <c r="O23">
        <v>361</v>
      </c>
      <c r="P23" s="1">
        <v>0.56392361111111111</v>
      </c>
    </row>
    <row r="24" spans="2:16" hidden="1" x14ac:dyDescent="0.25">
      <c r="B24" t="s">
        <v>0</v>
      </c>
      <c r="C24">
        <v>12675</v>
      </c>
      <c r="D24">
        <v>1</v>
      </c>
      <c r="E24">
        <v>5281</v>
      </c>
      <c r="F24">
        <v>1657</v>
      </c>
      <c r="G24">
        <v>1348</v>
      </c>
      <c r="H24">
        <v>1009</v>
      </c>
      <c r="I24">
        <v>708</v>
      </c>
      <c r="J24">
        <v>530</v>
      </c>
      <c r="K24">
        <v>288</v>
      </c>
      <c r="L24">
        <v>172</v>
      </c>
      <c r="M24">
        <v>27</v>
      </c>
      <c r="N24">
        <v>36</v>
      </c>
      <c r="O24">
        <v>101</v>
      </c>
      <c r="P24" s="1">
        <v>0.5665162037037037</v>
      </c>
    </row>
    <row r="25" spans="2:16" hidden="1" x14ac:dyDescent="0.25">
      <c r="B25" t="s">
        <v>0</v>
      </c>
      <c r="C25">
        <v>12675</v>
      </c>
      <c r="D25">
        <v>2</v>
      </c>
      <c r="E25">
        <v>5337</v>
      </c>
      <c r="F25">
        <v>1602</v>
      </c>
      <c r="G25">
        <v>1317</v>
      </c>
      <c r="H25">
        <v>990</v>
      </c>
      <c r="I25">
        <v>698</v>
      </c>
      <c r="J25">
        <v>529</v>
      </c>
      <c r="K25">
        <v>285</v>
      </c>
      <c r="L25">
        <v>172</v>
      </c>
      <c r="M25">
        <v>27</v>
      </c>
      <c r="N25">
        <v>36</v>
      </c>
      <c r="O25">
        <v>106</v>
      </c>
      <c r="P25" s="1">
        <v>0.56662037037037039</v>
      </c>
    </row>
    <row r="26" spans="2:16" hidden="1" x14ac:dyDescent="0.25">
      <c r="B26" t="s">
        <v>0</v>
      </c>
      <c r="C26">
        <v>12675</v>
      </c>
      <c r="D26">
        <v>3</v>
      </c>
      <c r="E26">
        <v>5345</v>
      </c>
      <c r="F26">
        <v>1590</v>
      </c>
      <c r="G26">
        <v>1315</v>
      </c>
      <c r="H26">
        <v>987</v>
      </c>
      <c r="I26">
        <v>706</v>
      </c>
      <c r="J26">
        <v>530</v>
      </c>
      <c r="K26">
        <v>287</v>
      </c>
      <c r="L26">
        <v>175</v>
      </c>
      <c r="M26">
        <v>27</v>
      </c>
      <c r="N26">
        <v>36</v>
      </c>
      <c r="O26">
        <v>107</v>
      </c>
      <c r="P26" s="1">
        <v>0.56673611111111111</v>
      </c>
    </row>
    <row r="27" spans="2:16" hidden="1" x14ac:dyDescent="0.25">
      <c r="B27" t="s">
        <v>0</v>
      </c>
      <c r="C27">
        <v>12250</v>
      </c>
      <c r="D27">
        <v>1</v>
      </c>
      <c r="E27">
        <v>5620</v>
      </c>
      <c r="F27">
        <v>588</v>
      </c>
      <c r="G27">
        <v>387</v>
      </c>
      <c r="H27">
        <v>263</v>
      </c>
      <c r="I27">
        <v>169</v>
      </c>
      <c r="J27">
        <v>124</v>
      </c>
      <c r="K27">
        <v>71</v>
      </c>
      <c r="L27">
        <v>51</v>
      </c>
      <c r="M27">
        <v>26</v>
      </c>
      <c r="N27">
        <v>37</v>
      </c>
      <c r="O27">
        <v>304</v>
      </c>
      <c r="P27" s="1">
        <v>0.61480324074074078</v>
      </c>
    </row>
    <row r="28" spans="2:16" x14ac:dyDescent="0.25">
      <c r="B28" t="s">
        <v>0</v>
      </c>
      <c r="C28">
        <v>12250</v>
      </c>
      <c r="D28">
        <v>2</v>
      </c>
      <c r="E28">
        <v>5641</v>
      </c>
      <c r="F28">
        <v>540</v>
      </c>
      <c r="G28">
        <v>366</v>
      </c>
      <c r="H28">
        <v>251</v>
      </c>
      <c r="I28">
        <v>162</v>
      </c>
      <c r="J28">
        <v>121</v>
      </c>
      <c r="K28">
        <v>70</v>
      </c>
      <c r="L28">
        <v>49</v>
      </c>
      <c r="M28">
        <v>26</v>
      </c>
      <c r="N28">
        <v>37</v>
      </c>
      <c r="O28">
        <v>332</v>
      </c>
      <c r="P28" s="1">
        <v>0.61490740740740735</v>
      </c>
    </row>
    <row r="29" spans="2:16" hidden="1" x14ac:dyDescent="0.25">
      <c r="B29" t="s">
        <v>0</v>
      </c>
      <c r="C29">
        <v>12250</v>
      </c>
      <c r="D29">
        <v>3</v>
      </c>
      <c r="E29">
        <v>5616</v>
      </c>
      <c r="F29">
        <v>527</v>
      </c>
      <c r="G29">
        <v>361</v>
      </c>
      <c r="H29">
        <v>250</v>
      </c>
      <c r="I29">
        <v>162</v>
      </c>
      <c r="J29">
        <v>121</v>
      </c>
      <c r="K29">
        <v>72</v>
      </c>
      <c r="L29">
        <v>50</v>
      </c>
      <c r="M29">
        <v>26</v>
      </c>
      <c r="N29">
        <v>37</v>
      </c>
      <c r="O29">
        <v>340</v>
      </c>
      <c r="P29" s="1">
        <v>0.61502314814814818</v>
      </c>
    </row>
    <row r="30" spans="2:16" hidden="1" x14ac:dyDescent="0.25">
      <c r="B30" t="s">
        <v>0</v>
      </c>
      <c r="C30">
        <v>12675</v>
      </c>
      <c r="D30">
        <v>1</v>
      </c>
      <c r="E30">
        <v>5178</v>
      </c>
      <c r="F30">
        <v>2099</v>
      </c>
      <c r="G30">
        <v>1594</v>
      </c>
      <c r="H30">
        <v>1144</v>
      </c>
      <c r="I30">
        <v>764</v>
      </c>
      <c r="J30">
        <v>547</v>
      </c>
      <c r="K30">
        <v>273</v>
      </c>
      <c r="L30">
        <v>164</v>
      </c>
      <c r="M30">
        <v>26</v>
      </c>
      <c r="N30">
        <v>35</v>
      </c>
      <c r="O30">
        <v>79</v>
      </c>
      <c r="P30" s="1">
        <v>0.61714120370370373</v>
      </c>
    </row>
    <row r="31" spans="2:16" hidden="1" x14ac:dyDescent="0.25">
      <c r="B31" t="s">
        <v>0</v>
      </c>
      <c r="C31">
        <v>12675</v>
      </c>
      <c r="D31">
        <v>2</v>
      </c>
      <c r="E31">
        <v>5320</v>
      </c>
      <c r="F31">
        <v>1815</v>
      </c>
      <c r="G31">
        <v>1469</v>
      </c>
      <c r="H31">
        <v>1094</v>
      </c>
      <c r="I31">
        <v>760</v>
      </c>
      <c r="J31">
        <v>566</v>
      </c>
      <c r="K31">
        <v>287</v>
      </c>
      <c r="L31">
        <v>172</v>
      </c>
      <c r="M31">
        <v>26</v>
      </c>
      <c r="N31">
        <v>35</v>
      </c>
      <c r="O31">
        <v>93</v>
      </c>
      <c r="P31" s="1">
        <v>0.61724537037037031</v>
      </c>
    </row>
    <row r="32" spans="2:16" hidden="1" x14ac:dyDescent="0.25">
      <c r="B32" t="s">
        <v>0</v>
      </c>
      <c r="C32">
        <v>12675</v>
      </c>
      <c r="D32">
        <v>3</v>
      </c>
      <c r="E32">
        <v>5284</v>
      </c>
      <c r="F32">
        <v>1778</v>
      </c>
      <c r="G32">
        <v>1457</v>
      </c>
      <c r="H32">
        <v>1072</v>
      </c>
      <c r="I32">
        <v>756</v>
      </c>
      <c r="J32">
        <v>570</v>
      </c>
      <c r="K32">
        <v>290</v>
      </c>
      <c r="L32">
        <v>173</v>
      </c>
      <c r="M32">
        <v>26</v>
      </c>
      <c r="N32">
        <v>35</v>
      </c>
      <c r="O32">
        <v>95</v>
      </c>
      <c r="P32" s="1">
        <v>0.6173495370370371</v>
      </c>
    </row>
    <row r="33" spans="2:16" hidden="1" x14ac:dyDescent="0.25">
      <c r="B33" t="s">
        <v>0</v>
      </c>
      <c r="C33">
        <v>12250</v>
      </c>
      <c r="D33">
        <v>1</v>
      </c>
      <c r="E33">
        <v>5566</v>
      </c>
      <c r="F33">
        <v>589</v>
      </c>
      <c r="G33">
        <v>391</v>
      </c>
      <c r="H33">
        <v>272</v>
      </c>
      <c r="I33">
        <v>173</v>
      </c>
      <c r="J33">
        <v>129</v>
      </c>
      <c r="K33">
        <v>75</v>
      </c>
      <c r="L33">
        <v>52</v>
      </c>
      <c r="M33">
        <v>24</v>
      </c>
      <c r="N33">
        <v>31</v>
      </c>
      <c r="O33">
        <v>301</v>
      </c>
      <c r="P33" s="1">
        <v>0.69581018518518523</v>
      </c>
    </row>
    <row r="34" spans="2:16" x14ac:dyDescent="0.25">
      <c r="B34" t="s">
        <v>0</v>
      </c>
      <c r="C34">
        <v>12250</v>
      </c>
      <c r="D34">
        <v>2</v>
      </c>
      <c r="E34">
        <v>5642</v>
      </c>
      <c r="F34">
        <v>530</v>
      </c>
      <c r="G34">
        <v>365</v>
      </c>
      <c r="H34">
        <v>256</v>
      </c>
      <c r="I34">
        <v>163</v>
      </c>
      <c r="J34">
        <v>124</v>
      </c>
      <c r="K34">
        <v>72</v>
      </c>
      <c r="L34">
        <v>50</v>
      </c>
      <c r="M34">
        <v>24</v>
      </c>
      <c r="N34">
        <v>31</v>
      </c>
      <c r="O34">
        <v>339</v>
      </c>
      <c r="P34" s="1">
        <v>0.6959143518518518</v>
      </c>
    </row>
    <row r="35" spans="2:16" hidden="1" x14ac:dyDescent="0.25">
      <c r="B35" t="s">
        <v>0</v>
      </c>
      <c r="C35">
        <v>12250</v>
      </c>
      <c r="D35">
        <v>3</v>
      </c>
      <c r="E35">
        <v>5635</v>
      </c>
      <c r="F35">
        <v>519</v>
      </c>
      <c r="G35">
        <v>359</v>
      </c>
      <c r="H35">
        <v>253</v>
      </c>
      <c r="I35">
        <v>162</v>
      </c>
      <c r="J35">
        <v>123</v>
      </c>
      <c r="K35">
        <v>72</v>
      </c>
      <c r="L35">
        <v>51</v>
      </c>
      <c r="M35">
        <v>24</v>
      </c>
      <c r="N35">
        <v>31</v>
      </c>
      <c r="O35">
        <v>346</v>
      </c>
      <c r="P35" s="1">
        <v>0.69601851851851848</v>
      </c>
    </row>
    <row r="36" spans="2:16" hidden="1" x14ac:dyDescent="0.25">
      <c r="B36" t="s">
        <v>0</v>
      </c>
      <c r="C36">
        <v>12675</v>
      </c>
      <c r="D36">
        <v>1</v>
      </c>
      <c r="E36">
        <v>5161</v>
      </c>
      <c r="F36">
        <v>2067</v>
      </c>
      <c r="G36">
        <v>1566</v>
      </c>
      <c r="H36">
        <v>1143</v>
      </c>
      <c r="I36">
        <v>738</v>
      </c>
      <c r="J36">
        <v>514</v>
      </c>
      <c r="K36">
        <v>265</v>
      </c>
      <c r="L36">
        <v>160</v>
      </c>
      <c r="M36">
        <v>24</v>
      </c>
      <c r="N36">
        <v>30</v>
      </c>
      <c r="O36">
        <v>79</v>
      </c>
      <c r="P36" s="1">
        <v>0.69800925925925927</v>
      </c>
    </row>
    <row r="37" spans="2:16" hidden="1" x14ac:dyDescent="0.25">
      <c r="B37" t="s">
        <v>0</v>
      </c>
      <c r="C37">
        <v>12675</v>
      </c>
      <c r="D37">
        <v>2</v>
      </c>
      <c r="E37">
        <v>5291</v>
      </c>
      <c r="F37">
        <v>1713</v>
      </c>
      <c r="G37">
        <v>1381</v>
      </c>
      <c r="H37">
        <v>1047</v>
      </c>
      <c r="I37">
        <v>717</v>
      </c>
      <c r="J37">
        <v>523</v>
      </c>
      <c r="K37">
        <v>283</v>
      </c>
      <c r="L37">
        <v>169</v>
      </c>
      <c r="M37">
        <v>24</v>
      </c>
      <c r="N37">
        <v>30</v>
      </c>
      <c r="O37">
        <v>98</v>
      </c>
      <c r="P37" s="1">
        <v>0.698125</v>
      </c>
    </row>
    <row r="38" spans="2:16" hidden="1" x14ac:dyDescent="0.25">
      <c r="B38" t="s">
        <v>0</v>
      </c>
      <c r="C38">
        <v>12675</v>
      </c>
      <c r="D38">
        <v>3</v>
      </c>
      <c r="E38">
        <v>5301</v>
      </c>
      <c r="F38">
        <v>1669</v>
      </c>
      <c r="G38">
        <v>1363</v>
      </c>
      <c r="H38">
        <v>1037</v>
      </c>
      <c r="I38">
        <v>726</v>
      </c>
      <c r="J38">
        <v>527</v>
      </c>
      <c r="K38">
        <v>287</v>
      </c>
      <c r="L38">
        <v>174</v>
      </c>
      <c r="M38">
        <v>24</v>
      </c>
      <c r="N38">
        <v>30</v>
      </c>
      <c r="O38">
        <v>101</v>
      </c>
      <c r="P38" s="1">
        <v>0.69822916666666668</v>
      </c>
    </row>
    <row r="40" spans="2:16" x14ac:dyDescent="0.25">
      <c r="F40">
        <f>(F4-F16)</f>
        <v>-1</v>
      </c>
      <c r="G40">
        <f t="shared" ref="G40:L40" si="0">(G4-G16)</f>
        <v>-9</v>
      </c>
      <c r="H40">
        <f t="shared" si="0"/>
        <v>7</v>
      </c>
      <c r="I40">
        <f t="shared" si="0"/>
        <v>25</v>
      </c>
      <c r="J40">
        <f t="shared" si="0"/>
        <v>8</v>
      </c>
      <c r="K40">
        <f t="shared" si="0"/>
        <v>2</v>
      </c>
      <c r="L40">
        <f t="shared" si="0"/>
        <v>-4</v>
      </c>
    </row>
  </sheetData>
  <autoFilter ref="C2:P38" xr:uid="{E5F12258-5710-475E-83E1-103376DDF8FA}">
    <filterColumn colId="0">
      <filters>
        <filter val="12250"/>
      </filters>
    </filterColumn>
    <filterColumn colId="1">
      <filters>
        <filter val="2"/>
      </filters>
    </filterColumn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93EB-AC03-47F1-B9E6-6437DED6E605}">
  <sheetPr filterMode="1"/>
  <dimension ref="B1:X40"/>
  <sheetViews>
    <sheetView topLeftCell="B1" workbookViewId="0">
      <selection activeCell="X64" sqref="X64"/>
    </sheetView>
  </sheetViews>
  <sheetFormatPr defaultRowHeight="15" x14ac:dyDescent="0.25"/>
  <sheetData>
    <row r="1" spans="2:24" x14ac:dyDescent="0.25">
      <c r="F1">
        <v>0</v>
      </c>
      <c r="G1">
        <v>200</v>
      </c>
      <c r="H1">
        <v>300</v>
      </c>
      <c r="I1">
        <v>450</v>
      </c>
      <c r="J1">
        <v>600</v>
      </c>
      <c r="K1">
        <v>900</v>
      </c>
      <c r="L1">
        <v>1200</v>
      </c>
      <c r="R1">
        <v>0</v>
      </c>
      <c r="S1">
        <v>200</v>
      </c>
      <c r="T1">
        <v>300</v>
      </c>
      <c r="U1">
        <v>450</v>
      </c>
      <c r="V1">
        <v>600</v>
      </c>
      <c r="W1">
        <v>900</v>
      </c>
      <c r="X1">
        <v>1200</v>
      </c>
    </row>
    <row r="2" spans="2:24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2:24" hidden="1" x14ac:dyDescent="0.25">
      <c r="B3" t="s">
        <v>0</v>
      </c>
      <c r="C3">
        <v>12500</v>
      </c>
      <c r="D3">
        <v>1</v>
      </c>
      <c r="E3">
        <v>5762</v>
      </c>
      <c r="F3">
        <v>514</v>
      </c>
      <c r="G3">
        <v>455</v>
      </c>
      <c r="H3">
        <v>392</v>
      </c>
      <c r="I3">
        <v>318</v>
      </c>
      <c r="J3">
        <v>278</v>
      </c>
      <c r="K3">
        <v>192</v>
      </c>
      <c r="L3">
        <v>142</v>
      </c>
      <c r="M3">
        <v>7</v>
      </c>
      <c r="N3">
        <v>14</v>
      </c>
      <c r="O3">
        <v>357</v>
      </c>
      <c r="P3" s="1">
        <v>0.306724537037037</v>
      </c>
      <c r="R3">
        <f>F$1*F3</f>
        <v>0</v>
      </c>
      <c r="S3">
        <f t="shared" ref="S3:X3" si="0">G$1*G3</f>
        <v>91000</v>
      </c>
      <c r="T3">
        <f t="shared" si="0"/>
        <v>117600</v>
      </c>
      <c r="U3">
        <f t="shared" si="0"/>
        <v>143100</v>
      </c>
      <c r="V3">
        <f t="shared" si="0"/>
        <v>166800</v>
      </c>
      <c r="W3">
        <f t="shared" si="0"/>
        <v>172800</v>
      </c>
      <c r="X3">
        <f t="shared" si="0"/>
        <v>170400</v>
      </c>
    </row>
    <row r="4" spans="2:24" hidden="1" x14ac:dyDescent="0.25">
      <c r="B4" t="s">
        <v>0</v>
      </c>
      <c r="C4">
        <v>12500</v>
      </c>
      <c r="D4">
        <v>2</v>
      </c>
      <c r="E4">
        <v>5807</v>
      </c>
      <c r="F4">
        <v>510</v>
      </c>
      <c r="G4">
        <v>455</v>
      </c>
      <c r="H4">
        <v>392</v>
      </c>
      <c r="I4">
        <v>318</v>
      </c>
      <c r="J4">
        <v>280</v>
      </c>
      <c r="K4">
        <v>194</v>
      </c>
      <c r="L4">
        <v>144</v>
      </c>
      <c r="M4">
        <v>7</v>
      </c>
      <c r="N4">
        <v>14</v>
      </c>
      <c r="O4">
        <v>363</v>
      </c>
      <c r="P4" s="1">
        <v>0.30684027777777778</v>
      </c>
      <c r="R4">
        <f t="shared" ref="R4:R39" si="1">F$1*F4</f>
        <v>0</v>
      </c>
      <c r="S4">
        <f t="shared" ref="S4:S39" si="2">G$1*G4</f>
        <v>91000</v>
      </c>
      <c r="T4">
        <f t="shared" ref="T4:T39" si="3">H$1*H4</f>
        <v>117600</v>
      </c>
      <c r="U4">
        <f t="shared" ref="U4:U39" si="4">I$1*I4</f>
        <v>143100</v>
      </c>
      <c r="V4">
        <f t="shared" ref="V4:V39" si="5">J$1*J4</f>
        <v>168000</v>
      </c>
      <c r="W4">
        <f t="shared" ref="W4:W39" si="6">K$1*K4</f>
        <v>174600</v>
      </c>
      <c r="X4">
        <f t="shared" ref="X4:X39" si="7">L$1*L4</f>
        <v>172800</v>
      </c>
    </row>
    <row r="5" spans="2:24" hidden="1" x14ac:dyDescent="0.25">
      <c r="B5" t="s">
        <v>0</v>
      </c>
      <c r="C5">
        <v>12500</v>
      </c>
      <c r="D5">
        <v>3</v>
      </c>
      <c r="E5">
        <v>5839</v>
      </c>
      <c r="F5">
        <v>511</v>
      </c>
      <c r="G5">
        <v>455</v>
      </c>
      <c r="H5">
        <v>390</v>
      </c>
      <c r="I5">
        <v>319</v>
      </c>
      <c r="J5">
        <v>281</v>
      </c>
      <c r="K5">
        <v>195</v>
      </c>
      <c r="L5">
        <v>144</v>
      </c>
      <c r="M5">
        <v>7</v>
      </c>
      <c r="N5">
        <v>14</v>
      </c>
      <c r="O5">
        <v>363</v>
      </c>
      <c r="P5" s="1">
        <v>0.30694444444444441</v>
      </c>
      <c r="R5">
        <f>F5/$F5</f>
        <v>1</v>
      </c>
      <c r="S5">
        <f t="shared" ref="S5:X5" si="8">G5/$F5</f>
        <v>0.8904109589041096</v>
      </c>
      <c r="T5">
        <f t="shared" si="8"/>
        <v>0.76320939334637961</v>
      </c>
      <c r="U5">
        <f t="shared" si="8"/>
        <v>0.62426614481409004</v>
      </c>
      <c r="V5">
        <f t="shared" si="8"/>
        <v>0.54990215264187869</v>
      </c>
      <c r="W5">
        <f t="shared" si="8"/>
        <v>0.3816046966731898</v>
      </c>
      <c r="X5">
        <f t="shared" si="8"/>
        <v>0.28180039138943247</v>
      </c>
    </row>
    <row r="6" spans="2:24" hidden="1" x14ac:dyDescent="0.25">
      <c r="B6" t="s">
        <v>0</v>
      </c>
      <c r="C6">
        <v>11600</v>
      </c>
      <c r="D6">
        <v>1</v>
      </c>
      <c r="E6">
        <v>5769</v>
      </c>
      <c r="F6">
        <v>293</v>
      </c>
      <c r="G6">
        <v>275</v>
      </c>
      <c r="H6">
        <v>241</v>
      </c>
      <c r="I6">
        <v>201</v>
      </c>
      <c r="J6">
        <v>176</v>
      </c>
      <c r="K6">
        <v>121</v>
      </c>
      <c r="L6">
        <v>88</v>
      </c>
      <c r="M6">
        <v>7</v>
      </c>
      <c r="N6">
        <v>14</v>
      </c>
      <c r="O6">
        <v>627</v>
      </c>
      <c r="P6" s="1">
        <v>0.31143518518518515</v>
      </c>
      <c r="R6">
        <f t="shared" si="1"/>
        <v>0</v>
      </c>
      <c r="S6">
        <f t="shared" si="2"/>
        <v>55000</v>
      </c>
      <c r="T6">
        <f t="shared" si="3"/>
        <v>72300</v>
      </c>
      <c r="U6">
        <f t="shared" si="4"/>
        <v>90450</v>
      </c>
      <c r="V6">
        <f t="shared" si="5"/>
        <v>105600</v>
      </c>
      <c r="W6">
        <f t="shared" si="6"/>
        <v>108900</v>
      </c>
      <c r="X6">
        <f t="shared" si="7"/>
        <v>105600</v>
      </c>
    </row>
    <row r="7" spans="2:24" hidden="1" x14ac:dyDescent="0.25">
      <c r="B7" t="s">
        <v>0</v>
      </c>
      <c r="C7">
        <v>11600</v>
      </c>
      <c r="D7">
        <v>2</v>
      </c>
      <c r="E7">
        <v>5885</v>
      </c>
      <c r="F7">
        <v>291</v>
      </c>
      <c r="G7">
        <v>272</v>
      </c>
      <c r="H7">
        <v>240</v>
      </c>
      <c r="I7">
        <v>201</v>
      </c>
      <c r="J7">
        <v>176</v>
      </c>
      <c r="K7">
        <v>121</v>
      </c>
      <c r="L7">
        <v>89</v>
      </c>
      <c r="M7">
        <v>7</v>
      </c>
      <c r="N7">
        <v>14</v>
      </c>
      <c r="O7">
        <v>644</v>
      </c>
      <c r="P7" s="1">
        <v>0.31153935185185183</v>
      </c>
      <c r="R7">
        <f t="shared" si="1"/>
        <v>0</v>
      </c>
      <c r="S7">
        <f t="shared" si="2"/>
        <v>54400</v>
      </c>
      <c r="T7">
        <f t="shared" si="3"/>
        <v>72000</v>
      </c>
      <c r="U7">
        <f t="shared" si="4"/>
        <v>90450</v>
      </c>
      <c r="V7">
        <f t="shared" si="5"/>
        <v>105600</v>
      </c>
      <c r="W7">
        <f t="shared" si="6"/>
        <v>108900</v>
      </c>
      <c r="X7">
        <f t="shared" si="7"/>
        <v>106800</v>
      </c>
    </row>
    <row r="8" spans="2:24" x14ac:dyDescent="0.25">
      <c r="B8" t="s">
        <v>0</v>
      </c>
      <c r="C8">
        <v>11600</v>
      </c>
      <c r="D8">
        <v>3</v>
      </c>
      <c r="E8">
        <v>5848</v>
      </c>
      <c r="F8">
        <v>291</v>
      </c>
      <c r="G8">
        <v>271</v>
      </c>
      <c r="H8">
        <v>239</v>
      </c>
      <c r="I8">
        <v>199</v>
      </c>
      <c r="J8">
        <v>176</v>
      </c>
      <c r="K8">
        <v>122</v>
      </c>
      <c r="L8">
        <v>89</v>
      </c>
      <c r="M8">
        <v>7</v>
      </c>
      <c r="N8">
        <v>14</v>
      </c>
      <c r="O8">
        <v>640</v>
      </c>
      <c r="P8" s="1">
        <v>0.31165509259259261</v>
      </c>
      <c r="R8">
        <f>(5000/$E8)*F8</f>
        <v>248.8030095759234</v>
      </c>
      <c r="S8">
        <f t="shared" ref="S8:X8" si="9">(5000/$E8)*G8</f>
        <v>231.703146374829</v>
      </c>
      <c r="T8">
        <f t="shared" si="9"/>
        <v>204.34336525307799</v>
      </c>
      <c r="U8">
        <f t="shared" si="9"/>
        <v>170.1436388508892</v>
      </c>
      <c r="V8">
        <f t="shared" si="9"/>
        <v>150.47879616963064</v>
      </c>
      <c r="W8">
        <f t="shared" si="9"/>
        <v>104.30916552667578</v>
      </c>
      <c r="X8">
        <f t="shared" si="9"/>
        <v>76.094391244870039</v>
      </c>
    </row>
    <row r="9" spans="2:24" hidden="1" x14ac:dyDescent="0.25">
      <c r="B9" t="s">
        <v>0</v>
      </c>
      <c r="C9">
        <v>12500</v>
      </c>
      <c r="D9">
        <v>1</v>
      </c>
      <c r="E9">
        <v>5726</v>
      </c>
      <c r="F9">
        <v>582</v>
      </c>
      <c r="G9">
        <v>512</v>
      </c>
      <c r="H9">
        <v>434</v>
      </c>
      <c r="I9">
        <v>353</v>
      </c>
      <c r="J9">
        <v>304</v>
      </c>
      <c r="K9">
        <v>207</v>
      </c>
      <c r="L9">
        <v>147</v>
      </c>
      <c r="M9">
        <v>13</v>
      </c>
      <c r="N9">
        <v>19</v>
      </c>
      <c r="O9">
        <v>313</v>
      </c>
      <c r="P9" s="1">
        <v>0.3830439814814815</v>
      </c>
      <c r="R9">
        <f t="shared" si="1"/>
        <v>0</v>
      </c>
      <c r="S9">
        <f t="shared" si="2"/>
        <v>102400</v>
      </c>
      <c r="T9">
        <f t="shared" si="3"/>
        <v>130200</v>
      </c>
      <c r="U9">
        <f t="shared" si="4"/>
        <v>158850</v>
      </c>
      <c r="V9">
        <f t="shared" si="5"/>
        <v>182400</v>
      </c>
      <c r="W9">
        <f t="shared" si="6"/>
        <v>186300</v>
      </c>
      <c r="X9">
        <f t="shared" si="7"/>
        <v>176400</v>
      </c>
    </row>
    <row r="10" spans="2:24" hidden="1" x14ac:dyDescent="0.25">
      <c r="B10" t="s">
        <v>0</v>
      </c>
      <c r="C10">
        <v>12500</v>
      </c>
      <c r="D10">
        <v>2</v>
      </c>
      <c r="E10">
        <v>5837</v>
      </c>
      <c r="F10">
        <v>579</v>
      </c>
      <c r="G10">
        <v>512</v>
      </c>
      <c r="H10">
        <v>436</v>
      </c>
      <c r="I10">
        <v>354</v>
      </c>
      <c r="J10">
        <v>307</v>
      </c>
      <c r="K10">
        <v>210</v>
      </c>
      <c r="L10">
        <v>150</v>
      </c>
      <c r="M10">
        <v>13</v>
      </c>
      <c r="N10">
        <v>19</v>
      </c>
      <c r="O10">
        <v>321</v>
      </c>
      <c r="P10" s="1">
        <v>0.38315972222222222</v>
      </c>
      <c r="R10">
        <f t="shared" si="1"/>
        <v>0</v>
      </c>
      <c r="S10">
        <f t="shared" si="2"/>
        <v>102400</v>
      </c>
      <c r="T10">
        <f t="shared" si="3"/>
        <v>130800</v>
      </c>
      <c r="U10">
        <f t="shared" si="4"/>
        <v>159300</v>
      </c>
      <c r="V10">
        <f t="shared" si="5"/>
        <v>184200</v>
      </c>
      <c r="W10">
        <f t="shared" si="6"/>
        <v>189000</v>
      </c>
      <c r="X10">
        <f t="shared" si="7"/>
        <v>180000</v>
      </c>
    </row>
    <row r="11" spans="2:24" hidden="1" x14ac:dyDescent="0.25">
      <c r="B11" t="s">
        <v>0</v>
      </c>
      <c r="C11">
        <v>12500</v>
      </c>
      <c r="D11">
        <v>3</v>
      </c>
      <c r="E11">
        <v>5807</v>
      </c>
      <c r="F11">
        <v>578</v>
      </c>
      <c r="G11">
        <v>513</v>
      </c>
      <c r="H11">
        <v>436</v>
      </c>
      <c r="I11">
        <v>353</v>
      </c>
      <c r="J11">
        <v>308</v>
      </c>
      <c r="K11">
        <v>210</v>
      </c>
      <c r="L11">
        <v>150</v>
      </c>
      <c r="M11">
        <v>13</v>
      </c>
      <c r="N11">
        <v>19</v>
      </c>
      <c r="O11">
        <v>320</v>
      </c>
      <c r="P11" s="1">
        <v>0.3832638888888889</v>
      </c>
      <c r="R11">
        <f>F11/$F11</f>
        <v>1</v>
      </c>
      <c r="S11">
        <f t="shared" ref="S11" si="10">G11/$F11</f>
        <v>0.88754325259515576</v>
      </c>
      <c r="T11">
        <f t="shared" ref="T11" si="11">H11/$F11</f>
        <v>0.75432525951557095</v>
      </c>
      <c r="U11">
        <f t="shared" ref="U11" si="12">I11/$F11</f>
        <v>0.61072664359861595</v>
      </c>
      <c r="V11">
        <f t="shared" ref="V11" si="13">J11/$F11</f>
        <v>0.53287197231833905</v>
      </c>
      <c r="W11">
        <f t="shared" ref="W11" si="14">K11/$F11</f>
        <v>0.36332179930795849</v>
      </c>
      <c r="X11">
        <f t="shared" ref="X11" si="15">L11/$F11</f>
        <v>0.25951557093425603</v>
      </c>
    </row>
    <row r="12" spans="2:24" hidden="1" x14ac:dyDescent="0.25">
      <c r="B12" t="s">
        <v>0</v>
      </c>
      <c r="C12">
        <v>11600</v>
      </c>
      <c r="D12">
        <v>1</v>
      </c>
      <c r="E12">
        <v>5790</v>
      </c>
      <c r="F12">
        <v>311</v>
      </c>
      <c r="G12">
        <v>288</v>
      </c>
      <c r="H12">
        <v>251</v>
      </c>
      <c r="I12">
        <v>208</v>
      </c>
      <c r="J12">
        <v>183</v>
      </c>
      <c r="K12">
        <v>124</v>
      </c>
      <c r="L12">
        <v>90</v>
      </c>
      <c r="M12">
        <v>14</v>
      </c>
      <c r="N12">
        <v>21</v>
      </c>
      <c r="O12">
        <v>593</v>
      </c>
      <c r="P12" s="1">
        <v>0.38533564814814819</v>
      </c>
      <c r="R12">
        <f t="shared" si="1"/>
        <v>0</v>
      </c>
      <c r="S12">
        <f t="shared" si="2"/>
        <v>57600</v>
      </c>
      <c r="T12">
        <f t="shared" si="3"/>
        <v>75300</v>
      </c>
      <c r="U12">
        <f t="shared" si="4"/>
        <v>93600</v>
      </c>
      <c r="V12">
        <f t="shared" si="5"/>
        <v>109800</v>
      </c>
      <c r="W12">
        <f t="shared" si="6"/>
        <v>111600</v>
      </c>
      <c r="X12">
        <f t="shared" si="7"/>
        <v>108000</v>
      </c>
    </row>
    <row r="13" spans="2:24" hidden="1" x14ac:dyDescent="0.25">
      <c r="B13" t="s">
        <v>0</v>
      </c>
      <c r="C13">
        <v>11600</v>
      </c>
      <c r="D13">
        <v>2</v>
      </c>
      <c r="E13">
        <v>5878</v>
      </c>
      <c r="F13">
        <v>306</v>
      </c>
      <c r="G13">
        <v>287</v>
      </c>
      <c r="H13">
        <v>249</v>
      </c>
      <c r="I13">
        <v>206</v>
      </c>
      <c r="J13">
        <v>182</v>
      </c>
      <c r="K13">
        <v>124</v>
      </c>
      <c r="L13">
        <v>90</v>
      </c>
      <c r="M13">
        <v>14</v>
      </c>
      <c r="N13">
        <v>21</v>
      </c>
      <c r="O13">
        <v>611</v>
      </c>
      <c r="P13" s="1">
        <v>0.38545138888888886</v>
      </c>
      <c r="R13">
        <f t="shared" si="1"/>
        <v>0</v>
      </c>
      <c r="S13">
        <f t="shared" si="2"/>
        <v>57400</v>
      </c>
      <c r="T13">
        <f t="shared" si="3"/>
        <v>74700</v>
      </c>
      <c r="U13">
        <f t="shared" si="4"/>
        <v>92700</v>
      </c>
      <c r="V13">
        <f t="shared" si="5"/>
        <v>109200</v>
      </c>
      <c r="W13">
        <f t="shared" si="6"/>
        <v>111600</v>
      </c>
      <c r="X13">
        <f t="shared" si="7"/>
        <v>108000</v>
      </c>
    </row>
    <row r="14" spans="2:24" x14ac:dyDescent="0.25">
      <c r="B14" t="s">
        <v>0</v>
      </c>
      <c r="C14">
        <v>11600</v>
      </c>
      <c r="D14">
        <v>3</v>
      </c>
      <c r="E14">
        <v>5797</v>
      </c>
      <c r="F14">
        <v>305</v>
      </c>
      <c r="G14">
        <v>284</v>
      </c>
      <c r="H14">
        <v>246</v>
      </c>
      <c r="I14">
        <v>205</v>
      </c>
      <c r="J14">
        <v>182</v>
      </c>
      <c r="K14">
        <v>124</v>
      </c>
      <c r="L14">
        <v>90</v>
      </c>
      <c r="M14">
        <v>14</v>
      </c>
      <c r="N14">
        <v>21</v>
      </c>
      <c r="O14">
        <v>605</v>
      </c>
      <c r="P14" s="1">
        <v>0.3855555555555556</v>
      </c>
      <c r="R14">
        <f>(5000/$E14)*F14</f>
        <v>263.0671036743143</v>
      </c>
      <c r="S14">
        <f t="shared" ref="S14" si="16">(5000/$E14)*G14</f>
        <v>244.95428670001726</v>
      </c>
      <c r="T14">
        <f t="shared" ref="T14" si="17">(5000/$E14)*H14</f>
        <v>212.17871312747974</v>
      </c>
      <c r="U14">
        <f t="shared" ref="U14" si="18">(5000/$E14)*I14</f>
        <v>176.81559427289977</v>
      </c>
      <c r="V14">
        <f t="shared" ref="V14" si="19">(5000/$E14)*J14</f>
        <v>156.97774711057443</v>
      </c>
      <c r="W14">
        <f t="shared" ref="W14" si="20">(5000/$E14)*K14</f>
        <v>106.95187165775401</v>
      </c>
      <c r="X14">
        <f t="shared" ref="X14" si="21">(5000/$E14)*L14</f>
        <v>77.626358461273071</v>
      </c>
    </row>
    <row r="15" spans="2:24" hidden="1" x14ac:dyDescent="0.25">
      <c r="B15" t="s">
        <v>0</v>
      </c>
      <c r="C15">
        <v>12500</v>
      </c>
      <c r="D15">
        <v>1</v>
      </c>
      <c r="E15">
        <v>5689</v>
      </c>
      <c r="F15">
        <v>605</v>
      </c>
      <c r="G15">
        <v>527</v>
      </c>
      <c r="H15">
        <v>444</v>
      </c>
      <c r="I15">
        <v>355</v>
      </c>
      <c r="J15">
        <v>306</v>
      </c>
      <c r="K15">
        <v>204</v>
      </c>
      <c r="L15">
        <v>146</v>
      </c>
      <c r="M15">
        <v>18</v>
      </c>
      <c r="N15">
        <v>27</v>
      </c>
      <c r="O15">
        <v>299</v>
      </c>
      <c r="P15" s="1">
        <v>0.45021990740740742</v>
      </c>
      <c r="R15">
        <f t="shared" si="1"/>
        <v>0</v>
      </c>
      <c r="S15">
        <f t="shared" si="2"/>
        <v>105400</v>
      </c>
      <c r="T15">
        <f t="shared" si="3"/>
        <v>133200</v>
      </c>
      <c r="U15">
        <f t="shared" si="4"/>
        <v>159750</v>
      </c>
      <c r="V15">
        <f t="shared" si="5"/>
        <v>183600</v>
      </c>
      <c r="W15">
        <f t="shared" si="6"/>
        <v>183600</v>
      </c>
      <c r="X15">
        <f t="shared" si="7"/>
        <v>175200</v>
      </c>
    </row>
    <row r="16" spans="2:24" hidden="1" x14ac:dyDescent="0.25">
      <c r="B16" t="s">
        <v>0</v>
      </c>
      <c r="C16">
        <v>12500</v>
      </c>
      <c r="D16">
        <v>2</v>
      </c>
      <c r="E16">
        <v>5766</v>
      </c>
      <c r="F16">
        <v>596</v>
      </c>
      <c r="G16">
        <v>523</v>
      </c>
      <c r="H16">
        <v>445</v>
      </c>
      <c r="I16">
        <v>357</v>
      </c>
      <c r="J16">
        <v>307</v>
      </c>
      <c r="K16">
        <v>204</v>
      </c>
      <c r="L16">
        <v>147</v>
      </c>
      <c r="M16">
        <v>18</v>
      </c>
      <c r="N16">
        <v>27</v>
      </c>
      <c r="O16">
        <v>308</v>
      </c>
      <c r="P16" s="1">
        <v>0.45033564814814814</v>
      </c>
      <c r="R16">
        <f t="shared" si="1"/>
        <v>0</v>
      </c>
      <c r="S16">
        <f t="shared" si="2"/>
        <v>104600</v>
      </c>
      <c r="T16">
        <f t="shared" si="3"/>
        <v>133500</v>
      </c>
      <c r="U16">
        <f t="shared" si="4"/>
        <v>160650</v>
      </c>
      <c r="V16">
        <f t="shared" si="5"/>
        <v>184200</v>
      </c>
      <c r="W16">
        <f t="shared" si="6"/>
        <v>183600</v>
      </c>
      <c r="X16">
        <f t="shared" si="7"/>
        <v>176400</v>
      </c>
    </row>
    <row r="17" spans="2:24" hidden="1" x14ac:dyDescent="0.25">
      <c r="B17" t="s">
        <v>0</v>
      </c>
      <c r="C17">
        <v>12500</v>
      </c>
      <c r="D17">
        <v>3</v>
      </c>
      <c r="E17">
        <v>5774</v>
      </c>
      <c r="F17">
        <v>597</v>
      </c>
      <c r="G17">
        <v>524</v>
      </c>
      <c r="H17">
        <v>447</v>
      </c>
      <c r="I17">
        <v>359</v>
      </c>
      <c r="J17">
        <v>309</v>
      </c>
      <c r="K17">
        <v>207</v>
      </c>
      <c r="L17">
        <v>148</v>
      </c>
      <c r="M17">
        <v>18</v>
      </c>
      <c r="N17">
        <v>27</v>
      </c>
      <c r="O17">
        <v>308</v>
      </c>
      <c r="P17" s="1">
        <v>0.45043981481481482</v>
      </c>
      <c r="R17">
        <f>F17/$F17</f>
        <v>1</v>
      </c>
      <c r="S17">
        <f t="shared" ref="S17" si="22">G17/$F17</f>
        <v>0.8777219430485762</v>
      </c>
      <c r="T17">
        <f t="shared" ref="T17" si="23">H17/$F17</f>
        <v>0.74874371859296485</v>
      </c>
      <c r="U17">
        <f t="shared" ref="U17" si="24">I17/$F17</f>
        <v>0.60134003350083753</v>
      </c>
      <c r="V17">
        <f t="shared" ref="V17" si="25">J17/$F17</f>
        <v>0.51758793969849248</v>
      </c>
      <c r="W17">
        <f t="shared" ref="W17" si="26">K17/$F17</f>
        <v>0.34673366834170855</v>
      </c>
      <c r="X17">
        <f t="shared" ref="X17" si="27">L17/$F17</f>
        <v>0.24790619765494137</v>
      </c>
    </row>
    <row r="18" spans="2:24" hidden="1" x14ac:dyDescent="0.25">
      <c r="B18" t="s">
        <v>0</v>
      </c>
      <c r="C18">
        <v>11600</v>
      </c>
      <c r="D18">
        <v>1</v>
      </c>
      <c r="E18">
        <v>5812</v>
      </c>
      <c r="F18">
        <v>331</v>
      </c>
      <c r="G18">
        <v>307</v>
      </c>
      <c r="H18">
        <v>264</v>
      </c>
      <c r="I18">
        <v>222</v>
      </c>
      <c r="J18">
        <v>186</v>
      </c>
      <c r="K18">
        <v>125</v>
      </c>
      <c r="L18">
        <v>88</v>
      </c>
      <c r="M18">
        <v>19</v>
      </c>
      <c r="N18">
        <v>28</v>
      </c>
      <c r="O18">
        <v>559</v>
      </c>
      <c r="P18" s="1">
        <v>0.45265046296296302</v>
      </c>
      <c r="R18">
        <f t="shared" si="1"/>
        <v>0</v>
      </c>
      <c r="S18">
        <f t="shared" si="2"/>
        <v>61400</v>
      </c>
      <c r="T18">
        <f t="shared" si="3"/>
        <v>79200</v>
      </c>
      <c r="U18">
        <f t="shared" si="4"/>
        <v>99900</v>
      </c>
      <c r="V18">
        <f t="shared" si="5"/>
        <v>111600</v>
      </c>
      <c r="W18">
        <f t="shared" si="6"/>
        <v>112500</v>
      </c>
      <c r="X18">
        <f t="shared" si="7"/>
        <v>105600</v>
      </c>
    </row>
    <row r="19" spans="2:24" hidden="1" x14ac:dyDescent="0.25">
      <c r="B19" t="s">
        <v>0</v>
      </c>
      <c r="C19">
        <v>11600</v>
      </c>
      <c r="D19">
        <v>2</v>
      </c>
      <c r="E19">
        <v>5821</v>
      </c>
      <c r="F19">
        <v>331</v>
      </c>
      <c r="G19">
        <v>305</v>
      </c>
      <c r="H19">
        <v>264</v>
      </c>
      <c r="I19">
        <v>224</v>
      </c>
      <c r="J19">
        <v>186</v>
      </c>
      <c r="K19">
        <v>126</v>
      </c>
      <c r="L19">
        <v>90</v>
      </c>
      <c r="M19">
        <v>19</v>
      </c>
      <c r="N19">
        <v>28</v>
      </c>
      <c r="O19">
        <v>559</v>
      </c>
      <c r="P19" s="1">
        <v>0.45278935185185182</v>
      </c>
      <c r="R19">
        <f t="shared" si="1"/>
        <v>0</v>
      </c>
      <c r="S19">
        <f t="shared" si="2"/>
        <v>61000</v>
      </c>
      <c r="T19">
        <f t="shared" si="3"/>
        <v>79200</v>
      </c>
      <c r="U19">
        <f t="shared" si="4"/>
        <v>100800</v>
      </c>
      <c r="V19">
        <f t="shared" si="5"/>
        <v>111600</v>
      </c>
      <c r="W19">
        <f t="shared" si="6"/>
        <v>113400</v>
      </c>
      <c r="X19">
        <f t="shared" si="7"/>
        <v>108000</v>
      </c>
    </row>
    <row r="20" spans="2:24" x14ac:dyDescent="0.25">
      <c r="B20" t="s">
        <v>0</v>
      </c>
      <c r="C20">
        <v>11600</v>
      </c>
      <c r="D20">
        <v>3</v>
      </c>
      <c r="E20">
        <v>5854</v>
      </c>
      <c r="F20">
        <v>329</v>
      </c>
      <c r="G20">
        <v>306</v>
      </c>
      <c r="H20">
        <v>270</v>
      </c>
      <c r="I20">
        <v>225</v>
      </c>
      <c r="J20">
        <v>188</v>
      </c>
      <c r="K20">
        <v>127</v>
      </c>
      <c r="L20">
        <v>90</v>
      </c>
      <c r="M20">
        <v>19</v>
      </c>
      <c r="N20">
        <v>28</v>
      </c>
      <c r="O20">
        <v>566</v>
      </c>
      <c r="P20" s="1">
        <v>0.45291666666666663</v>
      </c>
      <c r="R20">
        <f>(5000/$E20)*F20</f>
        <v>281.00444140758458</v>
      </c>
      <c r="S20">
        <f t="shared" ref="S20" si="28">(5000/$E20)*G20</f>
        <v>261.35975401434916</v>
      </c>
      <c r="T20">
        <f t="shared" ref="T20" si="29">(5000/$E20)*H20</f>
        <v>230.61154765971986</v>
      </c>
      <c r="U20">
        <f t="shared" ref="U20" si="30">(5000/$E20)*I20</f>
        <v>192.17628971643322</v>
      </c>
      <c r="V20">
        <f t="shared" ref="V20" si="31">(5000/$E20)*J20</f>
        <v>160.57396651861976</v>
      </c>
      <c r="W20">
        <f t="shared" ref="W20" si="32">(5000/$E20)*K20</f>
        <v>108.47283908438675</v>
      </c>
      <c r="X20">
        <f t="shared" ref="X20" si="33">(5000/$E20)*L20</f>
        <v>76.870515886573287</v>
      </c>
    </row>
    <row r="21" spans="2:24" hidden="1" x14ac:dyDescent="0.25">
      <c r="B21" t="s">
        <v>0</v>
      </c>
      <c r="C21">
        <v>12500</v>
      </c>
      <c r="D21">
        <v>1</v>
      </c>
      <c r="E21">
        <v>5641</v>
      </c>
      <c r="F21">
        <v>618</v>
      </c>
      <c r="G21">
        <v>537</v>
      </c>
      <c r="H21">
        <v>451</v>
      </c>
      <c r="I21">
        <v>363</v>
      </c>
      <c r="J21">
        <v>305</v>
      </c>
      <c r="K21">
        <v>201</v>
      </c>
      <c r="L21">
        <v>142</v>
      </c>
      <c r="M21">
        <v>22</v>
      </c>
      <c r="N21">
        <v>31</v>
      </c>
      <c r="O21">
        <v>290</v>
      </c>
      <c r="P21" s="1">
        <v>0.53293981481481478</v>
      </c>
      <c r="R21">
        <f t="shared" si="1"/>
        <v>0</v>
      </c>
      <c r="S21">
        <f t="shared" si="2"/>
        <v>107400</v>
      </c>
      <c r="T21">
        <f t="shared" si="3"/>
        <v>135300</v>
      </c>
      <c r="U21">
        <f t="shared" si="4"/>
        <v>163350</v>
      </c>
      <c r="V21">
        <f t="shared" si="5"/>
        <v>183000</v>
      </c>
      <c r="W21">
        <f t="shared" si="6"/>
        <v>180900</v>
      </c>
      <c r="X21">
        <f t="shared" si="7"/>
        <v>170400</v>
      </c>
    </row>
    <row r="22" spans="2:24" hidden="1" x14ac:dyDescent="0.25">
      <c r="B22" t="s">
        <v>0</v>
      </c>
      <c r="C22">
        <v>12500</v>
      </c>
      <c r="D22">
        <v>2</v>
      </c>
      <c r="E22">
        <v>5732</v>
      </c>
      <c r="F22">
        <v>613</v>
      </c>
      <c r="G22">
        <v>537</v>
      </c>
      <c r="H22">
        <v>453</v>
      </c>
      <c r="I22">
        <v>364</v>
      </c>
      <c r="J22">
        <v>309</v>
      </c>
      <c r="K22">
        <v>201</v>
      </c>
      <c r="L22">
        <v>144</v>
      </c>
      <c r="M22">
        <v>22</v>
      </c>
      <c r="N22">
        <v>31</v>
      </c>
      <c r="O22">
        <v>298</v>
      </c>
      <c r="P22" s="1">
        <v>0.53304398148148147</v>
      </c>
      <c r="R22">
        <f t="shared" si="1"/>
        <v>0</v>
      </c>
      <c r="S22">
        <f t="shared" si="2"/>
        <v>107400</v>
      </c>
      <c r="T22">
        <f t="shared" si="3"/>
        <v>135900</v>
      </c>
      <c r="U22">
        <f t="shared" si="4"/>
        <v>163800</v>
      </c>
      <c r="V22">
        <f t="shared" si="5"/>
        <v>185400</v>
      </c>
      <c r="W22">
        <f t="shared" si="6"/>
        <v>180900</v>
      </c>
      <c r="X22">
        <f t="shared" si="7"/>
        <v>172800</v>
      </c>
    </row>
    <row r="23" spans="2:24" hidden="1" x14ac:dyDescent="0.25">
      <c r="B23" t="s">
        <v>0</v>
      </c>
      <c r="C23">
        <v>12500</v>
      </c>
      <c r="D23">
        <v>3</v>
      </c>
      <c r="E23">
        <v>5724</v>
      </c>
      <c r="F23">
        <v>610</v>
      </c>
      <c r="G23">
        <v>535</v>
      </c>
      <c r="H23">
        <v>452</v>
      </c>
      <c r="I23">
        <v>363</v>
      </c>
      <c r="J23">
        <v>309</v>
      </c>
      <c r="K23">
        <v>203</v>
      </c>
      <c r="L23">
        <v>145</v>
      </c>
      <c r="M23">
        <v>22</v>
      </c>
      <c r="N23">
        <v>31</v>
      </c>
      <c r="O23">
        <v>299</v>
      </c>
      <c r="P23" s="1">
        <v>0.53314814814814815</v>
      </c>
      <c r="R23">
        <f>F23/$F23</f>
        <v>1</v>
      </c>
      <c r="S23">
        <f t="shared" ref="S23" si="34">G23/$F23</f>
        <v>0.87704918032786883</v>
      </c>
      <c r="T23">
        <f t="shared" ref="T23" si="35">H23/$F23</f>
        <v>0.74098360655737705</v>
      </c>
      <c r="U23">
        <f t="shared" ref="U23" si="36">I23/$F23</f>
        <v>0.59508196721311479</v>
      </c>
      <c r="V23">
        <f t="shared" ref="V23" si="37">J23/$F23</f>
        <v>0.50655737704918036</v>
      </c>
      <c r="W23">
        <f t="shared" ref="W23" si="38">K23/$F23</f>
        <v>0.33278688524590166</v>
      </c>
      <c r="X23">
        <f t="shared" ref="X23" si="39">L23/$F23</f>
        <v>0.23770491803278687</v>
      </c>
    </row>
    <row r="24" spans="2:24" hidden="1" x14ac:dyDescent="0.25">
      <c r="B24" t="s">
        <v>0</v>
      </c>
      <c r="C24">
        <v>11600</v>
      </c>
      <c r="D24">
        <v>1</v>
      </c>
      <c r="E24">
        <v>5672</v>
      </c>
      <c r="F24">
        <v>369</v>
      </c>
      <c r="G24">
        <v>337</v>
      </c>
      <c r="H24">
        <v>285</v>
      </c>
      <c r="I24">
        <v>231</v>
      </c>
      <c r="J24">
        <v>197</v>
      </c>
      <c r="K24">
        <v>126</v>
      </c>
      <c r="L24">
        <v>87</v>
      </c>
      <c r="M24">
        <v>23</v>
      </c>
      <c r="N24">
        <v>34</v>
      </c>
      <c r="O24">
        <v>490</v>
      </c>
      <c r="P24" s="1">
        <v>0.53519675925925925</v>
      </c>
      <c r="R24">
        <f t="shared" si="1"/>
        <v>0</v>
      </c>
      <c r="S24">
        <f t="shared" si="2"/>
        <v>67400</v>
      </c>
      <c r="T24">
        <f t="shared" si="3"/>
        <v>85500</v>
      </c>
      <c r="U24">
        <f t="shared" si="4"/>
        <v>103950</v>
      </c>
      <c r="V24">
        <f t="shared" si="5"/>
        <v>118200</v>
      </c>
      <c r="W24">
        <f t="shared" si="6"/>
        <v>113400</v>
      </c>
      <c r="X24">
        <f t="shared" si="7"/>
        <v>104400</v>
      </c>
    </row>
    <row r="25" spans="2:24" hidden="1" x14ac:dyDescent="0.25">
      <c r="B25" t="s">
        <v>0</v>
      </c>
      <c r="C25">
        <v>11600</v>
      </c>
      <c r="D25">
        <v>2</v>
      </c>
      <c r="E25">
        <v>5752</v>
      </c>
      <c r="F25">
        <v>363</v>
      </c>
      <c r="G25">
        <v>332</v>
      </c>
      <c r="H25">
        <v>281</v>
      </c>
      <c r="I25">
        <v>228</v>
      </c>
      <c r="J25">
        <v>195</v>
      </c>
      <c r="K25">
        <v>126</v>
      </c>
      <c r="L25">
        <v>88</v>
      </c>
      <c r="M25">
        <v>23</v>
      </c>
      <c r="N25">
        <v>34</v>
      </c>
      <c r="O25">
        <v>504</v>
      </c>
      <c r="P25" s="1">
        <v>0.53530092592592593</v>
      </c>
      <c r="R25">
        <f t="shared" si="1"/>
        <v>0</v>
      </c>
      <c r="S25">
        <f t="shared" si="2"/>
        <v>66400</v>
      </c>
      <c r="T25">
        <f t="shared" si="3"/>
        <v>84300</v>
      </c>
      <c r="U25">
        <f t="shared" si="4"/>
        <v>102600</v>
      </c>
      <c r="V25">
        <f t="shared" si="5"/>
        <v>117000</v>
      </c>
      <c r="W25">
        <f t="shared" si="6"/>
        <v>113400</v>
      </c>
      <c r="X25">
        <f t="shared" si="7"/>
        <v>105600</v>
      </c>
    </row>
    <row r="26" spans="2:24" x14ac:dyDescent="0.25">
      <c r="B26" t="s">
        <v>0</v>
      </c>
      <c r="C26">
        <v>11600</v>
      </c>
      <c r="D26">
        <v>3</v>
      </c>
      <c r="E26">
        <v>5741</v>
      </c>
      <c r="F26">
        <v>363</v>
      </c>
      <c r="G26">
        <v>330</v>
      </c>
      <c r="H26">
        <v>280</v>
      </c>
      <c r="I26">
        <v>226</v>
      </c>
      <c r="J26">
        <v>194</v>
      </c>
      <c r="K26">
        <v>125</v>
      </c>
      <c r="L26">
        <v>88</v>
      </c>
      <c r="M26">
        <v>23</v>
      </c>
      <c r="N26">
        <v>34</v>
      </c>
      <c r="O26">
        <v>504</v>
      </c>
      <c r="P26" s="1">
        <v>0.53541666666666665</v>
      </c>
      <c r="R26">
        <f>(5000/$E26)*F26</f>
        <v>316.14701271555481</v>
      </c>
      <c r="S26">
        <f t="shared" ref="S26" si="40">(5000/$E26)*G26</f>
        <v>287.4063751959589</v>
      </c>
      <c r="T26">
        <f t="shared" ref="T26" si="41">(5000/$E26)*H26</f>
        <v>243.85995471172271</v>
      </c>
      <c r="U26">
        <f t="shared" ref="U26" si="42">(5000/$E26)*I26</f>
        <v>196.82982058874762</v>
      </c>
      <c r="V26">
        <f t="shared" ref="V26" si="43">(5000/$E26)*J26</f>
        <v>168.96011147883644</v>
      </c>
      <c r="W26">
        <f t="shared" ref="W26" si="44">(5000/$E26)*K26</f>
        <v>108.8660512105905</v>
      </c>
      <c r="X26">
        <f t="shared" ref="X26" si="45">(5000/$E26)*L26</f>
        <v>76.641700052255715</v>
      </c>
    </row>
    <row r="27" spans="2:24" hidden="1" x14ac:dyDescent="0.25">
      <c r="B27" t="s">
        <v>0</v>
      </c>
      <c r="C27">
        <v>12500</v>
      </c>
      <c r="D27">
        <v>1</v>
      </c>
      <c r="E27">
        <v>5613</v>
      </c>
      <c r="F27">
        <v>585</v>
      </c>
      <c r="G27">
        <v>507</v>
      </c>
      <c r="H27">
        <v>428</v>
      </c>
      <c r="I27">
        <v>343</v>
      </c>
      <c r="J27">
        <v>291</v>
      </c>
      <c r="K27">
        <v>193</v>
      </c>
      <c r="L27">
        <v>136</v>
      </c>
      <c r="M27">
        <v>24</v>
      </c>
      <c r="N27">
        <v>33</v>
      </c>
      <c r="O27">
        <v>305</v>
      </c>
      <c r="P27" s="1">
        <v>0.64724537037037033</v>
      </c>
      <c r="R27">
        <f t="shared" si="1"/>
        <v>0</v>
      </c>
      <c r="S27">
        <f t="shared" si="2"/>
        <v>101400</v>
      </c>
      <c r="T27">
        <f t="shared" si="3"/>
        <v>128400</v>
      </c>
      <c r="U27">
        <f t="shared" si="4"/>
        <v>154350</v>
      </c>
      <c r="V27">
        <f t="shared" si="5"/>
        <v>174600</v>
      </c>
      <c r="W27">
        <f t="shared" si="6"/>
        <v>173700</v>
      </c>
      <c r="X27">
        <f t="shared" si="7"/>
        <v>163200</v>
      </c>
    </row>
    <row r="28" spans="2:24" hidden="1" x14ac:dyDescent="0.25">
      <c r="B28" t="s">
        <v>0</v>
      </c>
      <c r="C28">
        <v>12500</v>
      </c>
      <c r="D28">
        <v>2</v>
      </c>
      <c r="E28">
        <v>5620</v>
      </c>
      <c r="F28">
        <v>577</v>
      </c>
      <c r="G28">
        <v>505</v>
      </c>
      <c r="H28">
        <v>429</v>
      </c>
      <c r="I28">
        <v>343</v>
      </c>
      <c r="J28">
        <v>293</v>
      </c>
      <c r="K28">
        <v>194</v>
      </c>
      <c r="L28">
        <v>138</v>
      </c>
      <c r="M28">
        <v>24</v>
      </c>
      <c r="N28">
        <v>33</v>
      </c>
      <c r="O28">
        <v>310</v>
      </c>
      <c r="P28" s="1">
        <v>0.64736111111111116</v>
      </c>
      <c r="R28">
        <f t="shared" si="1"/>
        <v>0</v>
      </c>
      <c r="S28">
        <f t="shared" si="2"/>
        <v>101000</v>
      </c>
      <c r="T28">
        <f t="shared" si="3"/>
        <v>128700</v>
      </c>
      <c r="U28">
        <f t="shared" si="4"/>
        <v>154350</v>
      </c>
      <c r="V28">
        <f t="shared" si="5"/>
        <v>175800</v>
      </c>
      <c r="W28">
        <f t="shared" si="6"/>
        <v>174600</v>
      </c>
      <c r="X28">
        <f t="shared" si="7"/>
        <v>165600</v>
      </c>
    </row>
    <row r="29" spans="2:24" hidden="1" x14ac:dyDescent="0.25">
      <c r="B29" t="s">
        <v>0</v>
      </c>
      <c r="C29">
        <v>12500</v>
      </c>
      <c r="D29">
        <v>3</v>
      </c>
      <c r="E29">
        <v>5659</v>
      </c>
      <c r="F29">
        <v>580</v>
      </c>
      <c r="G29">
        <v>508</v>
      </c>
      <c r="H29">
        <v>432</v>
      </c>
      <c r="I29">
        <v>345</v>
      </c>
      <c r="J29">
        <v>295</v>
      </c>
      <c r="K29">
        <v>197</v>
      </c>
      <c r="L29">
        <v>139</v>
      </c>
      <c r="M29">
        <v>24</v>
      </c>
      <c r="N29">
        <v>33</v>
      </c>
      <c r="O29">
        <v>310</v>
      </c>
      <c r="P29" s="1">
        <v>0.64746527777777774</v>
      </c>
      <c r="R29">
        <f>F29/$F29</f>
        <v>1</v>
      </c>
      <c r="S29">
        <f t="shared" ref="S29" si="46">G29/$F29</f>
        <v>0.87586206896551722</v>
      </c>
      <c r="T29">
        <f t="shared" ref="T29" si="47">H29/$F29</f>
        <v>0.7448275862068966</v>
      </c>
      <c r="U29">
        <f t="shared" ref="U29" si="48">I29/$F29</f>
        <v>0.59482758620689657</v>
      </c>
      <c r="V29">
        <f t="shared" ref="V29" si="49">J29/$F29</f>
        <v>0.50862068965517238</v>
      </c>
      <c r="W29">
        <f t="shared" ref="W29" si="50">K29/$F29</f>
        <v>0.33965517241379312</v>
      </c>
      <c r="X29">
        <f t="shared" ref="X29" si="51">L29/$F29</f>
        <v>0.23965517241379311</v>
      </c>
    </row>
    <row r="30" spans="2:24" hidden="1" x14ac:dyDescent="0.25">
      <c r="B30" t="s">
        <v>0</v>
      </c>
      <c r="C30">
        <v>11600</v>
      </c>
      <c r="D30">
        <v>1</v>
      </c>
      <c r="E30">
        <v>5659</v>
      </c>
      <c r="F30">
        <v>407</v>
      </c>
      <c r="G30">
        <v>354</v>
      </c>
      <c r="H30">
        <v>296</v>
      </c>
      <c r="I30">
        <v>232</v>
      </c>
      <c r="J30">
        <v>194</v>
      </c>
      <c r="K30">
        <v>123</v>
      </c>
      <c r="L30">
        <v>85</v>
      </c>
      <c r="M30">
        <v>24</v>
      </c>
      <c r="N30">
        <v>34</v>
      </c>
      <c r="O30">
        <v>442</v>
      </c>
      <c r="P30" s="1">
        <v>0.64961805555555563</v>
      </c>
      <c r="R30">
        <f t="shared" si="1"/>
        <v>0</v>
      </c>
      <c r="S30">
        <f t="shared" si="2"/>
        <v>70800</v>
      </c>
      <c r="T30">
        <f t="shared" si="3"/>
        <v>88800</v>
      </c>
      <c r="U30">
        <f t="shared" si="4"/>
        <v>104400</v>
      </c>
      <c r="V30">
        <f t="shared" si="5"/>
        <v>116400</v>
      </c>
      <c r="W30">
        <f t="shared" si="6"/>
        <v>110700</v>
      </c>
      <c r="X30">
        <f t="shared" si="7"/>
        <v>102000</v>
      </c>
    </row>
    <row r="31" spans="2:24" hidden="1" x14ac:dyDescent="0.25">
      <c r="B31" t="s">
        <v>0</v>
      </c>
      <c r="C31">
        <v>11600</v>
      </c>
      <c r="D31">
        <v>2</v>
      </c>
      <c r="E31">
        <v>5693</v>
      </c>
      <c r="F31">
        <v>408</v>
      </c>
      <c r="G31">
        <v>356</v>
      </c>
      <c r="H31">
        <v>298</v>
      </c>
      <c r="I31">
        <v>233</v>
      </c>
      <c r="J31">
        <v>196</v>
      </c>
      <c r="K31">
        <v>124</v>
      </c>
      <c r="L31">
        <v>86</v>
      </c>
      <c r="M31">
        <v>24</v>
      </c>
      <c r="N31">
        <v>34</v>
      </c>
      <c r="O31">
        <v>445</v>
      </c>
      <c r="P31" s="1">
        <v>0.6497222222222222</v>
      </c>
      <c r="R31">
        <f t="shared" si="1"/>
        <v>0</v>
      </c>
      <c r="S31">
        <f t="shared" si="2"/>
        <v>71200</v>
      </c>
      <c r="T31">
        <f t="shared" si="3"/>
        <v>89400</v>
      </c>
      <c r="U31">
        <f t="shared" si="4"/>
        <v>104850</v>
      </c>
      <c r="V31">
        <f t="shared" si="5"/>
        <v>117600</v>
      </c>
      <c r="W31">
        <f t="shared" si="6"/>
        <v>111600</v>
      </c>
      <c r="X31">
        <f t="shared" si="7"/>
        <v>103200</v>
      </c>
    </row>
    <row r="32" spans="2:24" x14ac:dyDescent="0.25">
      <c r="B32" t="s">
        <v>0</v>
      </c>
      <c r="C32">
        <v>11600</v>
      </c>
      <c r="D32">
        <v>3</v>
      </c>
      <c r="E32">
        <v>5675</v>
      </c>
      <c r="F32">
        <v>404</v>
      </c>
      <c r="G32">
        <v>353</v>
      </c>
      <c r="H32">
        <v>295</v>
      </c>
      <c r="I32">
        <v>230</v>
      </c>
      <c r="J32">
        <v>194</v>
      </c>
      <c r="K32">
        <v>123</v>
      </c>
      <c r="L32">
        <v>86</v>
      </c>
      <c r="M32">
        <v>24</v>
      </c>
      <c r="N32">
        <v>34</v>
      </c>
      <c r="O32">
        <v>447</v>
      </c>
      <c r="P32" s="1">
        <v>0.64982638888888888</v>
      </c>
      <c r="R32">
        <f>(5000/$E32)*F32</f>
        <v>355.94713656387665</v>
      </c>
      <c r="S32">
        <f t="shared" ref="S32" si="52">(5000/$E32)*G32</f>
        <v>311.01321585903082</v>
      </c>
      <c r="T32">
        <f t="shared" ref="T32" si="53">(5000/$E32)*H32</f>
        <v>259.91189427312776</v>
      </c>
      <c r="U32">
        <f t="shared" ref="U32" si="54">(5000/$E32)*I32</f>
        <v>202.6431718061674</v>
      </c>
      <c r="V32">
        <f t="shared" ref="V32" si="55">(5000/$E32)*J32</f>
        <v>170.92511013215858</v>
      </c>
      <c r="W32">
        <f t="shared" ref="W32" si="56">(5000/$E32)*K32</f>
        <v>108.37004405286343</v>
      </c>
      <c r="X32">
        <f t="shared" ref="X32" si="57">(5000/$E32)*L32</f>
        <v>75.770925110132154</v>
      </c>
    </row>
    <row r="33" spans="2:24" hidden="1" x14ac:dyDescent="0.25">
      <c r="B33" t="s">
        <v>0</v>
      </c>
      <c r="C33">
        <v>12500</v>
      </c>
      <c r="D33">
        <v>1</v>
      </c>
      <c r="E33">
        <v>5619</v>
      </c>
      <c r="F33">
        <v>580</v>
      </c>
      <c r="G33">
        <v>502</v>
      </c>
      <c r="H33">
        <v>423</v>
      </c>
      <c r="I33">
        <v>337</v>
      </c>
      <c r="J33">
        <v>287</v>
      </c>
      <c r="K33">
        <v>193</v>
      </c>
      <c r="L33">
        <v>139</v>
      </c>
      <c r="M33">
        <v>21</v>
      </c>
      <c r="N33">
        <v>28</v>
      </c>
      <c r="O33">
        <v>309</v>
      </c>
      <c r="P33" s="1">
        <v>0.73016203703703697</v>
      </c>
      <c r="R33">
        <f t="shared" si="1"/>
        <v>0</v>
      </c>
      <c r="S33">
        <f t="shared" si="2"/>
        <v>100400</v>
      </c>
      <c r="T33">
        <f t="shared" si="3"/>
        <v>126900</v>
      </c>
      <c r="U33">
        <f t="shared" si="4"/>
        <v>151650</v>
      </c>
      <c r="V33">
        <f t="shared" si="5"/>
        <v>172200</v>
      </c>
      <c r="W33">
        <f t="shared" si="6"/>
        <v>173700</v>
      </c>
      <c r="X33">
        <f t="shared" si="7"/>
        <v>166800</v>
      </c>
    </row>
    <row r="34" spans="2:24" hidden="1" x14ac:dyDescent="0.25">
      <c r="B34" t="s">
        <v>0</v>
      </c>
      <c r="C34">
        <v>12500</v>
      </c>
      <c r="D34">
        <v>2</v>
      </c>
      <c r="E34">
        <v>5695</v>
      </c>
      <c r="F34">
        <v>573</v>
      </c>
      <c r="G34">
        <v>498</v>
      </c>
      <c r="H34">
        <v>422</v>
      </c>
      <c r="I34">
        <v>337</v>
      </c>
      <c r="J34">
        <v>287</v>
      </c>
      <c r="K34">
        <v>192</v>
      </c>
      <c r="L34">
        <v>138</v>
      </c>
      <c r="M34">
        <v>21</v>
      </c>
      <c r="N34">
        <v>28</v>
      </c>
      <c r="O34">
        <v>316</v>
      </c>
      <c r="P34" s="1">
        <v>0.73026620370370365</v>
      </c>
      <c r="R34">
        <f t="shared" si="1"/>
        <v>0</v>
      </c>
      <c r="S34">
        <f t="shared" si="2"/>
        <v>99600</v>
      </c>
      <c r="T34">
        <f t="shared" si="3"/>
        <v>126600</v>
      </c>
      <c r="U34">
        <f t="shared" si="4"/>
        <v>151650</v>
      </c>
      <c r="V34">
        <f t="shared" si="5"/>
        <v>172200</v>
      </c>
      <c r="W34">
        <f t="shared" si="6"/>
        <v>172800</v>
      </c>
      <c r="X34">
        <f t="shared" si="7"/>
        <v>165600</v>
      </c>
    </row>
    <row r="35" spans="2:24" hidden="1" x14ac:dyDescent="0.25">
      <c r="B35" t="s">
        <v>0</v>
      </c>
      <c r="C35">
        <v>12500</v>
      </c>
      <c r="D35">
        <v>3</v>
      </c>
      <c r="E35">
        <v>5683</v>
      </c>
      <c r="F35">
        <v>575</v>
      </c>
      <c r="G35">
        <v>502</v>
      </c>
      <c r="H35">
        <v>425</v>
      </c>
      <c r="I35">
        <v>340</v>
      </c>
      <c r="J35">
        <v>290</v>
      </c>
      <c r="K35">
        <v>194</v>
      </c>
      <c r="L35">
        <v>141</v>
      </c>
      <c r="M35">
        <v>21</v>
      </c>
      <c r="N35">
        <v>28</v>
      </c>
      <c r="O35">
        <v>315</v>
      </c>
      <c r="P35" s="1">
        <v>0.73037037037037045</v>
      </c>
      <c r="R35">
        <f>F35/$F35</f>
        <v>1</v>
      </c>
      <c r="S35">
        <f t="shared" ref="S35" si="58">G35/$F35</f>
        <v>0.87304347826086959</v>
      </c>
      <c r="T35">
        <f t="shared" ref="T35" si="59">H35/$F35</f>
        <v>0.73913043478260865</v>
      </c>
      <c r="U35">
        <f t="shared" ref="U35" si="60">I35/$F35</f>
        <v>0.59130434782608698</v>
      </c>
      <c r="V35">
        <f t="shared" ref="V35" si="61">J35/$F35</f>
        <v>0.5043478260869565</v>
      </c>
      <c r="W35">
        <f t="shared" ref="W35" si="62">K35/$F35</f>
        <v>0.3373913043478261</v>
      </c>
      <c r="X35">
        <f t="shared" ref="X35" si="63">L35/$F35</f>
        <v>0.24521739130434783</v>
      </c>
    </row>
    <row r="36" spans="2:24" hidden="1" x14ac:dyDescent="0.25">
      <c r="B36" t="s">
        <v>0</v>
      </c>
      <c r="C36">
        <v>11600</v>
      </c>
      <c r="D36">
        <v>1</v>
      </c>
      <c r="E36">
        <v>5620</v>
      </c>
      <c r="F36">
        <v>402</v>
      </c>
      <c r="G36">
        <v>348</v>
      </c>
      <c r="H36">
        <v>288</v>
      </c>
      <c r="I36">
        <v>228</v>
      </c>
      <c r="J36">
        <v>191</v>
      </c>
      <c r="K36">
        <v>121</v>
      </c>
      <c r="L36">
        <v>85</v>
      </c>
      <c r="M36">
        <v>21</v>
      </c>
      <c r="N36">
        <v>28</v>
      </c>
      <c r="O36">
        <v>445</v>
      </c>
      <c r="P36" s="1">
        <v>0.73289351851851858</v>
      </c>
      <c r="R36">
        <f t="shared" si="1"/>
        <v>0</v>
      </c>
      <c r="S36">
        <f t="shared" si="2"/>
        <v>69600</v>
      </c>
      <c r="T36">
        <f t="shared" si="3"/>
        <v>86400</v>
      </c>
      <c r="U36">
        <f t="shared" si="4"/>
        <v>102600</v>
      </c>
      <c r="V36">
        <f t="shared" si="5"/>
        <v>114600</v>
      </c>
      <c r="W36">
        <f t="shared" si="6"/>
        <v>108900</v>
      </c>
      <c r="X36">
        <f t="shared" si="7"/>
        <v>102000</v>
      </c>
    </row>
    <row r="37" spans="2:24" hidden="1" x14ac:dyDescent="0.25">
      <c r="B37" t="s">
        <v>0</v>
      </c>
      <c r="C37">
        <v>11600</v>
      </c>
      <c r="D37">
        <v>2</v>
      </c>
      <c r="E37">
        <v>5677</v>
      </c>
      <c r="F37">
        <v>396</v>
      </c>
      <c r="G37">
        <v>343</v>
      </c>
      <c r="H37">
        <v>285</v>
      </c>
      <c r="I37">
        <v>225</v>
      </c>
      <c r="J37">
        <v>190</v>
      </c>
      <c r="K37">
        <v>121</v>
      </c>
      <c r="L37">
        <v>85</v>
      </c>
      <c r="M37">
        <v>21</v>
      </c>
      <c r="N37">
        <v>28</v>
      </c>
      <c r="O37">
        <v>456</v>
      </c>
      <c r="P37" s="1">
        <v>0.73299768518518515</v>
      </c>
      <c r="R37">
        <f t="shared" si="1"/>
        <v>0</v>
      </c>
      <c r="S37">
        <f t="shared" si="2"/>
        <v>68600</v>
      </c>
      <c r="T37">
        <f t="shared" si="3"/>
        <v>85500</v>
      </c>
      <c r="U37">
        <f t="shared" si="4"/>
        <v>101250</v>
      </c>
      <c r="V37">
        <f t="shared" si="5"/>
        <v>114000</v>
      </c>
      <c r="W37">
        <f t="shared" si="6"/>
        <v>108900</v>
      </c>
      <c r="X37">
        <f t="shared" si="7"/>
        <v>102000</v>
      </c>
    </row>
    <row r="38" spans="2:24" hidden="1" x14ac:dyDescent="0.25">
      <c r="B38" t="s">
        <v>0</v>
      </c>
      <c r="C38">
        <v>11600</v>
      </c>
      <c r="D38">
        <v>1</v>
      </c>
      <c r="E38">
        <v>5663</v>
      </c>
      <c r="F38">
        <v>390</v>
      </c>
      <c r="G38">
        <v>339</v>
      </c>
      <c r="H38">
        <v>283</v>
      </c>
      <c r="I38">
        <v>223</v>
      </c>
      <c r="J38">
        <v>189</v>
      </c>
      <c r="K38">
        <v>121</v>
      </c>
      <c r="L38">
        <v>85</v>
      </c>
      <c r="M38">
        <v>21</v>
      </c>
      <c r="N38">
        <v>28</v>
      </c>
      <c r="O38">
        <v>463</v>
      </c>
      <c r="P38" s="1">
        <v>0.73328703703703713</v>
      </c>
      <c r="R38">
        <f t="shared" si="1"/>
        <v>0</v>
      </c>
      <c r="S38">
        <f t="shared" si="2"/>
        <v>67800</v>
      </c>
      <c r="T38">
        <f t="shared" si="3"/>
        <v>84900</v>
      </c>
      <c r="U38">
        <f t="shared" si="4"/>
        <v>100350</v>
      </c>
      <c r="V38">
        <f t="shared" si="5"/>
        <v>113400</v>
      </c>
      <c r="W38">
        <f t="shared" si="6"/>
        <v>108900</v>
      </c>
      <c r="X38">
        <f t="shared" si="7"/>
        <v>102000</v>
      </c>
    </row>
    <row r="39" spans="2:24" hidden="1" x14ac:dyDescent="0.25">
      <c r="B39" t="s">
        <v>0</v>
      </c>
      <c r="C39">
        <v>11600</v>
      </c>
      <c r="D39">
        <v>2</v>
      </c>
      <c r="E39">
        <v>5667</v>
      </c>
      <c r="F39">
        <v>390</v>
      </c>
      <c r="G39">
        <v>339</v>
      </c>
      <c r="H39">
        <v>283</v>
      </c>
      <c r="I39">
        <v>222</v>
      </c>
      <c r="J39">
        <v>189</v>
      </c>
      <c r="K39">
        <v>120</v>
      </c>
      <c r="L39">
        <v>86</v>
      </c>
      <c r="M39">
        <v>21</v>
      </c>
      <c r="N39">
        <v>28</v>
      </c>
      <c r="O39">
        <v>462</v>
      </c>
      <c r="P39" s="1">
        <v>0.7333912037037037</v>
      </c>
      <c r="R39">
        <f t="shared" si="1"/>
        <v>0</v>
      </c>
      <c r="S39">
        <f t="shared" si="2"/>
        <v>67800</v>
      </c>
      <c r="T39">
        <f t="shared" si="3"/>
        <v>84900</v>
      </c>
      <c r="U39">
        <f t="shared" si="4"/>
        <v>99900</v>
      </c>
      <c r="V39">
        <f t="shared" si="5"/>
        <v>113400</v>
      </c>
      <c r="W39">
        <f t="shared" si="6"/>
        <v>108000</v>
      </c>
      <c r="X39">
        <f t="shared" si="7"/>
        <v>103200</v>
      </c>
    </row>
    <row r="40" spans="2:24" x14ac:dyDescent="0.25">
      <c r="B40" t="s">
        <v>0</v>
      </c>
      <c r="C40">
        <v>11600</v>
      </c>
      <c r="D40">
        <v>3</v>
      </c>
      <c r="E40">
        <v>5655</v>
      </c>
      <c r="F40">
        <v>392</v>
      </c>
      <c r="G40">
        <v>341</v>
      </c>
      <c r="H40">
        <v>284</v>
      </c>
      <c r="I40">
        <v>223</v>
      </c>
      <c r="J40">
        <v>190</v>
      </c>
      <c r="K40">
        <v>121</v>
      </c>
      <c r="L40">
        <v>87</v>
      </c>
      <c r="M40">
        <v>21</v>
      </c>
      <c r="N40">
        <v>28</v>
      </c>
      <c r="O40">
        <v>460</v>
      </c>
      <c r="P40" s="1">
        <v>0.73349537037037038</v>
      </c>
      <c r="R40">
        <f>(5000/$E40)*F40</f>
        <v>346.59593280282934</v>
      </c>
      <c r="S40">
        <f t="shared" ref="S40" si="64">(5000/$E40)*G40</f>
        <v>301.5030946065429</v>
      </c>
      <c r="T40">
        <f t="shared" ref="T40" si="65">(5000/$E40)*H40</f>
        <v>251.10521662245802</v>
      </c>
      <c r="U40">
        <f t="shared" ref="U40" si="66">(5000/$E40)*I40</f>
        <v>197.17064544650751</v>
      </c>
      <c r="V40">
        <f t="shared" ref="V40" si="67">(5000/$E40)*J40</f>
        <v>167.99292661361628</v>
      </c>
      <c r="W40">
        <f t="shared" ref="W40" si="68">(5000/$E40)*K40</f>
        <v>106.98496905393458</v>
      </c>
      <c r="X40">
        <f t="shared" ref="X40" si="69">(5000/$E40)*L40</f>
        <v>76.92307692307692</v>
      </c>
    </row>
  </sheetData>
  <autoFilter ref="C2:P40" xr:uid="{941993EB-AC03-47F1-B9E6-6437DED6E605}">
    <filterColumn colId="0">
      <filters>
        <filter val="11600"/>
      </filters>
    </filterColumn>
    <filterColumn colId="1">
      <filters>
        <filter val="3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C030-9E72-42B7-AEA2-207F6B11F96A}">
  <dimension ref="C1:AA353"/>
  <sheetViews>
    <sheetView tabSelected="1" topLeftCell="E1" zoomScale="85" zoomScaleNormal="85" workbookViewId="0">
      <selection activeCell="V33" sqref="V33"/>
    </sheetView>
  </sheetViews>
  <sheetFormatPr defaultRowHeight="15" x14ac:dyDescent="0.25"/>
  <cols>
    <col min="3" max="7" width="9.140625" style="2"/>
    <col min="16" max="16" width="13.28515625" bestFit="1" customWidth="1"/>
  </cols>
  <sheetData>
    <row r="1" spans="3:27" x14ac:dyDescent="0.25"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K1" s="2" t="s">
        <v>22</v>
      </c>
      <c r="L1" s="2" t="s">
        <v>23</v>
      </c>
      <c r="M1" s="2"/>
      <c r="N1" s="2" t="s">
        <v>21</v>
      </c>
      <c r="P1" s="2" t="s">
        <v>25</v>
      </c>
      <c r="Q1" t="s">
        <v>21</v>
      </c>
      <c r="R1" s="2">
        <v>1</v>
      </c>
      <c r="S1" s="2" t="s">
        <v>24</v>
      </c>
      <c r="T1" s="2" t="s">
        <v>26</v>
      </c>
      <c r="U1" s="2" t="s">
        <v>27</v>
      </c>
      <c r="V1" s="2"/>
      <c r="Y1" t="s">
        <v>21</v>
      </c>
    </row>
    <row r="2" spans="3:27" x14ac:dyDescent="0.25">
      <c r="C2" s="2">
        <v>25</v>
      </c>
      <c r="D2" s="2">
        <v>50</v>
      </c>
      <c r="E2" s="2">
        <v>100</v>
      </c>
      <c r="F2" s="2">
        <v>671</v>
      </c>
      <c r="G2" s="2">
        <v>0.87297470337638605</v>
      </c>
      <c r="H2">
        <f>$K$2*((0.7*150*150*(1-0.5*0.5))/(G2*F2))*D2^$L$2</f>
        <v>23.44718658391437</v>
      </c>
      <c r="I2">
        <f>(H2-C2)^2</f>
        <v>2.411229505175525</v>
      </c>
      <c r="J2">
        <f>$K$2*((0.7*150*150*(1-0.5*0.5))/(G2*F2))</f>
        <v>22.995058166853834</v>
      </c>
      <c r="K2">
        <v>1.1402940816291853</v>
      </c>
      <c r="L2">
        <v>4.9772667583623566E-3</v>
      </c>
      <c r="N2">
        <f>SQRT(SUM(I2:I351))</f>
        <v>15.733158279007663</v>
      </c>
      <c r="P2">
        <f>$T$2*LOG($W$2+$U$2*D2)*(1/F2^($R$2*LOG($S$2*C2+$V$2*D2)))</f>
        <v>0.84730151424007849</v>
      </c>
      <c r="Q2">
        <f>(G2-P2)^2</f>
        <v>6.5911264042862062E-4</v>
      </c>
      <c r="R2" s="2">
        <v>0.37947366007504979</v>
      </c>
      <c r="S2" s="2">
        <v>19.317822330923782</v>
      </c>
      <c r="T2">
        <v>14569.182233954101</v>
      </c>
      <c r="U2">
        <v>2.3708510559324164E-4</v>
      </c>
      <c r="V2">
        <v>0.56073190643380988</v>
      </c>
      <c r="W2">
        <v>1.1018094970139307</v>
      </c>
      <c r="Y2">
        <f>SQRT(SUM(Q2:Q351)/350)</f>
        <v>4.1547434402834579E-3</v>
      </c>
    </row>
    <row r="3" spans="3:27" x14ac:dyDescent="0.25">
      <c r="C3" s="2">
        <v>25</v>
      </c>
      <c r="D3" s="2">
        <v>50</v>
      </c>
      <c r="E3" s="2">
        <v>150</v>
      </c>
      <c r="F3" s="2">
        <v>813</v>
      </c>
      <c r="G3" s="2">
        <v>0.70262022328074802</v>
      </c>
      <c r="H3">
        <f t="shared" ref="H3:H66" si="0">$K$2*((0.7*150*150*(1-0.5*0.5))/(G3*F3))*D3^$L$2</f>
        <v>24.04383435409774</v>
      </c>
      <c r="I3">
        <f t="shared" ref="I3:I66" si="1">(H3-C3)^2</f>
        <v>0.91425274240368615</v>
      </c>
      <c r="J3">
        <f t="shared" ref="J3:J66" si="2">$K$2*((0.7*150*150*(1-0.5*0.5))/(G3*F3))</f>
        <v>23.580200871774458</v>
      </c>
      <c r="P3">
        <f t="shared" ref="P3:P66" si="3">$T$2*LOG($W$2+$U$2*D3)*(1/F3^($R$2*LOG($S$2*C3+$V$2*D3)))</f>
        <v>0.69559258014120962</v>
      </c>
      <c r="Q3">
        <f t="shared" ref="Q3:Q66" si="4">(G3-P3)^2</f>
        <v>4.938776809670126E-5</v>
      </c>
    </row>
    <row r="4" spans="3:27" x14ac:dyDescent="0.25">
      <c r="C4" s="2">
        <v>25</v>
      </c>
      <c r="D4" s="2">
        <v>50</v>
      </c>
      <c r="E4" s="2">
        <v>200</v>
      </c>
      <c r="F4" s="2">
        <v>942</v>
      </c>
      <c r="G4" s="2">
        <v>0.59607234305996903</v>
      </c>
      <c r="H4">
        <f t="shared" si="0"/>
        <v>24.460483892549707</v>
      </c>
      <c r="I4">
        <f t="shared" si="1"/>
        <v>0.29107763019831612</v>
      </c>
      <c r="J4">
        <f t="shared" si="2"/>
        <v>23.988816222601606</v>
      </c>
      <c r="P4">
        <f t="shared" si="3"/>
        <v>0.59788614798113127</v>
      </c>
      <c r="Q4">
        <f t="shared" si="4"/>
        <v>3.2898882920323307E-6</v>
      </c>
    </row>
    <row r="5" spans="3:27" x14ac:dyDescent="0.25">
      <c r="C5" s="2">
        <v>25</v>
      </c>
      <c r="D5" s="2">
        <v>50</v>
      </c>
      <c r="E5" s="2">
        <v>250</v>
      </c>
      <c r="F5" s="2">
        <v>1065</v>
      </c>
      <c r="G5" s="2">
        <v>0.521533242745991</v>
      </c>
      <c r="H5">
        <f t="shared" si="0"/>
        <v>24.727676769201441</v>
      </c>
      <c r="I5">
        <f t="shared" si="1"/>
        <v>7.4159942032565249E-2</v>
      </c>
      <c r="J5">
        <f t="shared" si="2"/>
        <v>24.250856860969314</v>
      </c>
      <c r="P5">
        <f t="shared" si="3"/>
        <v>0.52703536040835308</v>
      </c>
      <c r="Q5">
        <f t="shared" si="4"/>
        <v>3.027329877047679E-5</v>
      </c>
    </row>
    <row r="6" spans="3:27" x14ac:dyDescent="0.25">
      <c r="C6" s="2">
        <v>25</v>
      </c>
      <c r="D6" s="2">
        <v>50</v>
      </c>
      <c r="E6" s="2">
        <v>300</v>
      </c>
      <c r="F6" s="2">
        <v>1176</v>
      </c>
      <c r="G6" s="2">
        <v>0.468861856373613</v>
      </c>
      <c r="H6">
        <f t="shared" si="0"/>
        <v>24.909367165663035</v>
      </c>
      <c r="I6">
        <f t="shared" si="1"/>
        <v>8.2143106599517641E-3</v>
      </c>
      <c r="J6">
        <f t="shared" si="2"/>
        <v>24.429043750046201</v>
      </c>
      <c r="P6">
        <f t="shared" si="3"/>
        <v>0.47597745918510337</v>
      </c>
      <c r="Q6">
        <f t="shared" si="4"/>
        <v>5.0631803370889707E-5</v>
      </c>
    </row>
    <row r="7" spans="3:27" x14ac:dyDescent="0.25">
      <c r="C7" s="2">
        <v>25</v>
      </c>
      <c r="D7" s="2">
        <v>50</v>
      </c>
      <c r="E7" s="2">
        <v>350</v>
      </c>
      <c r="F7" s="2">
        <v>1280</v>
      </c>
      <c r="G7" s="2">
        <v>0.42857603923586901</v>
      </c>
      <c r="H7">
        <f t="shared" si="0"/>
        <v>25.036698654274407</v>
      </c>
      <c r="I7">
        <f t="shared" si="1"/>
        <v>1.3467912255524181E-3</v>
      </c>
      <c r="J7">
        <f t="shared" si="2"/>
        <v>24.553919925557139</v>
      </c>
      <c r="P7">
        <f t="shared" si="3"/>
        <v>0.43627645855285357</v>
      </c>
      <c r="Q7">
        <f t="shared" si="4"/>
        <v>5.9296457657389012E-5</v>
      </c>
    </row>
    <row r="8" spans="3:27" x14ac:dyDescent="0.25">
      <c r="C8" s="2">
        <v>25</v>
      </c>
      <c r="D8" s="2">
        <v>50</v>
      </c>
      <c r="E8" s="2">
        <v>400</v>
      </c>
      <c r="F8" s="2">
        <v>1373</v>
      </c>
      <c r="G8" s="2">
        <v>0.39739459876646599</v>
      </c>
      <c r="H8">
        <f t="shared" si="0"/>
        <v>25.172272319652858</v>
      </c>
      <c r="I8">
        <f t="shared" si="1"/>
        <v>2.9677752118576619E-2</v>
      </c>
      <c r="J8">
        <f t="shared" si="2"/>
        <v>24.6868793452348</v>
      </c>
      <c r="P8">
        <f t="shared" si="3"/>
        <v>0.40593393912039888</v>
      </c>
      <c r="Q8">
        <f t="shared" si="4"/>
        <v>7.2920333680306679E-5</v>
      </c>
    </row>
    <row r="9" spans="3:27" x14ac:dyDescent="0.25">
      <c r="C9" s="2">
        <v>25</v>
      </c>
      <c r="D9" s="2">
        <v>100</v>
      </c>
      <c r="E9" s="2">
        <v>100</v>
      </c>
      <c r="F9" s="2">
        <v>914</v>
      </c>
      <c r="G9" s="2">
        <v>0.63924928557682004</v>
      </c>
      <c r="H9">
        <f t="shared" si="0"/>
        <v>23.588307367334867</v>
      </c>
      <c r="I9">
        <f t="shared" si="1"/>
        <v>1.9928760891210144</v>
      </c>
      <c r="J9">
        <f t="shared" si="2"/>
        <v>23.053785323456239</v>
      </c>
      <c r="P9">
        <f t="shared" si="3"/>
        <v>0.63791562148082415</v>
      </c>
      <c r="Q9">
        <f t="shared" si="4"/>
        <v>1.7786599209485347E-6</v>
      </c>
    </row>
    <row r="10" spans="3:27" x14ac:dyDescent="0.25">
      <c r="C10" s="2">
        <v>25</v>
      </c>
      <c r="D10" s="2">
        <v>100</v>
      </c>
      <c r="E10" s="2">
        <v>150</v>
      </c>
      <c r="F10" s="2">
        <v>1061</v>
      </c>
      <c r="G10" s="2">
        <v>0.54400922078010905</v>
      </c>
      <c r="H10">
        <f t="shared" si="0"/>
        <v>23.877649916099024</v>
      </c>
      <c r="I10">
        <f t="shared" si="1"/>
        <v>1.2596697108325277</v>
      </c>
      <c r="J10">
        <f t="shared" si="2"/>
        <v>23.336571235148565</v>
      </c>
      <c r="P10">
        <f t="shared" si="3"/>
        <v>0.54654424886467412</v>
      </c>
      <c r="Q10">
        <f t="shared" si="4"/>
        <v>6.4263673895336572E-6</v>
      </c>
    </row>
    <row r="11" spans="3:27" x14ac:dyDescent="0.25">
      <c r="C11" s="2">
        <v>25</v>
      </c>
      <c r="D11" s="2">
        <v>100</v>
      </c>
      <c r="E11" s="2">
        <v>200</v>
      </c>
      <c r="F11" s="2">
        <v>1193</v>
      </c>
      <c r="G11" s="2">
        <v>0.47937670522236803</v>
      </c>
      <c r="H11">
        <f t="shared" si="0"/>
        <v>24.098824306794587</v>
      </c>
      <c r="I11">
        <f t="shared" si="1"/>
        <v>0.8121176300242573</v>
      </c>
      <c r="J11">
        <f t="shared" si="2"/>
        <v>23.552733711020092</v>
      </c>
      <c r="P11">
        <f t="shared" si="3"/>
        <v>0.48399163088714686</v>
      </c>
      <c r="Q11">
        <f t="shared" si="4"/>
        <v>2.1297538891434372E-5</v>
      </c>
      <c r="Y11">
        <v>50</v>
      </c>
      <c r="Z11">
        <v>1099</v>
      </c>
      <c r="AA11">
        <v>1.0980000000000001</v>
      </c>
    </row>
    <row r="12" spans="3:27" x14ac:dyDescent="0.25">
      <c r="C12" s="2">
        <v>25</v>
      </c>
      <c r="D12" s="2">
        <v>100</v>
      </c>
      <c r="E12" s="2">
        <v>250</v>
      </c>
      <c r="F12" s="2">
        <v>1310</v>
      </c>
      <c r="G12" s="2">
        <v>0.43341291233368301</v>
      </c>
      <c r="H12">
        <f t="shared" si="0"/>
        <v>24.273929365196853</v>
      </c>
      <c r="I12">
        <f t="shared" si="1"/>
        <v>0.52717856672344476</v>
      </c>
      <c r="J12">
        <f t="shared" si="2"/>
        <v>23.723870807149648</v>
      </c>
      <c r="P12">
        <f t="shared" si="3"/>
        <v>0.43925939579586276</v>
      </c>
      <c r="Q12">
        <f t="shared" si="4"/>
        <v>3.4181368873541342E-5</v>
      </c>
      <c r="Y12">
        <v>100</v>
      </c>
      <c r="Z12">
        <v>998.44</v>
      </c>
      <c r="AA12">
        <v>1.079</v>
      </c>
    </row>
    <row r="13" spans="3:27" x14ac:dyDescent="0.25">
      <c r="C13" s="2">
        <v>25</v>
      </c>
      <c r="D13" s="2">
        <v>100</v>
      </c>
      <c r="E13" s="2">
        <v>300</v>
      </c>
      <c r="F13" s="2">
        <v>1419</v>
      </c>
      <c r="G13" s="2">
        <v>0.39788760042625498</v>
      </c>
      <c r="H13">
        <f t="shared" si="0"/>
        <v>24.410148676224324</v>
      </c>
      <c r="I13">
        <f t="shared" si="1"/>
        <v>0.34792458415991728</v>
      </c>
      <c r="J13">
        <f t="shared" si="2"/>
        <v>23.857003325071865</v>
      </c>
      <c r="P13">
        <f t="shared" si="3"/>
        <v>0.40433423578605932</v>
      </c>
      <c r="Q13">
        <f t="shared" si="4"/>
        <v>4.1559107462279519E-5</v>
      </c>
      <c r="Y13">
        <v>150</v>
      </c>
      <c r="Z13">
        <v>757.25</v>
      </c>
      <c r="AA13">
        <v>1.0369999999999999</v>
      </c>
    </row>
    <row r="14" spans="3:27" x14ac:dyDescent="0.25">
      <c r="C14" s="2">
        <v>25</v>
      </c>
      <c r="D14" s="2">
        <v>100</v>
      </c>
      <c r="E14" s="2">
        <v>350</v>
      </c>
      <c r="F14" s="2">
        <v>1519</v>
      </c>
      <c r="G14" s="2">
        <v>0.36968416522699699</v>
      </c>
      <c r="H14">
        <f t="shared" si="0"/>
        <v>24.542827937947248</v>
      </c>
      <c r="I14">
        <f t="shared" si="1"/>
        <v>0.20900629432156548</v>
      </c>
      <c r="J14">
        <f t="shared" si="2"/>
        <v>23.986676012857455</v>
      </c>
      <c r="P14">
        <f t="shared" si="3"/>
        <v>0.37677624592158349</v>
      </c>
      <c r="Q14">
        <f t="shared" si="4"/>
        <v>5.0297608578526532E-5</v>
      </c>
      <c r="Y14">
        <v>200</v>
      </c>
      <c r="Z14">
        <v>588.04999999999995</v>
      </c>
      <c r="AA14">
        <v>0.999</v>
      </c>
    </row>
    <row r="15" spans="3:27" x14ac:dyDescent="0.25">
      <c r="C15" s="2">
        <v>25</v>
      </c>
      <c r="D15" s="2">
        <v>100</v>
      </c>
      <c r="E15" s="2">
        <v>400</v>
      </c>
      <c r="F15" s="2">
        <v>1612</v>
      </c>
      <c r="G15" s="2">
        <v>0.34636971465337901</v>
      </c>
      <c r="H15">
        <f t="shared" si="0"/>
        <v>24.683587266873914</v>
      </c>
      <c r="I15">
        <f t="shared" si="1"/>
        <v>0.10011701768431956</v>
      </c>
      <c r="J15">
        <f t="shared" si="2"/>
        <v>24.124245669756316</v>
      </c>
      <c r="P15">
        <f t="shared" si="3"/>
        <v>0.35426841560677591</v>
      </c>
      <c r="Q15">
        <f t="shared" si="4"/>
        <v>6.2389476751193064E-5</v>
      </c>
      <c r="Y15">
        <v>250</v>
      </c>
      <c r="Z15">
        <v>524.36</v>
      </c>
      <c r="AA15">
        <v>0.98</v>
      </c>
    </row>
    <row r="16" spans="3:27" x14ac:dyDescent="0.25">
      <c r="C16" s="2">
        <v>25</v>
      </c>
      <c r="D16" s="2">
        <v>150</v>
      </c>
      <c r="E16" s="2">
        <v>100</v>
      </c>
      <c r="F16" s="2">
        <v>1168</v>
      </c>
      <c r="G16" s="2">
        <v>0.499953245872372</v>
      </c>
      <c r="H16">
        <f t="shared" si="0"/>
        <v>23.649253869194052</v>
      </c>
      <c r="I16">
        <f t="shared" si="1"/>
        <v>1.8245151098872401</v>
      </c>
      <c r="J16">
        <f t="shared" si="2"/>
        <v>23.066752546930207</v>
      </c>
      <c r="P16">
        <f t="shared" si="3"/>
        <v>0.50770275474743909</v>
      </c>
      <c r="Q16">
        <f t="shared" si="4"/>
        <v>6.0054887804743599E-5</v>
      </c>
    </row>
    <row r="17" spans="3:17" x14ac:dyDescent="0.25">
      <c r="C17" s="2">
        <v>25</v>
      </c>
      <c r="D17" s="2">
        <v>150</v>
      </c>
      <c r="E17" s="2">
        <v>150</v>
      </c>
      <c r="F17" s="2">
        <v>1310</v>
      </c>
      <c r="G17" s="2">
        <v>0.44479201274789498</v>
      </c>
      <c r="H17">
        <f t="shared" si="0"/>
        <v>23.700712541545386</v>
      </c>
      <c r="I17">
        <f t="shared" si="1"/>
        <v>1.6881478996974513</v>
      </c>
      <c r="J17">
        <f t="shared" si="2"/>
        <v>23.116943748229289</v>
      </c>
      <c r="P17">
        <f t="shared" si="3"/>
        <v>0.45034190223512593</v>
      </c>
      <c r="Q17">
        <f t="shared" si="4"/>
        <v>3.0801273320476642E-5</v>
      </c>
    </row>
    <row r="18" spans="3:17" x14ac:dyDescent="0.25">
      <c r="C18" s="2">
        <v>25</v>
      </c>
      <c r="D18" s="2">
        <v>150</v>
      </c>
      <c r="E18" s="2">
        <v>200</v>
      </c>
      <c r="F18" s="2">
        <v>1444</v>
      </c>
      <c r="G18" s="2">
        <v>0.40257547141723699</v>
      </c>
      <c r="H18">
        <f t="shared" si="0"/>
        <v>23.756101657781379</v>
      </c>
      <c r="I18">
        <f t="shared" si="1"/>
        <v>1.5472830857742339</v>
      </c>
      <c r="J18">
        <f t="shared" si="2"/>
        <v>23.170968583223051</v>
      </c>
      <c r="P18">
        <f t="shared" si="3"/>
        <v>0.40676743458478248</v>
      </c>
      <c r="Q18">
        <f t="shared" si="4"/>
        <v>1.7572555198058087E-5</v>
      </c>
    </row>
    <row r="19" spans="3:17" x14ac:dyDescent="0.25">
      <c r="C19" s="2">
        <v>25</v>
      </c>
      <c r="D19" s="2">
        <v>150</v>
      </c>
      <c r="E19" s="2">
        <v>250</v>
      </c>
      <c r="F19" s="2">
        <v>1562</v>
      </c>
      <c r="G19" s="2">
        <v>0.37136615196094003</v>
      </c>
      <c r="H19">
        <f t="shared" si="0"/>
        <v>23.807090963218688</v>
      </c>
      <c r="I19">
        <f t="shared" si="1"/>
        <v>1.4230319700345186</v>
      </c>
      <c r="J19">
        <f t="shared" si="2"/>
        <v>23.2207019785161</v>
      </c>
      <c r="P19">
        <f t="shared" si="3"/>
        <v>0.37471377834328246</v>
      </c>
      <c r="Q19">
        <f t="shared" si="4"/>
        <v>1.1206602395755051E-5</v>
      </c>
    </row>
    <row r="20" spans="3:17" x14ac:dyDescent="0.25">
      <c r="C20" s="2">
        <v>25</v>
      </c>
      <c r="D20" s="2">
        <v>150</v>
      </c>
      <c r="E20" s="2">
        <v>300</v>
      </c>
      <c r="F20" s="2">
        <v>1668</v>
      </c>
      <c r="G20" s="2">
        <v>0.34680455087823497</v>
      </c>
      <c r="H20">
        <f t="shared" si="0"/>
        <v>23.873101491554653</v>
      </c>
      <c r="I20">
        <f t="shared" si="1"/>
        <v>1.2699002483363475</v>
      </c>
      <c r="J20">
        <f t="shared" si="2"/>
        <v>23.285086611157777</v>
      </c>
      <c r="P20">
        <f t="shared" si="3"/>
        <v>0.34986742913151919</v>
      </c>
      <c r="Q20">
        <f t="shared" si="4"/>
        <v>9.3812231944413822E-6</v>
      </c>
    </row>
    <row r="21" spans="3:17" x14ac:dyDescent="0.25">
      <c r="C21" s="2">
        <v>25</v>
      </c>
      <c r="D21" s="2">
        <v>150</v>
      </c>
      <c r="E21" s="2">
        <v>350</v>
      </c>
      <c r="F21" s="2">
        <v>1766</v>
      </c>
      <c r="G21" s="2">
        <v>0.32628072982276801</v>
      </c>
      <c r="H21">
        <f t="shared" si="0"/>
        <v>23.966662168130277</v>
      </c>
      <c r="I21">
        <f t="shared" si="1"/>
        <v>1.0677870747732197</v>
      </c>
      <c r="J21">
        <f t="shared" si="2"/>
        <v>23.376342808356647</v>
      </c>
      <c r="P21">
        <f t="shared" si="3"/>
        <v>0.32960582525362631</v>
      </c>
      <c r="Q21">
        <f t="shared" si="4"/>
        <v>1.1056259624314701E-5</v>
      </c>
    </row>
    <row r="22" spans="3:17" x14ac:dyDescent="0.25">
      <c r="C22" s="2">
        <v>25</v>
      </c>
      <c r="D22" s="2">
        <v>150</v>
      </c>
      <c r="E22" s="2">
        <v>400</v>
      </c>
      <c r="F22" s="2">
        <v>1859</v>
      </c>
      <c r="G22" s="2">
        <v>0.30848579993633202</v>
      </c>
      <c r="H22">
        <f t="shared" si="0"/>
        <v>24.081032902053259</v>
      </c>
      <c r="I22">
        <f t="shared" si="1"/>
        <v>0.84450052710865475</v>
      </c>
      <c r="J22">
        <f t="shared" si="2"/>
        <v>23.487896493415978</v>
      </c>
      <c r="P22">
        <f t="shared" si="3"/>
        <v>0.31239551807076643</v>
      </c>
      <c r="Q22">
        <f t="shared" si="4"/>
        <v>1.5285895890725317E-5</v>
      </c>
    </row>
    <row r="23" spans="3:17" x14ac:dyDescent="0.25">
      <c r="C23" s="2">
        <v>25</v>
      </c>
      <c r="D23" s="2">
        <v>200</v>
      </c>
      <c r="E23" s="2">
        <v>100</v>
      </c>
      <c r="F23" s="2">
        <v>1490</v>
      </c>
      <c r="G23" s="2">
        <v>0.396315600133055</v>
      </c>
      <c r="H23">
        <f t="shared" si="0"/>
        <v>23.419849273664159</v>
      </c>
      <c r="I23">
        <f t="shared" si="1"/>
        <v>2.496876317939686</v>
      </c>
      <c r="J23">
        <f t="shared" si="2"/>
        <v>22.810313574716854</v>
      </c>
      <c r="P23">
        <f t="shared" si="3"/>
        <v>0.40135004079776954</v>
      </c>
      <c r="Q23">
        <f t="shared" si="4"/>
        <v>2.5345592806531323E-5</v>
      </c>
    </row>
    <row r="24" spans="3:17" x14ac:dyDescent="0.25">
      <c r="C24" s="2">
        <v>25</v>
      </c>
      <c r="D24" s="2">
        <v>200</v>
      </c>
      <c r="E24" s="2">
        <v>150</v>
      </c>
      <c r="F24" s="2">
        <v>1618</v>
      </c>
      <c r="G24" s="2">
        <v>0.36598506029795602</v>
      </c>
      <c r="H24">
        <f t="shared" si="0"/>
        <v>23.354450694183164</v>
      </c>
      <c r="I24">
        <f t="shared" si="1"/>
        <v>2.7078325178742699</v>
      </c>
      <c r="J24">
        <f t="shared" si="2"/>
        <v>22.746617088549453</v>
      </c>
      <c r="P24">
        <f t="shared" si="3"/>
        <v>0.36799194479175051</v>
      </c>
      <c r="Q24">
        <f t="shared" si="4"/>
        <v>4.0275853714327735E-6</v>
      </c>
    </row>
    <row r="25" spans="3:17" x14ac:dyDescent="0.25">
      <c r="C25" s="2">
        <v>25</v>
      </c>
      <c r="D25" s="2">
        <v>200</v>
      </c>
      <c r="E25" s="2">
        <v>200</v>
      </c>
      <c r="F25" s="2">
        <v>1733</v>
      </c>
      <c r="G25" s="2">
        <v>0.34262894916506398</v>
      </c>
      <c r="H25">
        <f t="shared" si="0"/>
        <v>23.291041803572231</v>
      </c>
      <c r="I25">
        <f t="shared" si="1"/>
        <v>2.9205381171376534</v>
      </c>
      <c r="J25">
        <f t="shared" si="2"/>
        <v>22.68485850670039</v>
      </c>
      <c r="P25">
        <f t="shared" si="3"/>
        <v>0.34232714329150477</v>
      </c>
      <c r="Q25">
        <f t="shared" si="4"/>
        <v>9.1086785314839845E-8</v>
      </c>
    </row>
    <row r="26" spans="3:17" x14ac:dyDescent="0.25">
      <c r="C26" s="2">
        <v>25</v>
      </c>
      <c r="D26" s="2">
        <v>200</v>
      </c>
      <c r="E26" s="2">
        <v>250</v>
      </c>
      <c r="F26" s="2">
        <v>1833</v>
      </c>
      <c r="G26" s="2">
        <v>0.32430296403058301</v>
      </c>
      <c r="H26">
        <f t="shared" si="0"/>
        <v>23.264737083267072</v>
      </c>
      <c r="I26">
        <f t="shared" si="1"/>
        <v>3.0111373901884697</v>
      </c>
      <c r="J26">
        <f t="shared" si="2"/>
        <v>22.659238405065892</v>
      </c>
      <c r="P26">
        <f t="shared" si="3"/>
        <v>0.32269261930919257</v>
      </c>
      <c r="Q26">
        <f t="shared" si="4"/>
        <v>2.5932101217100319E-6</v>
      </c>
    </row>
    <row r="27" spans="3:17" x14ac:dyDescent="0.25">
      <c r="C27" s="2">
        <v>25</v>
      </c>
      <c r="D27" s="2">
        <v>200</v>
      </c>
      <c r="E27" s="2">
        <v>300</v>
      </c>
      <c r="F27" s="2">
        <v>1929</v>
      </c>
      <c r="G27" s="2">
        <v>0.30783334964023301</v>
      </c>
      <c r="H27">
        <f t="shared" si="0"/>
        <v>23.289686155898366</v>
      </c>
      <c r="I27">
        <f t="shared" si="1"/>
        <v>2.9251734453257088</v>
      </c>
      <c r="J27">
        <f t="shared" si="2"/>
        <v>22.683538141732352</v>
      </c>
      <c r="P27">
        <f t="shared" si="3"/>
        <v>0.30580663058732055</v>
      </c>
      <c r="Q27">
        <f t="shared" si="4"/>
        <v>4.1075901194383884E-6</v>
      </c>
    </row>
    <row r="28" spans="3:17" x14ac:dyDescent="0.25">
      <c r="C28" s="2">
        <v>25</v>
      </c>
      <c r="D28" s="2">
        <v>200</v>
      </c>
      <c r="E28" s="2">
        <v>350</v>
      </c>
      <c r="F28" s="2">
        <v>2024</v>
      </c>
      <c r="G28" s="2">
        <v>0.29268918015429901</v>
      </c>
      <c r="H28">
        <f t="shared" si="0"/>
        <v>23.345025655540493</v>
      </c>
      <c r="I28">
        <f t="shared" si="1"/>
        <v>2.7389400808191757</v>
      </c>
      <c r="J28">
        <f t="shared" si="2"/>
        <v>22.737437350269289</v>
      </c>
      <c r="P28">
        <f t="shared" si="3"/>
        <v>0.29071305893314819</v>
      </c>
      <c r="Q28">
        <f t="shared" si="4"/>
        <v>3.9050550806825974E-6</v>
      </c>
    </row>
    <row r="29" spans="3:17" x14ac:dyDescent="0.25">
      <c r="C29" s="2">
        <v>25</v>
      </c>
      <c r="D29" s="2">
        <v>200</v>
      </c>
      <c r="E29" s="2">
        <v>400</v>
      </c>
      <c r="F29" s="2">
        <v>2119</v>
      </c>
      <c r="G29" s="2">
        <v>0.27838295558079801</v>
      </c>
      <c r="H29">
        <f t="shared" si="0"/>
        <v>23.444335825272287</v>
      </c>
      <c r="I29">
        <f t="shared" si="1"/>
        <v>2.4200910245312572</v>
      </c>
      <c r="J29">
        <f t="shared" si="2"/>
        <v>22.834162828143647</v>
      </c>
      <c r="P29">
        <f t="shared" si="3"/>
        <v>0.27700695141513992</v>
      </c>
      <c r="Q29">
        <f t="shared" si="4"/>
        <v>1.8933874639084014E-6</v>
      </c>
    </row>
    <row r="30" spans="3:17" x14ac:dyDescent="0.25">
      <c r="C30" s="2">
        <v>25</v>
      </c>
      <c r="D30" s="2">
        <v>250</v>
      </c>
      <c r="E30" s="2">
        <v>100</v>
      </c>
      <c r="F30" s="2">
        <v>1920</v>
      </c>
      <c r="G30" s="2">
        <v>0.31554352064493202</v>
      </c>
      <c r="H30">
        <f t="shared" si="0"/>
        <v>22.852482410215512</v>
      </c>
      <c r="I30">
        <f t="shared" si="1"/>
        <v>4.6118317984337782</v>
      </c>
      <c r="J30">
        <f t="shared" si="2"/>
        <v>22.233006565733088</v>
      </c>
      <c r="P30">
        <f t="shared" si="3"/>
        <v>0.31159504291749029</v>
      </c>
      <c r="Q30">
        <f t="shared" si="4"/>
        <v>1.559047636410336E-5</v>
      </c>
    </row>
    <row r="31" spans="3:17" x14ac:dyDescent="0.25">
      <c r="C31" s="2">
        <v>25</v>
      </c>
      <c r="D31" s="2">
        <v>250</v>
      </c>
      <c r="E31" s="2">
        <v>150</v>
      </c>
      <c r="F31" s="2">
        <v>2043</v>
      </c>
      <c r="G31" s="2">
        <v>0.29936889652436</v>
      </c>
      <c r="H31">
        <f t="shared" si="0"/>
        <v>22.636998167421215</v>
      </c>
      <c r="I31">
        <f t="shared" si="1"/>
        <v>5.5837776607706973</v>
      </c>
      <c r="J31">
        <f t="shared" si="2"/>
        <v>22.023363582583215</v>
      </c>
      <c r="P31">
        <f t="shared" si="3"/>
        <v>0.2917378223202664</v>
      </c>
      <c r="Q31">
        <f t="shared" si="4"/>
        <v>5.8233293508382634E-5</v>
      </c>
    </row>
    <row r="32" spans="3:17" x14ac:dyDescent="0.25">
      <c r="C32" s="2">
        <v>25</v>
      </c>
      <c r="D32" s="2">
        <v>250</v>
      </c>
      <c r="E32" s="2">
        <v>200</v>
      </c>
      <c r="F32" s="2">
        <v>2097</v>
      </c>
      <c r="G32" s="2">
        <v>0.29300535880547401</v>
      </c>
      <c r="H32">
        <f t="shared" si="0"/>
        <v>22.533045056721058</v>
      </c>
      <c r="I32">
        <f t="shared" si="1"/>
        <v>6.0858666921684099</v>
      </c>
      <c r="J32">
        <f t="shared" si="2"/>
        <v>21.922228390736755</v>
      </c>
      <c r="P32">
        <f t="shared" si="3"/>
        <v>0.28377723959234208</v>
      </c>
      <c r="Q32">
        <f t="shared" si="4"/>
        <v>8.5158184211774781E-5</v>
      </c>
    </row>
    <row r="33" spans="3:17" x14ac:dyDescent="0.25">
      <c r="C33" s="2">
        <v>25</v>
      </c>
      <c r="D33" s="2">
        <v>250</v>
      </c>
      <c r="E33" s="2">
        <v>250</v>
      </c>
      <c r="F33" s="2">
        <v>2155</v>
      </c>
      <c r="G33" s="2">
        <v>0.285094724018429</v>
      </c>
      <c r="H33">
        <f t="shared" si="0"/>
        <v>22.534992821327183</v>
      </c>
      <c r="I33">
        <f t="shared" si="1"/>
        <v>6.0762603909085211</v>
      </c>
      <c r="J33">
        <f t="shared" si="2"/>
        <v>21.924123356128224</v>
      </c>
      <c r="P33">
        <f t="shared" si="3"/>
        <v>0.27568442610450389</v>
      </c>
      <c r="Q33">
        <f t="shared" si="4"/>
        <v>8.8553706828823354E-5</v>
      </c>
    </row>
    <row r="34" spans="3:17" x14ac:dyDescent="0.25">
      <c r="C34" s="2">
        <v>25</v>
      </c>
      <c r="D34" s="2">
        <v>250</v>
      </c>
      <c r="E34" s="2">
        <v>300</v>
      </c>
      <c r="F34" s="2">
        <v>2225</v>
      </c>
      <c r="G34" s="2">
        <v>0.27561052028389599</v>
      </c>
      <c r="H34">
        <f t="shared" si="0"/>
        <v>22.57709563385653</v>
      </c>
      <c r="I34">
        <f t="shared" si="1"/>
        <v>5.8704655674770905</v>
      </c>
      <c r="J34">
        <f t="shared" si="2"/>
        <v>21.965084862655075</v>
      </c>
      <c r="P34">
        <f t="shared" si="3"/>
        <v>0.26649558710603455</v>
      </c>
      <c r="Q34">
        <f t="shared" si="4"/>
        <v>8.3082006836879236E-5</v>
      </c>
    </row>
    <row r="35" spans="3:17" x14ac:dyDescent="0.25">
      <c r="C35" s="2">
        <v>25</v>
      </c>
      <c r="D35" s="2">
        <v>250</v>
      </c>
      <c r="E35" s="2">
        <v>350</v>
      </c>
      <c r="F35" s="2">
        <v>2310</v>
      </c>
      <c r="G35" s="2">
        <v>0.264595192072893</v>
      </c>
      <c r="H35">
        <f t="shared" si="0"/>
        <v>22.651655633631449</v>
      </c>
      <c r="I35">
        <f t="shared" si="1"/>
        <v>5.5147212630549092</v>
      </c>
      <c r="J35">
        <f t="shared" si="2"/>
        <v>22.037623720131489</v>
      </c>
      <c r="P35">
        <f t="shared" si="3"/>
        <v>0.25610821526109961</v>
      </c>
      <c r="Q35">
        <f t="shared" si="4"/>
        <v>7.2028775403918695E-5</v>
      </c>
    </row>
    <row r="36" spans="3:17" x14ac:dyDescent="0.25">
      <c r="C36" s="2">
        <v>25</v>
      </c>
      <c r="D36" s="2">
        <v>250</v>
      </c>
      <c r="E36" s="2">
        <v>400</v>
      </c>
      <c r="F36" s="2">
        <v>2406</v>
      </c>
      <c r="G36" s="2">
        <v>0.25348264471299098</v>
      </c>
      <c r="H36">
        <f t="shared" si="0"/>
        <v>22.701263315338018</v>
      </c>
      <c r="I36">
        <f t="shared" si="1"/>
        <v>5.284190345410761</v>
      </c>
      <c r="J36">
        <f t="shared" si="2"/>
        <v>22.085886656879222</v>
      </c>
      <c r="P36">
        <f t="shared" si="3"/>
        <v>0.24528475764226823</v>
      </c>
      <c r="Q36">
        <f t="shared" si="4"/>
        <v>6.7205352424323195E-5</v>
      </c>
    </row>
    <row r="37" spans="3:17" x14ac:dyDescent="0.25">
      <c r="C37" s="2">
        <v>50</v>
      </c>
      <c r="D37" s="2">
        <v>50</v>
      </c>
      <c r="E37" s="2">
        <v>100</v>
      </c>
      <c r="F37" s="2">
        <v>552</v>
      </c>
      <c r="G37" s="2">
        <v>0.53206167777321101</v>
      </c>
      <c r="H37">
        <f t="shared" si="0"/>
        <v>46.764237918065859</v>
      </c>
      <c r="I37">
        <f t="shared" si="1"/>
        <v>10.470156250882765</v>
      </c>
      <c r="J37">
        <f t="shared" si="2"/>
        <v>45.862490461531245</v>
      </c>
      <c r="P37">
        <f t="shared" si="3"/>
        <v>0.51823420455556324</v>
      </c>
      <c r="Q37">
        <f t="shared" si="4"/>
        <v>1.911990155847663E-4</v>
      </c>
    </row>
    <row r="38" spans="3:17" x14ac:dyDescent="0.25">
      <c r="C38" s="2">
        <v>50</v>
      </c>
      <c r="D38" s="2">
        <v>50</v>
      </c>
      <c r="E38" s="2">
        <v>150</v>
      </c>
      <c r="F38" s="2">
        <v>656</v>
      </c>
      <c r="G38" s="2">
        <v>0.43438383893954702</v>
      </c>
      <c r="H38">
        <f t="shared" si="0"/>
        <v>48.198932554218253</v>
      </c>
      <c r="I38">
        <f t="shared" si="1"/>
        <v>3.2438439442547873</v>
      </c>
      <c r="J38">
        <f t="shared" si="2"/>
        <v>47.269520106300241</v>
      </c>
      <c r="P38">
        <f t="shared" si="3"/>
        <v>0.42585315088958053</v>
      </c>
      <c r="Q38">
        <f t="shared" si="4"/>
        <v>7.2772638605840965E-5</v>
      </c>
    </row>
    <row r="39" spans="3:17" x14ac:dyDescent="0.25">
      <c r="C39" s="2">
        <v>50</v>
      </c>
      <c r="D39" s="2">
        <v>50</v>
      </c>
      <c r="E39" s="2">
        <v>200</v>
      </c>
      <c r="F39" s="2">
        <v>747</v>
      </c>
      <c r="G39" s="2">
        <v>0.37203647060530598</v>
      </c>
      <c r="H39">
        <f t="shared" si="0"/>
        <v>49.420689606783206</v>
      </c>
      <c r="I39">
        <f t="shared" si="1"/>
        <v>0.33560053168899623</v>
      </c>
      <c r="J39">
        <f t="shared" si="2"/>
        <v>48.467718209469204</v>
      </c>
      <c r="P39">
        <f t="shared" si="3"/>
        <v>0.36735881814287397</v>
      </c>
      <c r="Q39">
        <f t="shared" si="4"/>
        <v>2.1880432559296281E-5</v>
      </c>
    </row>
    <row r="40" spans="3:17" x14ac:dyDescent="0.25">
      <c r="C40" s="2">
        <v>50</v>
      </c>
      <c r="D40" s="2">
        <v>50</v>
      </c>
      <c r="E40" s="2">
        <v>250</v>
      </c>
      <c r="F40" s="2">
        <v>828</v>
      </c>
      <c r="G40" s="2">
        <v>0.328697884798338</v>
      </c>
      <c r="H40">
        <f t="shared" si="0"/>
        <v>50.464697294369977</v>
      </c>
      <c r="I40">
        <f t="shared" si="1"/>
        <v>0.21594357539477663</v>
      </c>
      <c r="J40">
        <f t="shared" si="2"/>
        <v>49.491594460753447</v>
      </c>
      <c r="P40">
        <f t="shared" si="3"/>
        <v>0.32676598940218721</v>
      </c>
      <c r="Q40">
        <f t="shared" si="4"/>
        <v>3.7322198216686396E-6</v>
      </c>
    </row>
    <row r="41" spans="3:17" x14ac:dyDescent="0.25">
      <c r="C41" s="2">
        <v>50</v>
      </c>
      <c r="D41" s="2">
        <v>50</v>
      </c>
      <c r="E41" s="2">
        <v>300</v>
      </c>
      <c r="F41" s="2">
        <v>900</v>
      </c>
      <c r="G41" s="2">
        <v>0.297071361042545</v>
      </c>
      <c r="H41">
        <f t="shared" si="0"/>
        <v>51.370243376810905</v>
      </c>
      <c r="I41">
        <f t="shared" si="1"/>
        <v>1.8775669116941507</v>
      </c>
      <c r="J41">
        <f t="shared" si="2"/>
        <v>50.379679040281687</v>
      </c>
      <c r="P41">
        <f t="shared" si="3"/>
        <v>0.29719979114851364</v>
      </c>
      <c r="Q41">
        <f t="shared" si="4"/>
        <v>1.6494292119114934E-8</v>
      </c>
    </row>
    <row r="42" spans="3:17" x14ac:dyDescent="0.25">
      <c r="C42" s="2">
        <v>50</v>
      </c>
      <c r="D42" s="2">
        <v>50</v>
      </c>
      <c r="E42" s="2">
        <v>350</v>
      </c>
      <c r="F42" s="2">
        <v>964</v>
      </c>
      <c r="G42" s="2">
        <v>0.272851825418996</v>
      </c>
      <c r="H42">
        <f t="shared" si="0"/>
        <v>52.21689230499458</v>
      </c>
      <c r="I42">
        <f t="shared" si="1"/>
        <v>4.914611491944183</v>
      </c>
      <c r="J42">
        <f t="shared" si="2"/>
        <v>51.210002170129783</v>
      </c>
      <c r="P42">
        <f t="shared" si="3"/>
        <v>0.27486168131738326</v>
      </c>
      <c r="Q42">
        <f t="shared" si="4"/>
        <v>4.0395207322820529E-6</v>
      </c>
    </row>
    <row r="43" spans="3:17" x14ac:dyDescent="0.25">
      <c r="C43" s="2">
        <v>50</v>
      </c>
      <c r="D43" s="2">
        <v>50</v>
      </c>
      <c r="E43" s="2">
        <v>400</v>
      </c>
      <c r="F43" s="2">
        <v>1022</v>
      </c>
      <c r="G43" s="2">
        <v>0.25339716819698799</v>
      </c>
      <c r="H43">
        <f t="shared" si="0"/>
        <v>53.034962451787869</v>
      </c>
      <c r="I43">
        <f t="shared" si="1"/>
        <v>9.2109970837622352</v>
      </c>
      <c r="J43">
        <f t="shared" si="2"/>
        <v>52.012297598741405</v>
      </c>
      <c r="P43">
        <f t="shared" si="3"/>
        <v>0.25718967631825973</v>
      </c>
      <c r="Q43">
        <f t="shared" si="4"/>
        <v>1.4383117849912123E-5</v>
      </c>
    </row>
    <row r="44" spans="3:17" x14ac:dyDescent="0.25">
      <c r="C44" s="2">
        <v>50</v>
      </c>
      <c r="D44" s="2">
        <v>100</v>
      </c>
      <c r="E44" s="2">
        <v>100</v>
      </c>
      <c r="F44" s="2">
        <v>756</v>
      </c>
      <c r="G44" s="2">
        <v>0.38655962106098901</v>
      </c>
      <c r="H44">
        <f t="shared" si="0"/>
        <v>47.160124496817573</v>
      </c>
      <c r="I44">
        <f t="shared" si="1"/>
        <v>8.0648928735756407</v>
      </c>
      <c r="J44">
        <f t="shared" si="2"/>
        <v>46.09145408553924</v>
      </c>
      <c r="P44">
        <f t="shared" si="3"/>
        <v>0.38611783013502643</v>
      </c>
      <c r="Q44">
        <f t="shared" si="4"/>
        <v>1.9517922226287547E-7</v>
      </c>
    </row>
    <row r="45" spans="3:17" x14ac:dyDescent="0.25">
      <c r="C45" s="2">
        <v>50</v>
      </c>
      <c r="D45" s="2">
        <v>100</v>
      </c>
      <c r="E45" s="2">
        <v>150</v>
      </c>
      <c r="F45" s="2">
        <v>879</v>
      </c>
      <c r="G45" s="2">
        <v>0.326723379339318</v>
      </c>
      <c r="H45">
        <f t="shared" si="0"/>
        <v>47.989269359823929</v>
      </c>
      <c r="I45">
        <f t="shared" si="1"/>
        <v>4.0430377073428723</v>
      </c>
      <c r="J45">
        <f t="shared" si="2"/>
        <v>46.901810139329918</v>
      </c>
      <c r="P45">
        <f t="shared" si="3"/>
        <v>0.32505462365330601</v>
      </c>
      <c r="Q45">
        <f t="shared" si="4"/>
        <v>2.7847455395973513E-6</v>
      </c>
    </row>
    <row r="46" spans="3:17" x14ac:dyDescent="0.25">
      <c r="C46" s="2">
        <v>50</v>
      </c>
      <c r="D46" s="2">
        <v>100</v>
      </c>
      <c r="E46" s="2">
        <v>200</v>
      </c>
      <c r="F46" s="2">
        <v>980</v>
      </c>
      <c r="G46" s="2">
        <v>0.28864997324344499</v>
      </c>
      <c r="H46">
        <f t="shared" si="0"/>
        <v>48.720936547225655</v>
      </c>
      <c r="I46">
        <f t="shared" si="1"/>
        <v>1.636003316223029</v>
      </c>
      <c r="J46">
        <f t="shared" si="2"/>
        <v>47.616897407097795</v>
      </c>
      <c r="P46">
        <f t="shared" si="3"/>
        <v>0.28708558713291915</v>
      </c>
      <c r="Q46">
        <f t="shared" si="4"/>
        <v>2.4473039028061638E-6</v>
      </c>
    </row>
    <row r="47" spans="3:17" x14ac:dyDescent="0.25">
      <c r="C47" s="2">
        <v>50</v>
      </c>
      <c r="D47" s="2">
        <v>100</v>
      </c>
      <c r="E47" s="2">
        <v>250</v>
      </c>
      <c r="F47" s="2">
        <v>1064</v>
      </c>
      <c r="G47" s="2">
        <v>0.26238941772565899</v>
      </c>
      <c r="H47">
        <f t="shared" si="0"/>
        <v>49.365697942871336</v>
      </c>
      <c r="I47">
        <f t="shared" si="1"/>
        <v>0.40233909967765541</v>
      </c>
      <c r="J47">
        <f t="shared" si="2"/>
        <v>48.247048208873913</v>
      </c>
      <c r="P47">
        <f t="shared" si="3"/>
        <v>0.2613510036294186</v>
      </c>
      <c r="Q47">
        <f t="shared" si="4"/>
        <v>1.0783038352707502E-6</v>
      </c>
    </row>
    <row r="48" spans="3:17" x14ac:dyDescent="0.25">
      <c r="C48" s="2">
        <v>50</v>
      </c>
      <c r="D48" s="2">
        <v>100</v>
      </c>
      <c r="E48" s="2">
        <v>300</v>
      </c>
      <c r="F48" s="2">
        <v>1140</v>
      </c>
      <c r="G48" s="2">
        <v>0.241967261521847</v>
      </c>
      <c r="H48">
        <f t="shared" si="0"/>
        <v>49.963374715340038</v>
      </c>
      <c r="I48">
        <f t="shared" si="1"/>
        <v>1.3414114764232607E-3</v>
      </c>
      <c r="J48">
        <f t="shared" si="2"/>
        <v>48.831181346989219</v>
      </c>
      <c r="P48">
        <f t="shared" si="3"/>
        <v>0.24154948920812552</v>
      </c>
      <c r="Q48">
        <f t="shared" si="4"/>
        <v>1.7453370611219551E-7</v>
      </c>
    </row>
    <row r="49" spans="3:17" x14ac:dyDescent="0.25">
      <c r="C49" s="2">
        <v>50</v>
      </c>
      <c r="D49" s="2">
        <v>100</v>
      </c>
      <c r="E49" s="2">
        <v>350</v>
      </c>
      <c r="F49" s="2">
        <v>1209</v>
      </c>
      <c r="G49" s="2">
        <v>0.22550051552924999</v>
      </c>
      <c r="H49">
        <f t="shared" si="0"/>
        <v>50.552121403849057</v>
      </c>
      <c r="I49">
        <f t="shared" si="1"/>
        <v>0.30483804458825342</v>
      </c>
      <c r="J49">
        <f t="shared" si="2"/>
        <v>49.406586761011354</v>
      </c>
      <c r="P49">
        <f t="shared" si="3"/>
        <v>0.22587105870587082</v>
      </c>
      <c r="Q49">
        <f t="shared" si="4"/>
        <v>1.3730224574025564E-7</v>
      </c>
    </row>
    <row r="50" spans="3:17" x14ac:dyDescent="0.25">
      <c r="C50" s="2">
        <v>50</v>
      </c>
      <c r="D50" s="2">
        <v>100</v>
      </c>
      <c r="E50" s="2">
        <v>400</v>
      </c>
      <c r="F50" s="2">
        <v>1273</v>
      </c>
      <c r="G50" s="2">
        <v>0.21171018966834801</v>
      </c>
      <c r="H50">
        <f t="shared" si="0"/>
        <v>51.1379201150433</v>
      </c>
      <c r="I50">
        <f t="shared" si="1"/>
        <v>1.2948621882201583</v>
      </c>
      <c r="J50">
        <f t="shared" si="2"/>
        <v>49.979111000259273</v>
      </c>
      <c r="P50">
        <f t="shared" si="3"/>
        <v>0.21294985587417195</v>
      </c>
      <c r="Q50">
        <f t="shared" si="4"/>
        <v>1.5367723018619272E-6</v>
      </c>
    </row>
    <row r="51" spans="3:17" x14ac:dyDescent="0.25">
      <c r="C51" s="2">
        <v>50</v>
      </c>
      <c r="D51" s="2">
        <v>150</v>
      </c>
      <c r="E51" s="2">
        <v>100</v>
      </c>
      <c r="F51" s="2">
        <v>953</v>
      </c>
      <c r="G51" s="2">
        <v>0.30458659068877197</v>
      </c>
      <c r="H51">
        <f t="shared" si="0"/>
        <v>47.575788852990428</v>
      </c>
      <c r="I51">
        <f t="shared" si="1"/>
        <v>5.8767996852854658</v>
      </c>
      <c r="J51">
        <f t="shared" si="2"/>
        <v>46.403956537776807</v>
      </c>
      <c r="P51">
        <f t="shared" si="3"/>
        <v>0.31293268243589006</v>
      </c>
      <c r="Q51">
        <f t="shared" si="4"/>
        <v>6.9657247451312683E-5</v>
      </c>
    </row>
    <row r="52" spans="3:17" x14ac:dyDescent="0.25">
      <c r="C52" s="2">
        <v>50</v>
      </c>
      <c r="D52" s="2">
        <v>150</v>
      </c>
      <c r="E52" s="2">
        <v>150</v>
      </c>
      <c r="F52" s="2">
        <v>1074</v>
      </c>
      <c r="G52" s="2">
        <v>0.268407069321906</v>
      </c>
      <c r="H52">
        <f t="shared" si="0"/>
        <v>47.906169522603172</v>
      </c>
      <c r="I52">
        <f t="shared" si="1"/>
        <v>4.3841260680758305</v>
      </c>
      <c r="J52">
        <f t="shared" si="2"/>
        <v>46.726199649309947</v>
      </c>
      <c r="P52">
        <f t="shared" si="3"/>
        <v>0.27285788128734878</v>
      </c>
      <c r="Q52">
        <f t="shared" si="4"/>
        <v>1.9809727151728624E-5</v>
      </c>
    </row>
    <row r="53" spans="3:17" x14ac:dyDescent="0.25">
      <c r="C53" s="2">
        <v>50</v>
      </c>
      <c r="D53" s="2">
        <v>150</v>
      </c>
      <c r="E53" s="2">
        <v>200</v>
      </c>
      <c r="F53" s="2">
        <v>1184</v>
      </c>
      <c r="G53" s="2">
        <v>0.241855094770938</v>
      </c>
      <c r="H53">
        <f t="shared" si="0"/>
        <v>48.226165884296208</v>
      </c>
      <c r="I53">
        <f t="shared" si="1"/>
        <v>3.1464874700346548</v>
      </c>
      <c r="J53">
        <f t="shared" si="2"/>
        <v>47.038314227296965</v>
      </c>
      <c r="P53">
        <f t="shared" si="3"/>
        <v>0.2439982984095142</v>
      </c>
      <c r="Q53">
        <f t="shared" si="4"/>
        <v>4.5933218364062723E-6</v>
      </c>
    </row>
    <row r="54" spans="3:17" x14ac:dyDescent="0.25">
      <c r="C54" s="2">
        <v>50</v>
      </c>
      <c r="D54" s="2">
        <v>150</v>
      </c>
      <c r="E54" s="2">
        <v>250</v>
      </c>
      <c r="F54" s="2">
        <v>1277</v>
      </c>
      <c r="G54" s="2">
        <v>0.22273963891190299</v>
      </c>
      <c r="H54">
        <f t="shared" si="0"/>
        <v>48.551345491475864</v>
      </c>
      <c r="I54">
        <f t="shared" si="1"/>
        <v>2.0985998850673062</v>
      </c>
      <c r="J54">
        <f t="shared" si="2"/>
        <v>47.355484383007109</v>
      </c>
      <c r="P54">
        <f t="shared" si="3"/>
        <v>0.22373705220213089</v>
      </c>
      <c r="Q54">
        <f t="shared" si="4"/>
        <v>9.9483327152324473E-7</v>
      </c>
    </row>
    <row r="55" spans="3:17" x14ac:dyDescent="0.25">
      <c r="C55" s="2">
        <v>50</v>
      </c>
      <c r="D55" s="2">
        <v>150</v>
      </c>
      <c r="E55" s="2">
        <v>300</v>
      </c>
      <c r="F55" s="2">
        <v>1358</v>
      </c>
      <c r="G55" s="2">
        <v>0.207929841817073</v>
      </c>
      <c r="H55">
        <f t="shared" si="0"/>
        <v>48.90723217510044</v>
      </c>
      <c r="I55">
        <f t="shared" si="1"/>
        <v>1.1941415191357165</v>
      </c>
      <c r="J55">
        <f t="shared" si="2"/>
        <v>47.702605273641595</v>
      </c>
      <c r="P55">
        <f t="shared" si="3"/>
        <v>0.2085053518741804</v>
      </c>
      <c r="Q55">
        <f t="shared" si="4"/>
        <v>3.3121182583176678E-7</v>
      </c>
    </row>
    <row r="56" spans="3:17" x14ac:dyDescent="0.25">
      <c r="C56" s="2">
        <v>50</v>
      </c>
      <c r="D56" s="2">
        <v>150</v>
      </c>
      <c r="E56" s="2">
        <v>350</v>
      </c>
      <c r="F56" s="2">
        <v>1433</v>
      </c>
      <c r="G56" s="2">
        <v>0.19555173418636301</v>
      </c>
      <c r="H56">
        <f t="shared" si="0"/>
        <v>49.281261499674919</v>
      </c>
      <c r="I56">
        <f t="shared" si="1"/>
        <v>0.51658503184954652</v>
      </c>
      <c r="J56">
        <f t="shared" si="2"/>
        <v>48.067421936483271</v>
      </c>
      <c r="P56">
        <f t="shared" si="3"/>
        <v>0.19604303856135566</v>
      </c>
      <c r="Q56">
        <f t="shared" si="4"/>
        <v>2.4137998888691451E-7</v>
      </c>
    </row>
    <row r="57" spans="3:17" x14ac:dyDescent="0.25">
      <c r="C57" s="2">
        <v>50</v>
      </c>
      <c r="D57" s="2">
        <v>150</v>
      </c>
      <c r="E57" s="2">
        <v>400</v>
      </c>
      <c r="F57" s="2">
        <v>1503</v>
      </c>
      <c r="G57" s="2">
        <v>0.18493051403900901</v>
      </c>
      <c r="H57">
        <f t="shared" si="0"/>
        <v>49.684636981932947</v>
      </c>
      <c r="I57">
        <f t="shared" si="1"/>
        <v>9.9453833164360558E-2</v>
      </c>
      <c r="J57">
        <f t="shared" si="2"/>
        <v>48.460861936079404</v>
      </c>
      <c r="P57">
        <f t="shared" si="3"/>
        <v>0.18561155124853537</v>
      </c>
      <c r="Q57">
        <f t="shared" si="4"/>
        <v>4.6381168075945654E-7</v>
      </c>
    </row>
    <row r="58" spans="3:17" x14ac:dyDescent="0.25">
      <c r="C58" s="2">
        <v>50</v>
      </c>
      <c r="D58" s="2">
        <v>200</v>
      </c>
      <c r="E58" s="2">
        <v>100</v>
      </c>
      <c r="F58" s="2">
        <v>1186</v>
      </c>
      <c r="G58" s="2">
        <v>0.24504807731095701</v>
      </c>
      <c r="H58">
        <f t="shared" si="0"/>
        <v>47.585599330686399</v>
      </c>
      <c r="I58">
        <f t="shared" si="1"/>
        <v>5.8293305919819627</v>
      </c>
      <c r="J58">
        <f t="shared" si="2"/>
        <v>46.347114778163132</v>
      </c>
      <c r="P58">
        <f t="shared" si="3"/>
        <v>0.25517706022511133</v>
      </c>
      <c r="Q58">
        <f t="shared" si="4"/>
        <v>1.0259629487523007E-4</v>
      </c>
    </row>
    <row r="59" spans="3:17" x14ac:dyDescent="0.25">
      <c r="C59" s="2">
        <v>50</v>
      </c>
      <c r="D59" s="2">
        <v>200</v>
      </c>
      <c r="E59" s="2">
        <v>150</v>
      </c>
      <c r="F59" s="2">
        <v>1289</v>
      </c>
      <c r="G59" s="2">
        <v>0.22534379717216099</v>
      </c>
      <c r="H59">
        <f t="shared" si="0"/>
        <v>47.611625222285973</v>
      </c>
      <c r="I59">
        <f t="shared" si="1"/>
        <v>5.704334078820529</v>
      </c>
      <c r="J59">
        <f t="shared" si="2"/>
        <v>46.372463308015348</v>
      </c>
      <c r="P59">
        <f t="shared" si="3"/>
        <v>0.23185638680652604</v>
      </c>
      <c r="Q59">
        <f t="shared" si="4"/>
        <v>4.2413823745639038E-5</v>
      </c>
    </row>
    <row r="60" spans="3:17" x14ac:dyDescent="0.25">
      <c r="C60" s="2">
        <v>50</v>
      </c>
      <c r="D60" s="2">
        <v>200</v>
      </c>
      <c r="E60" s="2">
        <v>200</v>
      </c>
      <c r="F60" s="2">
        <v>1396</v>
      </c>
      <c r="G60" s="2">
        <v>0.20798420559723299</v>
      </c>
      <c r="H60">
        <f t="shared" si="0"/>
        <v>47.631664451981109</v>
      </c>
      <c r="I60">
        <f t="shared" si="1"/>
        <v>5.6090132680099396</v>
      </c>
      <c r="J60">
        <f t="shared" si="2"/>
        <v>46.391980987561467</v>
      </c>
      <c r="P60">
        <f t="shared" si="3"/>
        <v>0.21152603060763567</v>
      </c>
      <c r="Q60">
        <f t="shared" si="4"/>
        <v>1.2544524404313924E-5</v>
      </c>
    </row>
    <row r="61" spans="3:17" x14ac:dyDescent="0.25">
      <c r="C61" s="2">
        <v>50</v>
      </c>
      <c r="D61" s="2">
        <v>200</v>
      </c>
      <c r="E61" s="2">
        <v>250</v>
      </c>
      <c r="F61" s="2">
        <v>1489</v>
      </c>
      <c r="G61" s="2">
        <v>0.194604494631261</v>
      </c>
      <c r="H61">
        <f t="shared" si="0"/>
        <v>47.726981421726606</v>
      </c>
      <c r="I61">
        <f t="shared" si="1"/>
        <v>5.1666134571760018</v>
      </c>
      <c r="J61">
        <f t="shared" si="2"/>
        <v>46.484817194297072</v>
      </c>
      <c r="P61">
        <f t="shared" si="3"/>
        <v>0.19639508279214293</v>
      </c>
      <c r="Q61">
        <f t="shared" si="4"/>
        <v>3.2062059618905271E-6</v>
      </c>
    </row>
    <row r="62" spans="3:17" x14ac:dyDescent="0.25">
      <c r="C62" s="2">
        <v>50</v>
      </c>
      <c r="D62" s="2">
        <v>200</v>
      </c>
      <c r="E62" s="2">
        <v>300</v>
      </c>
      <c r="F62" s="2">
        <v>1573</v>
      </c>
      <c r="G62" s="2">
        <v>0.18361103793758601</v>
      </c>
      <c r="H62">
        <f t="shared" si="0"/>
        <v>47.883294523313282</v>
      </c>
      <c r="I62">
        <f t="shared" si="1"/>
        <v>4.4804420750355467</v>
      </c>
      <c r="J62">
        <f t="shared" si="2"/>
        <v>46.637062019674239</v>
      </c>
      <c r="P62">
        <f t="shared" si="3"/>
        <v>0.18437511440754978</v>
      </c>
      <c r="Q62">
        <f t="shared" si="4"/>
        <v>5.8381285195228796E-7</v>
      </c>
    </row>
    <row r="63" spans="3:17" x14ac:dyDescent="0.25">
      <c r="C63" s="2">
        <v>50</v>
      </c>
      <c r="D63" s="2">
        <v>200</v>
      </c>
      <c r="E63" s="2">
        <v>350</v>
      </c>
      <c r="F63" s="2">
        <v>1652</v>
      </c>
      <c r="G63" s="2">
        <v>0.17408348166858401</v>
      </c>
      <c r="H63">
        <f t="shared" si="0"/>
        <v>48.088798339018815</v>
      </c>
      <c r="I63">
        <f t="shared" si="1"/>
        <v>3.652691788937239</v>
      </c>
      <c r="J63">
        <f t="shared" si="2"/>
        <v>46.837217299166809</v>
      </c>
      <c r="P63">
        <f t="shared" si="3"/>
        <v>0.17426559758029209</v>
      </c>
      <c r="Q63">
        <f t="shared" si="4"/>
        <v>3.3166205297265415E-8</v>
      </c>
    </row>
    <row r="64" spans="3:17" x14ac:dyDescent="0.25">
      <c r="C64" s="2">
        <v>50</v>
      </c>
      <c r="D64" s="2">
        <v>200</v>
      </c>
      <c r="E64" s="2">
        <v>400</v>
      </c>
      <c r="F64" s="2">
        <v>1731</v>
      </c>
      <c r="G64" s="2">
        <v>0.16525202466575101</v>
      </c>
      <c r="H64">
        <f t="shared" si="0"/>
        <v>48.346793403703259</v>
      </c>
      <c r="I64">
        <f t="shared" si="1"/>
        <v>2.7330920500390552</v>
      </c>
      <c r="J64">
        <f t="shared" si="2"/>
        <v>47.088497666406369</v>
      </c>
      <c r="P64">
        <f t="shared" si="3"/>
        <v>0.16514493440045322</v>
      </c>
      <c r="Q64">
        <f t="shared" si="4"/>
        <v>1.1468324921550588E-8</v>
      </c>
    </row>
    <row r="65" spans="3:17" x14ac:dyDescent="0.25">
      <c r="C65" s="2">
        <v>50</v>
      </c>
      <c r="D65" s="2">
        <v>250</v>
      </c>
      <c r="E65" s="2">
        <v>100</v>
      </c>
      <c r="F65" s="2">
        <v>1472</v>
      </c>
      <c r="G65" s="2">
        <v>0.200310377146006</v>
      </c>
      <c r="H65">
        <f t="shared" si="0"/>
        <v>46.955083826733777</v>
      </c>
      <c r="I65">
        <f t="shared" si="1"/>
        <v>9.2715145022182206</v>
      </c>
      <c r="J65">
        <f t="shared" si="2"/>
        <v>45.682244417685325</v>
      </c>
      <c r="P65">
        <f t="shared" si="3"/>
        <v>0.20719584582842671</v>
      </c>
      <c r="Q65">
        <f t="shared" si="4"/>
        <v>4.7409678976596375E-5</v>
      </c>
    </row>
    <row r="66" spans="3:17" x14ac:dyDescent="0.25">
      <c r="C66" s="2">
        <v>50</v>
      </c>
      <c r="D66" s="2">
        <v>250</v>
      </c>
      <c r="E66" s="2">
        <v>150</v>
      </c>
      <c r="F66" s="2">
        <v>1568</v>
      </c>
      <c r="G66" s="2">
        <v>0.18889867419554199</v>
      </c>
      <c r="H66">
        <f t="shared" si="0"/>
        <v>46.743250608770317</v>
      </c>
      <c r="I66">
        <f t="shared" si="1"/>
        <v>10.606416597274908</v>
      </c>
      <c r="J66">
        <f t="shared" si="2"/>
        <v>45.476153488862792</v>
      </c>
      <c r="P66">
        <f t="shared" si="3"/>
        <v>0.19261445705995386</v>
      </c>
      <c r="Q66">
        <f t="shared" si="4"/>
        <v>1.3807042295456928E-5</v>
      </c>
    </row>
    <row r="67" spans="3:17" x14ac:dyDescent="0.25">
      <c r="C67" s="2">
        <v>50</v>
      </c>
      <c r="D67" s="2">
        <v>250</v>
      </c>
      <c r="E67" s="2">
        <v>200</v>
      </c>
      <c r="F67" s="2">
        <v>1649</v>
      </c>
      <c r="G67" s="2">
        <v>0.18000138973731</v>
      </c>
      <c r="H67">
        <f t="shared" ref="H67:H71" si="5">$K$2*((0.7*150*150*(1-0.5*0.5))/(G67*F67))*D67^$L$2</f>
        <v>46.644169518946278</v>
      </c>
      <c r="I67">
        <f t="shared" ref="I67:I71" si="6">(H67-C67)^2</f>
        <v>11.261598217569258</v>
      </c>
      <c r="J67">
        <f t="shared" ref="J67:J71" si="7">$K$2*((0.7*150*150*(1-0.5*0.5))/(G67*F67))</f>
        <v>45.379758249122311</v>
      </c>
      <c r="P67">
        <f t="shared" ref="P67:P130" si="8">$T$2*LOG($W$2+$U$2*D67)*(1/F67^($R$2*LOG($S$2*C67+$V$2*D67)))</f>
        <v>0.18172845519414135</v>
      </c>
      <c r="Q67">
        <f t="shared" ref="Q67:Q130" si="9">(G67-P67)^2</f>
        <v>2.9827550921800811E-6</v>
      </c>
    </row>
    <row r="68" spans="3:17" x14ac:dyDescent="0.25">
      <c r="C68" s="2">
        <v>50</v>
      </c>
      <c r="D68" s="2">
        <v>250</v>
      </c>
      <c r="E68" s="2">
        <v>250</v>
      </c>
      <c r="F68" s="2">
        <v>1729</v>
      </c>
      <c r="G68" s="2">
        <v>0.17174993813950601</v>
      </c>
      <c r="H68">
        <f t="shared" si="5"/>
        <v>46.623223415092696</v>
      </c>
      <c r="I68">
        <f t="shared" si="6"/>
        <v>11.402620104378236</v>
      </c>
      <c r="J68">
        <f t="shared" si="7"/>
        <v>45.359379943774833</v>
      </c>
      <c r="P68">
        <f t="shared" si="8"/>
        <v>0.17205164743697268</v>
      </c>
      <c r="Q68">
        <f t="shared" si="9"/>
        <v>9.1028500177833694E-8</v>
      </c>
    </row>
    <row r="69" spans="3:17" x14ac:dyDescent="0.25">
      <c r="C69" s="2">
        <v>50</v>
      </c>
      <c r="D69" s="2">
        <v>250</v>
      </c>
      <c r="E69" s="2">
        <v>300</v>
      </c>
      <c r="F69" s="2">
        <v>1809</v>
      </c>
      <c r="G69" s="2">
        <v>0.164032585427971</v>
      </c>
      <c r="H69">
        <f t="shared" si="5"/>
        <v>46.657899341215568</v>
      </c>
      <c r="I69">
        <f t="shared" si="6"/>
        <v>11.169636813447333</v>
      </c>
      <c r="J69">
        <f t="shared" si="7"/>
        <v>45.393115888926161</v>
      </c>
      <c r="P69">
        <f t="shared" si="8"/>
        <v>0.16329384000846908</v>
      </c>
      <c r="Q69">
        <f t="shared" si="9"/>
        <v>5.4574479483506521E-7</v>
      </c>
    </row>
    <row r="70" spans="3:17" x14ac:dyDescent="0.25">
      <c r="C70" s="2">
        <v>50</v>
      </c>
      <c r="D70" s="2">
        <v>250</v>
      </c>
      <c r="E70" s="2">
        <v>350</v>
      </c>
      <c r="F70" s="2">
        <v>1892</v>
      </c>
      <c r="G70" s="2">
        <v>0.15652979792348001</v>
      </c>
      <c r="H70">
        <f t="shared" si="5"/>
        <v>46.749365647891807</v>
      </c>
      <c r="I70">
        <f t="shared" si="6"/>
        <v>10.566623691105852</v>
      </c>
      <c r="J70">
        <f t="shared" si="7"/>
        <v>45.48210276397861</v>
      </c>
      <c r="P70">
        <f t="shared" si="8"/>
        <v>0.15504820366372776</v>
      </c>
      <c r="Q70">
        <f t="shared" si="9"/>
        <v>2.1951215505308182E-6</v>
      </c>
    </row>
    <row r="71" spans="3:17" x14ac:dyDescent="0.25">
      <c r="C71" s="2">
        <v>50</v>
      </c>
      <c r="D71" s="2">
        <v>250</v>
      </c>
      <c r="E71" s="2">
        <v>400</v>
      </c>
      <c r="F71" s="2">
        <v>1977</v>
      </c>
      <c r="G71" s="2">
        <v>0.149443574267318</v>
      </c>
      <c r="H71">
        <f t="shared" si="5"/>
        <v>46.860828584062162</v>
      </c>
      <c r="I71">
        <f t="shared" si="6"/>
        <v>9.8543971786411717</v>
      </c>
      <c r="J71">
        <f t="shared" si="7"/>
        <v>45.590544207985744</v>
      </c>
      <c r="P71">
        <f t="shared" si="8"/>
        <v>0.14737447044938617</v>
      </c>
      <c r="Q71">
        <f t="shared" si="9"/>
        <v>4.2811906093800433E-6</v>
      </c>
    </row>
    <row r="72" spans="3:17" x14ac:dyDescent="0.25">
      <c r="C72" s="2">
        <v>75</v>
      </c>
      <c r="D72" s="2">
        <v>50</v>
      </c>
      <c r="E72" s="2">
        <v>100</v>
      </c>
      <c r="F72" s="2">
        <v>498</v>
      </c>
      <c r="G72" s="2">
        <v>0.39423691311987702</v>
      </c>
      <c r="P72">
        <f t="shared" si="8"/>
        <v>0.388458660472769</v>
      </c>
      <c r="Q72">
        <f t="shared" si="9"/>
        <v>3.3388203653810815E-5</v>
      </c>
    </row>
    <row r="73" spans="3:17" x14ac:dyDescent="0.25">
      <c r="C73" s="2">
        <v>75</v>
      </c>
      <c r="D73" s="2">
        <v>50</v>
      </c>
      <c r="E73" s="2">
        <v>150</v>
      </c>
      <c r="F73" s="2">
        <v>582</v>
      </c>
      <c r="G73" s="2">
        <v>0.32684026465456401</v>
      </c>
      <c r="P73">
        <f t="shared" si="8"/>
        <v>0.32205560724796095</v>
      </c>
      <c r="Q73">
        <f t="shared" si="9"/>
        <v>2.2892946498561467E-5</v>
      </c>
    </row>
    <row r="74" spans="3:17" x14ac:dyDescent="0.25">
      <c r="C74" s="2">
        <v>75</v>
      </c>
      <c r="D74" s="2">
        <v>50</v>
      </c>
      <c r="E74" s="2">
        <v>200</v>
      </c>
      <c r="F74" s="2">
        <v>654</v>
      </c>
      <c r="G74" s="2">
        <v>0.282822329087069</v>
      </c>
      <c r="P74">
        <f t="shared" si="8"/>
        <v>0.27990411193875842</v>
      </c>
      <c r="Q74">
        <f t="shared" si="9"/>
        <v>8.515991324693973E-6</v>
      </c>
    </row>
    <row r="75" spans="3:17" x14ac:dyDescent="0.25">
      <c r="C75" s="2">
        <v>75</v>
      </c>
      <c r="D75" s="2">
        <v>50</v>
      </c>
      <c r="E75" s="2">
        <v>250</v>
      </c>
      <c r="F75" s="2">
        <v>718</v>
      </c>
      <c r="G75" s="2">
        <v>0.251310619445476</v>
      </c>
      <c r="P75">
        <f t="shared" si="8"/>
        <v>0.2501753327001609</v>
      </c>
      <c r="Q75">
        <f t="shared" si="9"/>
        <v>1.2888759940881539E-6</v>
      </c>
    </row>
    <row r="76" spans="3:17" x14ac:dyDescent="0.25">
      <c r="C76" s="2">
        <v>75</v>
      </c>
      <c r="D76" s="2">
        <v>50</v>
      </c>
      <c r="E76" s="2">
        <v>300</v>
      </c>
      <c r="F76" s="2">
        <v>774</v>
      </c>
      <c r="G76" s="2">
        <v>0.22804854844963099</v>
      </c>
      <c r="P76">
        <f t="shared" si="8"/>
        <v>0.22856892187469552</v>
      </c>
      <c r="Q76">
        <f t="shared" si="9"/>
        <v>2.7078850151338976E-7</v>
      </c>
    </row>
    <row r="77" spans="3:17" x14ac:dyDescent="0.25">
      <c r="C77" s="2">
        <v>75</v>
      </c>
      <c r="D77" s="2">
        <v>50</v>
      </c>
      <c r="E77" s="2">
        <v>350</v>
      </c>
      <c r="F77" s="2">
        <v>824</v>
      </c>
      <c r="G77" s="2">
        <v>0.20989118182660799</v>
      </c>
      <c r="P77">
        <f t="shared" si="8"/>
        <v>0.21199262744831307</v>
      </c>
      <c r="Q77">
        <f t="shared" si="9"/>
        <v>4.4160737009834652E-6</v>
      </c>
    </row>
    <row r="78" spans="3:17" x14ac:dyDescent="0.25">
      <c r="C78" s="2">
        <v>75</v>
      </c>
      <c r="D78" s="2">
        <v>50</v>
      </c>
      <c r="E78" s="2">
        <v>400</v>
      </c>
      <c r="F78" s="2">
        <v>870</v>
      </c>
      <c r="G78" s="2">
        <v>0.19504456900717501</v>
      </c>
      <c r="P78">
        <f t="shared" si="8"/>
        <v>0.19858526835403217</v>
      </c>
      <c r="Q78">
        <f t="shared" si="9"/>
        <v>1.2536551864834736E-5</v>
      </c>
    </row>
    <row r="79" spans="3:17" x14ac:dyDescent="0.25">
      <c r="C79" s="2">
        <v>75</v>
      </c>
      <c r="D79" s="2">
        <v>100</v>
      </c>
      <c r="E79" s="2">
        <v>100</v>
      </c>
      <c r="F79" s="2">
        <v>682</v>
      </c>
      <c r="G79" s="2">
        <v>0.28615319516006898</v>
      </c>
      <c r="P79">
        <f t="shared" si="8"/>
        <v>0.28646492335454848</v>
      </c>
      <c r="Q79">
        <f t="shared" si="9"/>
        <v>9.7174467233448455E-8</v>
      </c>
    </row>
    <row r="80" spans="3:17" x14ac:dyDescent="0.25">
      <c r="C80" s="2">
        <v>75</v>
      </c>
      <c r="D80" s="2">
        <v>100</v>
      </c>
      <c r="E80" s="2">
        <v>150</v>
      </c>
      <c r="F80" s="2">
        <v>796</v>
      </c>
      <c r="G80" s="2">
        <v>0.24033668676386299</v>
      </c>
      <c r="P80">
        <f t="shared" si="8"/>
        <v>0.23775459168204627</v>
      </c>
      <c r="Q80">
        <f t="shared" si="9"/>
        <v>6.667215011542128E-6</v>
      </c>
    </row>
    <row r="81" spans="3:17" x14ac:dyDescent="0.25">
      <c r="C81" s="2">
        <v>75</v>
      </c>
      <c r="D81" s="2">
        <v>100</v>
      </c>
      <c r="E81" s="2">
        <v>200</v>
      </c>
      <c r="F81" s="2">
        <v>884</v>
      </c>
      <c r="G81" s="2">
        <v>0.21264814807681301</v>
      </c>
      <c r="P81">
        <f t="shared" si="8"/>
        <v>0.20951667336059801</v>
      </c>
      <c r="Q81">
        <f t="shared" si="9"/>
        <v>9.8061338982938103E-6</v>
      </c>
    </row>
    <row r="82" spans="3:17" x14ac:dyDescent="0.25">
      <c r="C82" s="2">
        <v>75</v>
      </c>
      <c r="D82" s="2">
        <v>100</v>
      </c>
      <c r="E82" s="2">
        <v>250</v>
      </c>
      <c r="F82" s="2">
        <v>954</v>
      </c>
      <c r="G82" s="2">
        <v>0.194019550094749</v>
      </c>
      <c r="P82">
        <f t="shared" si="8"/>
        <v>0.19112254150290703</v>
      </c>
      <c r="Q82">
        <f t="shared" si="9"/>
        <v>8.3926587812061987E-6</v>
      </c>
    </row>
    <row r="83" spans="3:17" x14ac:dyDescent="0.25">
      <c r="C83" s="2">
        <v>75</v>
      </c>
      <c r="D83" s="2">
        <v>100</v>
      </c>
      <c r="E83" s="2">
        <v>300</v>
      </c>
      <c r="F83" s="2">
        <v>1017</v>
      </c>
      <c r="G83" s="2">
        <v>0.179396056277602</v>
      </c>
      <c r="P83">
        <f t="shared" si="8"/>
        <v>0.17693927764210854</v>
      </c>
      <c r="Q83">
        <f t="shared" si="9"/>
        <v>6.0357612638170883E-6</v>
      </c>
    </row>
    <row r="84" spans="3:17" x14ac:dyDescent="0.25">
      <c r="C84" s="2">
        <v>75</v>
      </c>
      <c r="D84" s="2">
        <v>100</v>
      </c>
      <c r="E84" s="2">
        <v>350</v>
      </c>
      <c r="F84" s="2">
        <v>1074</v>
      </c>
      <c r="G84" s="2">
        <v>0.16752511292962899</v>
      </c>
      <c r="P84">
        <f t="shared" si="8"/>
        <v>0.16567894857646193</v>
      </c>
      <c r="Q84">
        <f t="shared" si="9"/>
        <v>3.4083228189047578E-6</v>
      </c>
    </row>
    <row r="85" spans="3:17" x14ac:dyDescent="0.25">
      <c r="C85" s="2">
        <v>75</v>
      </c>
      <c r="D85" s="2">
        <v>100</v>
      </c>
      <c r="E85" s="2">
        <v>400</v>
      </c>
      <c r="F85" s="2">
        <v>1127</v>
      </c>
      <c r="G85" s="2">
        <v>0.15749398595744399</v>
      </c>
      <c r="P85">
        <f t="shared" si="8"/>
        <v>0.15633017734840843</v>
      </c>
      <c r="Q85">
        <f t="shared" si="9"/>
        <v>1.3544504784652858E-6</v>
      </c>
    </row>
    <row r="86" spans="3:17" x14ac:dyDescent="0.25">
      <c r="C86" s="2">
        <v>75</v>
      </c>
      <c r="D86" s="2">
        <v>150</v>
      </c>
      <c r="E86" s="2">
        <v>100</v>
      </c>
      <c r="F86" s="2">
        <v>853</v>
      </c>
      <c r="G86" s="2">
        <v>0.226622368565396</v>
      </c>
      <c r="P86">
        <f t="shared" si="8"/>
        <v>0.23327442238905988</v>
      </c>
      <c r="Q86">
        <f t="shared" si="9"/>
        <v>4.4249820072921221E-5</v>
      </c>
    </row>
    <row r="87" spans="3:17" x14ac:dyDescent="0.25">
      <c r="C87" s="2">
        <v>75</v>
      </c>
      <c r="D87" s="2">
        <v>150</v>
      </c>
      <c r="E87" s="2">
        <v>150</v>
      </c>
      <c r="F87" s="2">
        <v>973</v>
      </c>
      <c r="G87" s="2">
        <v>0.196900468641589</v>
      </c>
      <c r="P87">
        <f t="shared" si="8"/>
        <v>0.19896017858991555</v>
      </c>
      <c r="Q87">
        <f t="shared" si="9"/>
        <v>4.2424050712353554E-6</v>
      </c>
    </row>
    <row r="88" spans="3:17" x14ac:dyDescent="0.25">
      <c r="C88" s="2">
        <v>75</v>
      </c>
      <c r="D88" s="2">
        <v>150</v>
      </c>
      <c r="E88" s="2">
        <v>200</v>
      </c>
      <c r="F88" s="2">
        <v>1076</v>
      </c>
      <c r="G88" s="2">
        <v>0.17647551983461399</v>
      </c>
      <c r="P88">
        <f t="shared" si="8"/>
        <v>0.17617377451217336</v>
      </c>
      <c r="Q88">
        <f t="shared" si="9"/>
        <v>9.1050239614794888E-8</v>
      </c>
    </row>
    <row r="89" spans="3:17" x14ac:dyDescent="0.25">
      <c r="C89" s="2">
        <v>75</v>
      </c>
      <c r="D89" s="2">
        <v>150</v>
      </c>
      <c r="E89" s="2">
        <v>250</v>
      </c>
      <c r="F89" s="2">
        <v>1158</v>
      </c>
      <c r="G89" s="2">
        <v>0.16255290756469201</v>
      </c>
      <c r="P89">
        <f t="shared" si="8"/>
        <v>0.16120714026844452</v>
      </c>
      <c r="Q89">
        <f t="shared" si="9"/>
        <v>1.811089615649297E-6</v>
      </c>
    </row>
    <row r="90" spans="3:17" x14ac:dyDescent="0.25">
      <c r="C90" s="2">
        <v>75</v>
      </c>
      <c r="D90" s="2">
        <v>150</v>
      </c>
      <c r="E90" s="2">
        <v>300</v>
      </c>
      <c r="F90" s="2">
        <v>1228</v>
      </c>
      <c r="G90" s="2">
        <v>0.151915732641308</v>
      </c>
      <c r="P90">
        <f t="shared" si="8"/>
        <v>0.15016599342021261</v>
      </c>
      <c r="Q90">
        <f t="shared" si="9"/>
        <v>3.0615873418395098E-6</v>
      </c>
    </row>
    <row r="91" spans="3:17" x14ac:dyDescent="0.25">
      <c r="C91" s="2">
        <v>75</v>
      </c>
      <c r="D91" s="2">
        <v>150</v>
      </c>
      <c r="E91" s="2">
        <v>350</v>
      </c>
      <c r="F91" s="2">
        <v>1292</v>
      </c>
      <c r="G91" s="2">
        <v>0.14307315397186801</v>
      </c>
      <c r="P91">
        <f t="shared" si="8"/>
        <v>0.14122121134754848</v>
      </c>
      <c r="Q91">
        <f t="shared" si="9"/>
        <v>3.4296914837715294E-6</v>
      </c>
    </row>
    <row r="92" spans="3:17" x14ac:dyDescent="0.25">
      <c r="C92" s="2">
        <v>75</v>
      </c>
      <c r="D92" s="2">
        <v>150</v>
      </c>
      <c r="E92" s="2">
        <v>400</v>
      </c>
      <c r="F92" s="2">
        <v>1353</v>
      </c>
      <c r="G92" s="2">
        <v>0.13534383639515099</v>
      </c>
      <c r="P92">
        <f t="shared" si="8"/>
        <v>0.13356135299128385</v>
      </c>
      <c r="Q92">
        <f t="shared" si="9"/>
        <v>3.1772470850617697E-6</v>
      </c>
    </row>
    <row r="93" spans="3:17" x14ac:dyDescent="0.25">
      <c r="C93" s="2">
        <v>75</v>
      </c>
      <c r="D93" s="2">
        <v>200</v>
      </c>
      <c r="E93" s="2">
        <v>100</v>
      </c>
      <c r="F93" s="2">
        <v>1047</v>
      </c>
      <c r="G93" s="2">
        <v>0.18388037009432701</v>
      </c>
      <c r="P93">
        <f t="shared" si="8"/>
        <v>0.19271235617870006</v>
      </c>
      <c r="Q93">
        <f t="shared" si="9"/>
        <v>7.8003978194559199E-5</v>
      </c>
    </row>
    <row r="94" spans="3:17" x14ac:dyDescent="0.25">
      <c r="C94" s="2">
        <v>75</v>
      </c>
      <c r="D94" s="2">
        <v>200</v>
      </c>
      <c r="E94" s="2">
        <v>150</v>
      </c>
      <c r="F94" s="2">
        <v>1150</v>
      </c>
      <c r="G94" s="2">
        <v>0.16714021983820601</v>
      </c>
      <c r="P94">
        <f t="shared" si="8"/>
        <v>0.17199937918885572</v>
      </c>
      <c r="Q94">
        <f t="shared" si="9"/>
        <v>2.3611429595006468E-5</v>
      </c>
    </row>
    <row r="95" spans="3:17" x14ac:dyDescent="0.25">
      <c r="C95" s="2">
        <v>75</v>
      </c>
      <c r="D95" s="2">
        <v>200</v>
      </c>
      <c r="E95" s="2">
        <v>200</v>
      </c>
      <c r="F95" s="2">
        <v>1258</v>
      </c>
      <c r="G95" s="2">
        <v>0.15251553924245401</v>
      </c>
      <c r="P95">
        <f t="shared" si="8"/>
        <v>0.15427200083240578</v>
      </c>
      <c r="Q95">
        <f t="shared" si="9"/>
        <v>3.0851573169758958E-6</v>
      </c>
    </row>
    <row r="96" spans="3:17" x14ac:dyDescent="0.25">
      <c r="C96" s="2">
        <v>75</v>
      </c>
      <c r="D96" s="2">
        <v>200</v>
      </c>
      <c r="E96" s="2">
        <v>250</v>
      </c>
      <c r="F96" s="2">
        <v>1348</v>
      </c>
      <c r="G96" s="2">
        <v>0.14185994191446399</v>
      </c>
      <c r="P96">
        <f t="shared" si="8"/>
        <v>0.14188013290204418</v>
      </c>
      <c r="Q96">
        <f t="shared" si="9"/>
        <v>4.0767597946328822E-10</v>
      </c>
    </row>
    <row r="97" spans="3:17" x14ac:dyDescent="0.25">
      <c r="C97" s="2">
        <v>75</v>
      </c>
      <c r="D97" s="2">
        <v>200</v>
      </c>
      <c r="E97" s="2">
        <v>300</v>
      </c>
      <c r="F97" s="2">
        <v>1427</v>
      </c>
      <c r="G97" s="2">
        <v>0.133435376983224</v>
      </c>
      <c r="P97">
        <f t="shared" si="8"/>
        <v>0.13241847062979956</v>
      </c>
      <c r="Q97">
        <f t="shared" si="9"/>
        <v>1.0340985316349931E-6</v>
      </c>
    </row>
    <row r="98" spans="3:17" x14ac:dyDescent="0.25">
      <c r="C98" s="2">
        <v>75</v>
      </c>
      <c r="D98" s="2">
        <v>200</v>
      </c>
      <c r="E98" s="2">
        <v>350</v>
      </c>
      <c r="F98" s="2">
        <v>1499</v>
      </c>
      <c r="G98" s="2">
        <v>0.12637476917106499</v>
      </c>
      <c r="P98">
        <f t="shared" si="8"/>
        <v>0.12475067241330867</v>
      </c>
      <c r="Q98">
        <f t="shared" si="9"/>
        <v>2.6376902785545955E-6</v>
      </c>
    </row>
    <row r="99" spans="3:17" x14ac:dyDescent="0.25">
      <c r="C99" s="2">
        <v>75</v>
      </c>
      <c r="D99" s="2">
        <v>200</v>
      </c>
      <c r="E99" s="2">
        <v>400</v>
      </c>
      <c r="F99" s="2">
        <v>1569</v>
      </c>
      <c r="G99" s="2">
        <v>0.11999607034221101</v>
      </c>
      <c r="P99">
        <f t="shared" si="8"/>
        <v>0.11803837517850227</v>
      </c>
      <c r="Q99">
        <f t="shared" si="9"/>
        <v>3.8325703540085764E-6</v>
      </c>
    </row>
    <row r="100" spans="3:17" x14ac:dyDescent="0.25">
      <c r="C100" s="2">
        <v>75</v>
      </c>
      <c r="D100" s="2">
        <v>250</v>
      </c>
      <c r="E100" s="2">
        <v>100</v>
      </c>
      <c r="F100" s="2">
        <v>1274</v>
      </c>
      <c r="G100" s="2">
        <v>0.152219175421522</v>
      </c>
      <c r="P100">
        <f t="shared" si="8"/>
        <v>0.15975032050347629</v>
      </c>
      <c r="Q100">
        <f t="shared" si="9"/>
        <v>5.6718146245444345E-5</v>
      </c>
    </row>
    <row r="101" spans="3:17" x14ac:dyDescent="0.25">
      <c r="C101" s="2">
        <v>75</v>
      </c>
      <c r="D101" s="2">
        <v>250</v>
      </c>
      <c r="E101" s="2">
        <v>150</v>
      </c>
      <c r="F101" s="2">
        <v>1364</v>
      </c>
      <c r="G101" s="2">
        <v>0.14258147329385601</v>
      </c>
      <c r="P101">
        <f t="shared" si="8"/>
        <v>0.1470383820343272</v>
      </c>
      <c r="Q101">
        <f t="shared" si="9"/>
        <v>1.9864035520888522E-5</v>
      </c>
    </row>
    <row r="102" spans="3:17" x14ac:dyDescent="0.25">
      <c r="C102" s="2">
        <v>75</v>
      </c>
      <c r="D102" s="2">
        <v>250</v>
      </c>
      <c r="E102" s="2">
        <v>200</v>
      </c>
      <c r="F102" s="2">
        <v>1460</v>
      </c>
      <c r="G102" s="2">
        <v>0.133494031020537</v>
      </c>
      <c r="P102">
        <f t="shared" si="8"/>
        <v>0.13537828565179399</v>
      </c>
      <c r="Q102">
        <f t="shared" si="9"/>
        <v>3.5504155154134266E-6</v>
      </c>
    </row>
    <row r="103" spans="3:17" x14ac:dyDescent="0.25">
      <c r="C103" s="2">
        <v>75</v>
      </c>
      <c r="D103" s="2">
        <v>250</v>
      </c>
      <c r="E103" s="2">
        <v>250</v>
      </c>
      <c r="F103" s="2">
        <v>1550</v>
      </c>
      <c r="G103" s="2">
        <v>0.12585587571499399</v>
      </c>
      <c r="P103">
        <f t="shared" si="8"/>
        <v>0.12589003694901407</v>
      </c>
      <c r="Q103">
        <f t="shared" si="9"/>
        <v>1.1669899097750717E-9</v>
      </c>
    </row>
    <row r="104" spans="3:17" x14ac:dyDescent="0.25">
      <c r="C104" s="2">
        <v>75</v>
      </c>
      <c r="D104" s="2">
        <v>250</v>
      </c>
      <c r="E104" s="2">
        <v>300</v>
      </c>
      <c r="F104" s="2">
        <v>1634</v>
      </c>
      <c r="G104" s="2">
        <v>0.119326166052532</v>
      </c>
      <c r="P104">
        <f t="shared" si="8"/>
        <v>0.11807256365692842</v>
      </c>
      <c r="Q104">
        <f t="shared" si="9"/>
        <v>1.5715189662630449E-6</v>
      </c>
    </row>
    <row r="105" spans="3:17" x14ac:dyDescent="0.25">
      <c r="C105" s="2">
        <v>75</v>
      </c>
      <c r="D105" s="2">
        <v>250</v>
      </c>
      <c r="E105" s="2">
        <v>350</v>
      </c>
      <c r="F105" s="2">
        <v>1716</v>
      </c>
      <c r="G105" s="2">
        <v>0.113422527298655</v>
      </c>
      <c r="P105">
        <f t="shared" si="8"/>
        <v>0.11125439483345269</v>
      </c>
      <c r="Q105">
        <f t="shared" si="9"/>
        <v>4.7007983866642481E-6</v>
      </c>
    </row>
    <row r="106" spans="3:17" x14ac:dyDescent="0.25">
      <c r="C106" s="2">
        <v>75</v>
      </c>
      <c r="D106" s="2">
        <v>250</v>
      </c>
      <c r="E106" s="2">
        <v>400</v>
      </c>
      <c r="F106" s="2">
        <v>1796</v>
      </c>
      <c r="G106" s="2">
        <v>0.10808010850516001</v>
      </c>
      <c r="P106">
        <f t="shared" si="8"/>
        <v>0.10526367851339073</v>
      </c>
      <c r="Q106">
        <f t="shared" si="9"/>
        <v>7.9322778985374673E-6</v>
      </c>
    </row>
    <row r="107" spans="3:17" x14ac:dyDescent="0.25">
      <c r="C107" s="2">
        <v>100</v>
      </c>
      <c r="D107" s="2">
        <v>50</v>
      </c>
      <c r="E107" s="2">
        <v>100</v>
      </c>
      <c r="F107" s="2">
        <v>468</v>
      </c>
      <c r="G107" s="2">
        <v>0.31536009371610102</v>
      </c>
      <c r="P107">
        <f t="shared" si="8"/>
        <v>0.31426205729632989</v>
      </c>
      <c r="Q107">
        <f t="shared" si="9"/>
        <v>1.2056839791438039E-6</v>
      </c>
    </row>
    <row r="108" spans="3:17" x14ac:dyDescent="0.25">
      <c r="C108" s="2">
        <v>100</v>
      </c>
      <c r="D108" s="2">
        <v>50</v>
      </c>
      <c r="E108" s="2">
        <v>150</v>
      </c>
      <c r="F108" s="2">
        <v>537</v>
      </c>
      <c r="G108" s="2">
        <v>0.266308119886146</v>
      </c>
      <c r="P108">
        <f t="shared" si="8"/>
        <v>0.26465046857261149</v>
      </c>
      <c r="Q108">
        <f t="shared" si="9"/>
        <v>2.7478078772626991E-6</v>
      </c>
    </row>
    <row r="109" spans="3:17" x14ac:dyDescent="0.25">
      <c r="C109" s="2">
        <v>100</v>
      </c>
      <c r="D109" s="2">
        <v>50</v>
      </c>
      <c r="E109" s="2">
        <v>200</v>
      </c>
      <c r="F109" s="2">
        <v>597</v>
      </c>
      <c r="G109" s="2">
        <v>0.23265533650110901</v>
      </c>
      <c r="P109">
        <f t="shared" si="8"/>
        <v>0.23184855103159591</v>
      </c>
      <c r="Q109">
        <f t="shared" si="9"/>
        <v>6.5090279381747219E-7</v>
      </c>
    </row>
    <row r="110" spans="3:17" x14ac:dyDescent="0.25">
      <c r="C110" s="2">
        <v>100</v>
      </c>
      <c r="D110" s="2">
        <v>50</v>
      </c>
      <c r="E110" s="2">
        <v>250</v>
      </c>
      <c r="F110" s="2">
        <v>650</v>
      </c>
      <c r="G110" s="2">
        <v>0.208088135488944</v>
      </c>
      <c r="P110">
        <f t="shared" si="8"/>
        <v>0.20847602637534382</v>
      </c>
      <c r="Q110">
        <f t="shared" si="9"/>
        <v>1.5045933975203534E-7</v>
      </c>
    </row>
    <row r="111" spans="3:17" x14ac:dyDescent="0.25">
      <c r="C111" s="2">
        <v>100</v>
      </c>
      <c r="D111" s="2">
        <v>50</v>
      </c>
      <c r="E111" s="2">
        <v>300</v>
      </c>
      <c r="F111" s="2">
        <v>697</v>
      </c>
      <c r="G111" s="2">
        <v>0.18946959425648199</v>
      </c>
      <c r="P111">
        <f t="shared" si="8"/>
        <v>0.19106352575760857</v>
      </c>
      <c r="Q111">
        <f t="shared" si="9"/>
        <v>2.5406176302836248E-6</v>
      </c>
    </row>
    <row r="112" spans="3:17" x14ac:dyDescent="0.25">
      <c r="C112" s="2">
        <v>100</v>
      </c>
      <c r="D112" s="2">
        <v>50</v>
      </c>
      <c r="E112" s="2">
        <v>350</v>
      </c>
      <c r="F112" s="2">
        <v>741</v>
      </c>
      <c r="G112" s="2">
        <v>0.17434702459502499</v>
      </c>
      <c r="P112">
        <f t="shared" si="8"/>
        <v>0.17699637214026057</v>
      </c>
      <c r="Q112">
        <f t="shared" si="9"/>
        <v>7.0190424154457683E-6</v>
      </c>
    </row>
    <row r="113" spans="3:17" x14ac:dyDescent="0.25">
      <c r="C113" s="2">
        <v>100</v>
      </c>
      <c r="D113" s="2">
        <v>50</v>
      </c>
      <c r="E113" s="2">
        <v>400</v>
      </c>
      <c r="F113" s="2">
        <v>780</v>
      </c>
      <c r="G113" s="2">
        <v>0.16226046537727401</v>
      </c>
      <c r="P113">
        <f t="shared" si="8"/>
        <v>0.1660100037367101</v>
      </c>
      <c r="Q113">
        <f t="shared" si="9"/>
        <v>1.4059037908882676E-5</v>
      </c>
    </row>
    <row r="114" spans="3:17" x14ac:dyDescent="0.25">
      <c r="C114" s="2">
        <v>100</v>
      </c>
      <c r="D114" s="2">
        <v>100</v>
      </c>
      <c r="E114" s="2">
        <v>100</v>
      </c>
      <c r="F114" s="2">
        <v>639</v>
      </c>
      <c r="G114" s="2">
        <v>0.22947188336648</v>
      </c>
      <c r="P114">
        <f t="shared" si="8"/>
        <v>0.23040439241792002</v>
      </c>
      <c r="Q114">
        <f t="shared" si="9"/>
        <v>8.6957313101756021E-7</v>
      </c>
    </row>
    <row r="115" spans="3:17" x14ac:dyDescent="0.25">
      <c r="C115" s="2">
        <v>100</v>
      </c>
      <c r="D115" s="2">
        <v>100</v>
      </c>
      <c r="E115" s="2">
        <v>150</v>
      </c>
      <c r="F115" s="2">
        <v>747</v>
      </c>
      <c r="G115" s="2">
        <v>0.19208920656138401</v>
      </c>
      <c r="P115">
        <f t="shared" si="8"/>
        <v>0.18949779542211018</v>
      </c>
      <c r="Q115">
        <f t="shared" si="9"/>
        <v>6.7154116927524911E-6</v>
      </c>
    </row>
    <row r="116" spans="3:17" x14ac:dyDescent="0.25">
      <c r="C116" s="2">
        <v>100</v>
      </c>
      <c r="D116" s="2">
        <v>100</v>
      </c>
      <c r="E116" s="2">
        <v>200</v>
      </c>
      <c r="F116" s="2">
        <v>826</v>
      </c>
      <c r="G116" s="2">
        <v>0.170478690900806</v>
      </c>
      <c r="P116">
        <f t="shared" si="8"/>
        <v>0.16709282834874381</v>
      </c>
      <c r="Q116">
        <f t="shared" si="9"/>
        <v>1.1464065221457093E-5</v>
      </c>
    </row>
    <row r="117" spans="3:17" x14ac:dyDescent="0.25">
      <c r="C117" s="2">
        <v>100</v>
      </c>
      <c r="D117" s="2">
        <v>100</v>
      </c>
      <c r="E117" s="2">
        <v>250</v>
      </c>
      <c r="F117" s="2">
        <v>889</v>
      </c>
      <c r="G117" s="2">
        <v>0.15579274998540099</v>
      </c>
      <c r="P117">
        <f t="shared" si="8"/>
        <v>0.15240632556805178</v>
      </c>
      <c r="Q117">
        <f t="shared" si="9"/>
        <v>1.1467870334418935E-5</v>
      </c>
    </row>
    <row r="118" spans="3:17" x14ac:dyDescent="0.25">
      <c r="C118" s="2">
        <v>100</v>
      </c>
      <c r="D118" s="2">
        <v>100</v>
      </c>
      <c r="E118" s="2">
        <v>300</v>
      </c>
      <c r="F118" s="2">
        <v>945</v>
      </c>
      <c r="G118" s="2">
        <v>0.14430896577913299</v>
      </c>
      <c r="P118">
        <f t="shared" si="8"/>
        <v>0.14118763210262431</v>
      </c>
      <c r="Q118">
        <f t="shared" si="9"/>
        <v>9.7427239201072321E-6</v>
      </c>
    </row>
    <row r="119" spans="3:17" x14ac:dyDescent="0.25">
      <c r="C119" s="2">
        <v>100</v>
      </c>
      <c r="D119" s="2">
        <v>100</v>
      </c>
      <c r="E119" s="2">
        <v>350</v>
      </c>
      <c r="F119" s="2">
        <v>996</v>
      </c>
      <c r="G119" s="2">
        <v>0.13490007353469799</v>
      </c>
      <c r="P119">
        <f t="shared" si="8"/>
        <v>0.13219790518782482</v>
      </c>
      <c r="Q119">
        <f t="shared" si="9"/>
        <v>7.301713774843301E-6</v>
      </c>
    </row>
    <row r="120" spans="3:17" x14ac:dyDescent="0.25">
      <c r="C120" s="2">
        <v>100</v>
      </c>
      <c r="D120" s="2">
        <v>100</v>
      </c>
      <c r="E120" s="2">
        <v>400</v>
      </c>
      <c r="F120" s="2">
        <v>1043</v>
      </c>
      <c r="G120" s="2">
        <v>0.12697521903321601</v>
      </c>
      <c r="P120">
        <f t="shared" si="8"/>
        <v>0.12478440617720288</v>
      </c>
      <c r="Q120">
        <f t="shared" si="9"/>
        <v>4.7996609700724328E-6</v>
      </c>
    </row>
    <row r="121" spans="3:17" x14ac:dyDescent="0.25">
      <c r="C121" s="2">
        <v>100</v>
      </c>
      <c r="D121" s="2">
        <v>150</v>
      </c>
      <c r="E121" s="2">
        <v>100</v>
      </c>
      <c r="F121" s="2">
        <v>793</v>
      </c>
      <c r="G121" s="2">
        <v>0.18291323567349099</v>
      </c>
      <c r="P121">
        <f t="shared" si="8"/>
        <v>0.18849498335828169</v>
      </c>
      <c r="Q121">
        <f t="shared" si="9"/>
        <v>3.1155907216666274E-5</v>
      </c>
    </row>
    <row r="122" spans="3:17" x14ac:dyDescent="0.25">
      <c r="C122" s="2">
        <v>100</v>
      </c>
      <c r="D122" s="2">
        <v>150</v>
      </c>
      <c r="E122" s="2">
        <v>150</v>
      </c>
      <c r="F122" s="2">
        <v>917</v>
      </c>
      <c r="G122" s="2">
        <v>0.15651798418241999</v>
      </c>
      <c r="P122">
        <f t="shared" si="8"/>
        <v>0.15710132869933774</v>
      </c>
      <c r="Q122">
        <f t="shared" si="9"/>
        <v>3.4029082541799643E-7</v>
      </c>
    </row>
    <row r="123" spans="3:17" x14ac:dyDescent="0.25">
      <c r="C123" s="2">
        <v>100</v>
      </c>
      <c r="D123" s="2">
        <v>150</v>
      </c>
      <c r="E123" s="2">
        <v>200</v>
      </c>
      <c r="F123" s="2">
        <v>1018</v>
      </c>
      <c r="G123" s="2">
        <v>0.139502822548949</v>
      </c>
      <c r="P123">
        <f t="shared" si="8"/>
        <v>0.13780887402077979</v>
      </c>
      <c r="Q123">
        <f t="shared" si="9"/>
        <v>2.8694616160866107E-6</v>
      </c>
    </row>
    <row r="124" spans="3:17" x14ac:dyDescent="0.25">
      <c r="C124" s="2">
        <v>100</v>
      </c>
      <c r="D124" s="2">
        <v>150</v>
      </c>
      <c r="E124" s="2">
        <v>250</v>
      </c>
      <c r="F124" s="2">
        <v>1093</v>
      </c>
      <c r="G124" s="2">
        <v>0.12865505125750901</v>
      </c>
      <c r="P124">
        <f t="shared" si="8"/>
        <v>0.12605628461479737</v>
      </c>
      <c r="Q124">
        <f t="shared" si="9"/>
        <v>6.7535880632707096E-6</v>
      </c>
    </row>
    <row r="125" spans="3:17" x14ac:dyDescent="0.25">
      <c r="C125" s="2">
        <v>100</v>
      </c>
      <c r="D125" s="2">
        <v>150</v>
      </c>
      <c r="E125" s="2">
        <v>300</v>
      </c>
      <c r="F125" s="2">
        <v>1158</v>
      </c>
      <c r="G125" s="2">
        <v>0.120248317610956</v>
      </c>
      <c r="P125">
        <f t="shared" si="8"/>
        <v>0.11724779896676324</v>
      </c>
      <c r="Q125">
        <f t="shared" si="9"/>
        <v>9.0031121341483718E-6</v>
      </c>
    </row>
    <row r="126" spans="3:17" x14ac:dyDescent="0.25">
      <c r="C126" s="2">
        <v>100</v>
      </c>
      <c r="D126" s="2">
        <v>150</v>
      </c>
      <c r="E126" s="2">
        <v>350</v>
      </c>
      <c r="F126" s="2">
        <v>1216</v>
      </c>
      <c r="G126" s="2">
        <v>0.11339375646826</v>
      </c>
      <c r="P126">
        <f t="shared" si="8"/>
        <v>0.11027813543693581</v>
      </c>
      <c r="Q126">
        <f t="shared" si="9"/>
        <v>9.7070944108296235E-6</v>
      </c>
    </row>
    <row r="127" spans="3:17" x14ac:dyDescent="0.25">
      <c r="C127" s="2">
        <v>100</v>
      </c>
      <c r="D127" s="2">
        <v>150</v>
      </c>
      <c r="E127" s="2">
        <v>400</v>
      </c>
      <c r="F127" s="2">
        <v>1271</v>
      </c>
      <c r="G127" s="2">
        <v>0.107406204314784</v>
      </c>
      <c r="P127">
        <f t="shared" si="8"/>
        <v>0.10432740342167802</v>
      </c>
      <c r="Q127">
        <f t="shared" si="9"/>
        <v>9.4790149393901233E-6</v>
      </c>
    </row>
    <row r="128" spans="3:17" x14ac:dyDescent="0.25">
      <c r="C128" s="2">
        <v>100</v>
      </c>
      <c r="D128" s="2">
        <v>200</v>
      </c>
      <c r="E128" s="2">
        <v>100</v>
      </c>
      <c r="F128" s="2">
        <v>962</v>
      </c>
      <c r="G128" s="2">
        <v>0.14964392794020001</v>
      </c>
      <c r="P128">
        <f t="shared" si="8"/>
        <v>0.15737838259447823</v>
      </c>
      <c r="Q128">
        <f t="shared" si="9"/>
        <v>5.9821788799085967E-5</v>
      </c>
    </row>
    <row r="129" spans="3:17" x14ac:dyDescent="0.25">
      <c r="C129" s="2">
        <v>100</v>
      </c>
      <c r="D129" s="2">
        <v>200</v>
      </c>
      <c r="E129" s="2">
        <v>150</v>
      </c>
      <c r="F129" s="2">
        <v>1073</v>
      </c>
      <c r="G129" s="2">
        <v>0.133904201069941</v>
      </c>
      <c r="P129">
        <f t="shared" si="8"/>
        <v>0.13720457540337039</v>
      </c>
      <c r="Q129">
        <f t="shared" si="9"/>
        <v>1.089247074075949E-5</v>
      </c>
    </row>
    <row r="130" spans="3:17" x14ac:dyDescent="0.25">
      <c r="C130" s="2">
        <v>100</v>
      </c>
      <c r="D130" s="2">
        <v>200</v>
      </c>
      <c r="E130" s="2">
        <v>200</v>
      </c>
      <c r="F130" s="2">
        <v>1186</v>
      </c>
      <c r="G130" s="2">
        <v>0.12080185796213699</v>
      </c>
      <c r="P130">
        <f t="shared" si="8"/>
        <v>0.12098771548444566</v>
      </c>
      <c r="Q130">
        <f t="shared" si="9"/>
        <v>3.4543018598716331E-8</v>
      </c>
    </row>
    <row r="131" spans="3:17" x14ac:dyDescent="0.25">
      <c r="C131" s="2">
        <v>100</v>
      </c>
      <c r="D131" s="2">
        <v>200</v>
      </c>
      <c r="E131" s="2">
        <v>250</v>
      </c>
      <c r="F131" s="2">
        <v>1275</v>
      </c>
      <c r="G131" s="2">
        <v>0.11189321213113999</v>
      </c>
      <c r="P131">
        <f t="shared" ref="P131:P194" si="10">$T$2*LOG($W$2+$U$2*D131)*(1/F131^($R$2*LOG($S$2*C131+$V$2*D131)))</f>
        <v>0.11047486589057952</v>
      </c>
      <c r="Q131">
        <f t="shared" ref="Q131:Q194" si="11">(G131-P131)^2</f>
        <v>2.0117060581120336E-6</v>
      </c>
    </row>
    <row r="132" spans="3:17" x14ac:dyDescent="0.25">
      <c r="C132" s="2">
        <v>100</v>
      </c>
      <c r="D132" s="2">
        <v>200</v>
      </c>
      <c r="E132" s="2">
        <v>300</v>
      </c>
      <c r="F132" s="2">
        <v>1351</v>
      </c>
      <c r="G132" s="2">
        <v>0.105075286727957</v>
      </c>
      <c r="P132">
        <f t="shared" si="10"/>
        <v>0.10272478927974615</v>
      </c>
      <c r="Q132">
        <f t="shared" si="11"/>
        <v>5.5248382540457195E-6</v>
      </c>
    </row>
    <row r="133" spans="3:17" x14ac:dyDescent="0.25">
      <c r="C133" s="2">
        <v>100</v>
      </c>
      <c r="D133" s="2">
        <v>200</v>
      </c>
      <c r="E133" s="2">
        <v>350</v>
      </c>
      <c r="F133" s="2">
        <v>1419</v>
      </c>
      <c r="G133" s="2">
        <v>9.9458941241940199E-2</v>
      </c>
      <c r="P133">
        <f t="shared" si="10"/>
        <v>9.6579173965921791E-2</v>
      </c>
      <c r="Q133">
        <f t="shared" si="11"/>
        <v>8.2930595640264813E-6</v>
      </c>
    </row>
    <row r="134" spans="3:17" x14ac:dyDescent="0.25">
      <c r="C134" s="2">
        <v>100</v>
      </c>
      <c r="D134" s="2">
        <v>200</v>
      </c>
      <c r="E134" s="2">
        <v>400</v>
      </c>
      <c r="F134" s="2">
        <v>1486</v>
      </c>
      <c r="G134" s="2">
        <v>9.4366341513342902E-2</v>
      </c>
      <c r="P134">
        <f t="shared" si="10"/>
        <v>9.1140845094079312E-2</v>
      </c>
      <c r="Q134">
        <f t="shared" si="11"/>
        <v>1.0403827150682244E-5</v>
      </c>
    </row>
    <row r="135" spans="3:17" x14ac:dyDescent="0.25">
      <c r="C135" s="2">
        <v>100</v>
      </c>
      <c r="D135" s="2">
        <v>250</v>
      </c>
      <c r="E135" s="2">
        <v>100</v>
      </c>
      <c r="F135" s="2">
        <v>1155</v>
      </c>
      <c r="G135" s="2">
        <v>0.124911812555469</v>
      </c>
      <c r="P135">
        <f t="shared" si="10"/>
        <v>0.13219982561304164</v>
      </c>
      <c r="Q135">
        <f t="shared" si="11"/>
        <v>5.3115134327349261E-5</v>
      </c>
    </row>
    <row r="136" spans="3:17" x14ac:dyDescent="0.25">
      <c r="C136" s="2">
        <v>100</v>
      </c>
      <c r="D136" s="2">
        <v>250</v>
      </c>
      <c r="E136" s="2">
        <v>150</v>
      </c>
      <c r="F136" s="2">
        <v>1249</v>
      </c>
      <c r="G136" s="2">
        <v>0.115819615935935</v>
      </c>
      <c r="P136">
        <f t="shared" si="10"/>
        <v>0.11980285491772283</v>
      </c>
      <c r="Q136">
        <f t="shared" si="11"/>
        <v>1.5866192786034163E-5</v>
      </c>
    </row>
    <row r="137" spans="3:17" x14ac:dyDescent="0.25">
      <c r="C137" s="2">
        <v>100</v>
      </c>
      <c r="D137" s="2">
        <v>250</v>
      </c>
      <c r="E137" s="2">
        <v>200</v>
      </c>
      <c r="F137" s="2">
        <v>1356</v>
      </c>
      <c r="G137" s="2">
        <v>0.106949446221801</v>
      </c>
      <c r="P137">
        <f t="shared" si="10"/>
        <v>0.10802963241147898</v>
      </c>
      <c r="Q137">
        <f t="shared" si="11"/>
        <v>1.1668022043710298E-6</v>
      </c>
    </row>
    <row r="138" spans="3:17" x14ac:dyDescent="0.25">
      <c r="C138" s="2">
        <v>100</v>
      </c>
      <c r="D138" s="2">
        <v>250</v>
      </c>
      <c r="E138" s="2">
        <v>250</v>
      </c>
      <c r="F138" s="2">
        <v>1458</v>
      </c>
      <c r="G138" s="2">
        <v>9.9588611136979505E-2</v>
      </c>
      <c r="P138">
        <f t="shared" si="10"/>
        <v>9.8606038248694322E-2</v>
      </c>
      <c r="Q138">
        <f t="shared" si="11"/>
        <v>9.6544948079308587E-7</v>
      </c>
    </row>
    <row r="139" spans="3:17" x14ac:dyDescent="0.25">
      <c r="C139" s="2">
        <v>100</v>
      </c>
      <c r="D139" s="2">
        <v>250</v>
      </c>
      <c r="E139" s="2">
        <v>300</v>
      </c>
      <c r="F139" s="2">
        <v>1544</v>
      </c>
      <c r="G139" s="2">
        <v>9.3995767754235099E-2</v>
      </c>
      <c r="P139">
        <f t="shared" si="10"/>
        <v>9.174454162715541E-2</v>
      </c>
      <c r="Q139">
        <f t="shared" si="11"/>
        <v>5.0680190752462167E-6</v>
      </c>
    </row>
    <row r="140" spans="3:17" x14ac:dyDescent="0.25">
      <c r="C140" s="2">
        <v>100</v>
      </c>
      <c r="D140" s="2">
        <v>250</v>
      </c>
      <c r="E140" s="2">
        <v>350</v>
      </c>
      <c r="F140" s="2">
        <v>1625</v>
      </c>
      <c r="G140" s="2">
        <v>8.9114133978410295E-2</v>
      </c>
      <c r="P140">
        <f t="shared" si="10"/>
        <v>8.6026914355438161E-2</v>
      </c>
      <c r="Q140">
        <f t="shared" si="11"/>
        <v>9.5309250004642068E-6</v>
      </c>
    </row>
    <row r="141" spans="3:17" x14ac:dyDescent="0.25">
      <c r="C141" s="2">
        <v>100</v>
      </c>
      <c r="D141" s="2">
        <v>250</v>
      </c>
      <c r="E141" s="2">
        <v>400</v>
      </c>
      <c r="F141" s="2">
        <v>1709</v>
      </c>
      <c r="G141" s="2">
        <v>8.4501760246924906E-2</v>
      </c>
      <c r="P141">
        <f t="shared" si="10"/>
        <v>8.0739835908207686E-2</v>
      </c>
      <c r="Q141">
        <f t="shared" si="11"/>
        <v>1.4152074730232999E-5</v>
      </c>
    </row>
    <row r="142" spans="3:17" x14ac:dyDescent="0.25">
      <c r="C142" s="2">
        <v>125</v>
      </c>
      <c r="D142" s="2">
        <v>50</v>
      </c>
      <c r="E142" s="2">
        <v>100</v>
      </c>
      <c r="F142" s="2">
        <v>447</v>
      </c>
      <c r="G142" s="2">
        <v>0.264708395171105</v>
      </c>
      <c r="P142">
        <f t="shared" si="10"/>
        <v>0.26667852591324559</v>
      </c>
      <c r="Q142">
        <f t="shared" si="11"/>
        <v>3.8814151411274145E-6</v>
      </c>
    </row>
    <row r="143" spans="3:17" x14ac:dyDescent="0.25">
      <c r="C143" s="2">
        <v>125</v>
      </c>
      <c r="D143" s="2">
        <v>50</v>
      </c>
      <c r="E143" s="2">
        <v>150</v>
      </c>
      <c r="F143" s="2">
        <v>506</v>
      </c>
      <c r="G143" s="2">
        <v>0.226724162215482</v>
      </c>
      <c r="P143">
        <f t="shared" si="10"/>
        <v>0.2273876412094632</v>
      </c>
      <c r="Q143">
        <f t="shared" si="11"/>
        <v>4.402043754543026E-7</v>
      </c>
    </row>
    <row r="144" spans="3:17" x14ac:dyDescent="0.25">
      <c r="C144" s="2">
        <v>125</v>
      </c>
      <c r="D144" s="2">
        <v>50</v>
      </c>
      <c r="E144" s="2">
        <v>200</v>
      </c>
      <c r="F144" s="2">
        <v>557</v>
      </c>
      <c r="G144" s="2">
        <v>0.200007488146491</v>
      </c>
      <c r="P144">
        <f t="shared" si="10"/>
        <v>0.20097906850370728</v>
      </c>
      <c r="Q144">
        <f t="shared" si="11"/>
        <v>9.4396839052852197E-7</v>
      </c>
    </row>
    <row r="145" spans="3:17" x14ac:dyDescent="0.25">
      <c r="C145" s="2">
        <v>125</v>
      </c>
      <c r="D145" s="2">
        <v>50</v>
      </c>
      <c r="E145" s="2">
        <v>250</v>
      </c>
      <c r="F145" s="2">
        <v>604</v>
      </c>
      <c r="G145" s="2">
        <v>0.17949802407788701</v>
      </c>
      <c r="P145">
        <f t="shared" si="10"/>
        <v>0.18110096468041562</v>
      </c>
      <c r="Q145">
        <f t="shared" si="11"/>
        <v>2.5694185752347751E-6</v>
      </c>
    </row>
    <row r="146" spans="3:17" x14ac:dyDescent="0.25">
      <c r="C146" s="2">
        <v>125</v>
      </c>
      <c r="D146" s="2">
        <v>50</v>
      </c>
      <c r="E146" s="2">
        <v>300</v>
      </c>
      <c r="F146" s="2">
        <v>646</v>
      </c>
      <c r="G146" s="2">
        <v>0.16374690373853701</v>
      </c>
      <c r="P146">
        <f t="shared" si="10"/>
        <v>0.16610648251759338</v>
      </c>
      <c r="Q146">
        <f t="shared" si="11"/>
        <v>5.5676120145731783E-6</v>
      </c>
    </row>
    <row r="147" spans="3:17" x14ac:dyDescent="0.25">
      <c r="C147" s="2">
        <v>125</v>
      </c>
      <c r="D147" s="2">
        <v>50</v>
      </c>
      <c r="E147" s="2">
        <v>350</v>
      </c>
      <c r="F147" s="2">
        <v>685</v>
      </c>
      <c r="G147" s="2">
        <v>0.15097136904789801</v>
      </c>
      <c r="P147">
        <f t="shared" si="10"/>
        <v>0.15404847632265067</v>
      </c>
      <c r="Q147">
        <f t="shared" si="11"/>
        <v>9.4685891803357465E-6</v>
      </c>
    </row>
    <row r="148" spans="3:17" x14ac:dyDescent="0.25">
      <c r="C148" s="2">
        <v>125</v>
      </c>
      <c r="D148" s="2">
        <v>50</v>
      </c>
      <c r="E148" s="2">
        <v>400</v>
      </c>
      <c r="F148" s="2">
        <v>722</v>
      </c>
      <c r="G148" s="2">
        <v>0.140282543785958</v>
      </c>
      <c r="P148">
        <f t="shared" si="10"/>
        <v>0.14397447863151838</v>
      </c>
      <c r="Q148">
        <f t="shared" si="11"/>
        <v>1.3630382903862944E-5</v>
      </c>
    </row>
    <row r="149" spans="3:17" x14ac:dyDescent="0.25">
      <c r="C149" s="2">
        <v>125</v>
      </c>
      <c r="D149" s="2">
        <v>100</v>
      </c>
      <c r="E149" s="2">
        <v>100</v>
      </c>
      <c r="F149" s="2">
        <v>611</v>
      </c>
      <c r="G149" s="2">
        <v>0.19229535984066901</v>
      </c>
      <c r="P149">
        <f t="shared" si="10"/>
        <v>0.19363728382491949</v>
      </c>
      <c r="Q149">
        <f t="shared" si="11"/>
        <v>1.8007599795066866E-6</v>
      </c>
    </row>
    <row r="150" spans="3:17" x14ac:dyDescent="0.25">
      <c r="C150" s="2">
        <v>125</v>
      </c>
      <c r="D150" s="2">
        <v>100</v>
      </c>
      <c r="E150" s="2">
        <v>150</v>
      </c>
      <c r="F150" s="2">
        <v>714</v>
      </c>
      <c r="G150" s="2">
        <v>0.160798110251891</v>
      </c>
      <c r="P150">
        <f t="shared" si="10"/>
        <v>0.1584459328183345</v>
      </c>
      <c r="Q150">
        <f t="shared" si="11"/>
        <v>5.532738678932476E-6</v>
      </c>
    </row>
    <row r="151" spans="3:17" x14ac:dyDescent="0.25">
      <c r="C151" s="2">
        <v>125</v>
      </c>
      <c r="D151" s="2">
        <v>100</v>
      </c>
      <c r="E151" s="2">
        <v>200</v>
      </c>
      <c r="F151" s="2">
        <v>787</v>
      </c>
      <c r="G151" s="2">
        <v>0.14305612721486499</v>
      </c>
      <c r="P151">
        <f t="shared" si="10"/>
        <v>0.13978172310141387</v>
      </c>
      <c r="Q151">
        <f t="shared" si="11"/>
        <v>1.0721722298185602E-5</v>
      </c>
    </row>
    <row r="152" spans="3:17" x14ac:dyDescent="0.25">
      <c r="C152" s="2">
        <v>125</v>
      </c>
      <c r="D152" s="2">
        <v>100</v>
      </c>
      <c r="E152" s="2">
        <v>250</v>
      </c>
      <c r="F152" s="2">
        <v>846</v>
      </c>
      <c r="G152" s="2">
        <v>0.130809381812686</v>
      </c>
      <c r="P152">
        <f t="shared" si="10"/>
        <v>0.12735873849993107</v>
      </c>
      <c r="Q152">
        <f t="shared" si="11"/>
        <v>1.190693927186036E-5</v>
      </c>
    </row>
    <row r="153" spans="3:17" x14ac:dyDescent="0.25">
      <c r="C153" s="2">
        <v>125</v>
      </c>
      <c r="D153" s="2">
        <v>100</v>
      </c>
      <c r="E153" s="2">
        <v>300</v>
      </c>
      <c r="F153" s="2">
        <v>898</v>
      </c>
      <c r="G153" s="2">
        <v>0.121281000855927</v>
      </c>
      <c r="P153">
        <f t="shared" si="10"/>
        <v>0.11794376854366187</v>
      </c>
      <c r="Q153">
        <f t="shared" si="11"/>
        <v>1.1137119506026438E-5</v>
      </c>
    </row>
    <row r="154" spans="3:17" x14ac:dyDescent="0.25">
      <c r="C154" s="2">
        <v>125</v>
      </c>
      <c r="D154" s="2">
        <v>100</v>
      </c>
      <c r="E154" s="2">
        <v>350</v>
      </c>
      <c r="F154" s="2">
        <v>945</v>
      </c>
      <c r="G154" s="2">
        <v>0.113504737812148</v>
      </c>
      <c r="P154">
        <f t="shared" si="10"/>
        <v>0.1104460008268805</v>
      </c>
      <c r="Q154">
        <f t="shared" si="11"/>
        <v>9.3558719450433078E-6</v>
      </c>
    </row>
    <row r="155" spans="3:17" x14ac:dyDescent="0.25">
      <c r="C155" s="2">
        <v>125</v>
      </c>
      <c r="D155" s="2">
        <v>100</v>
      </c>
      <c r="E155" s="2">
        <v>400</v>
      </c>
      <c r="F155" s="2">
        <v>990</v>
      </c>
      <c r="G155" s="2">
        <v>0.10675778747814101</v>
      </c>
      <c r="P155">
        <f t="shared" si="10"/>
        <v>0.10402513441081768</v>
      </c>
      <c r="Q155">
        <f t="shared" si="11"/>
        <v>7.4673927863515989E-6</v>
      </c>
    </row>
    <row r="156" spans="3:17" x14ac:dyDescent="0.25">
      <c r="C156" s="2">
        <v>125</v>
      </c>
      <c r="D156" s="2">
        <v>150</v>
      </c>
      <c r="E156" s="2">
        <v>100</v>
      </c>
      <c r="F156" s="2">
        <v>753</v>
      </c>
      <c r="G156" s="2">
        <v>0.15426742291048001</v>
      </c>
      <c r="P156">
        <f t="shared" si="10"/>
        <v>0.15909840874344794</v>
      </c>
      <c r="Q156">
        <f t="shared" si="11"/>
        <v>2.3338424118336814E-5</v>
      </c>
    </row>
    <row r="157" spans="3:17" x14ac:dyDescent="0.25">
      <c r="C157" s="2">
        <v>125</v>
      </c>
      <c r="D157" s="2">
        <v>150</v>
      </c>
      <c r="E157" s="2">
        <v>150</v>
      </c>
      <c r="F157" s="2">
        <v>883</v>
      </c>
      <c r="G157" s="2">
        <v>0.129939802999437</v>
      </c>
      <c r="P157">
        <f t="shared" si="10"/>
        <v>0.1295647499250841</v>
      </c>
      <c r="Q157">
        <f t="shared" si="11"/>
        <v>1.4066480858156122E-7</v>
      </c>
    </row>
    <row r="158" spans="3:17" x14ac:dyDescent="0.25">
      <c r="C158" s="2">
        <v>125</v>
      </c>
      <c r="D158" s="2">
        <v>150</v>
      </c>
      <c r="E158" s="2">
        <v>200</v>
      </c>
      <c r="F158" s="2">
        <v>983</v>
      </c>
      <c r="G158" s="2">
        <v>0.115307914024554</v>
      </c>
      <c r="P158">
        <f t="shared" si="10"/>
        <v>0.11282681248972762</v>
      </c>
      <c r="Q158">
        <f t="shared" si="11"/>
        <v>6.1558648261178044E-6</v>
      </c>
    </row>
    <row r="159" spans="3:17" x14ac:dyDescent="0.25">
      <c r="C159" s="2">
        <v>125</v>
      </c>
      <c r="D159" s="2">
        <v>150</v>
      </c>
      <c r="E159" s="2">
        <v>250</v>
      </c>
      <c r="F159" s="2">
        <v>1055</v>
      </c>
      <c r="G159" s="2">
        <v>0.106302428072912</v>
      </c>
      <c r="P159">
        <f t="shared" si="10"/>
        <v>0.10299842275374239</v>
      </c>
      <c r="Q159">
        <f t="shared" si="11"/>
        <v>1.091645114910105E-5</v>
      </c>
    </row>
    <row r="160" spans="3:17" x14ac:dyDescent="0.25">
      <c r="C160" s="2">
        <v>125</v>
      </c>
      <c r="D160" s="2">
        <v>150</v>
      </c>
      <c r="E160" s="2">
        <v>300</v>
      </c>
      <c r="F160" s="2">
        <v>1115</v>
      </c>
      <c r="G160" s="2">
        <v>9.9557578611601499E-2</v>
      </c>
      <c r="P160">
        <f t="shared" si="10"/>
        <v>9.5908529596690481E-2</v>
      </c>
      <c r="Q160">
        <f t="shared" si="11"/>
        <v>1.3315558713223073E-5</v>
      </c>
    </row>
    <row r="161" spans="3:17" x14ac:dyDescent="0.25">
      <c r="C161" s="2">
        <v>125</v>
      </c>
      <c r="D161" s="2">
        <v>150</v>
      </c>
      <c r="E161" s="2">
        <v>350</v>
      </c>
      <c r="F161" s="2">
        <v>1171</v>
      </c>
      <c r="G161" s="2">
        <v>9.3837037322248407E-2</v>
      </c>
      <c r="P161">
        <f t="shared" si="10"/>
        <v>9.0036210105717551E-2</v>
      </c>
      <c r="Q161">
        <f t="shared" si="11"/>
        <v>1.444628752992169E-5</v>
      </c>
    </row>
    <row r="162" spans="3:17" x14ac:dyDescent="0.25">
      <c r="C162" s="2">
        <v>125</v>
      </c>
      <c r="D162" s="2">
        <v>150</v>
      </c>
      <c r="E162" s="2">
        <v>400</v>
      </c>
      <c r="F162" s="2">
        <v>1223</v>
      </c>
      <c r="G162" s="2">
        <v>8.8934200886286396E-2</v>
      </c>
      <c r="P162">
        <f t="shared" si="10"/>
        <v>8.5130992546646189E-2</v>
      </c>
      <c r="Q162">
        <f t="shared" si="11"/>
        <v>1.4464393674708821E-5</v>
      </c>
    </row>
    <row r="163" spans="3:17" x14ac:dyDescent="0.25">
      <c r="C163" s="2">
        <v>125</v>
      </c>
      <c r="D163" s="2">
        <v>200</v>
      </c>
      <c r="E163" s="2">
        <v>100</v>
      </c>
      <c r="F163" s="2">
        <v>905</v>
      </c>
      <c r="G163" s="2">
        <v>0.12709789622119699</v>
      </c>
      <c r="P163">
        <f t="shared" si="10"/>
        <v>0.1339414630325069</v>
      </c>
      <c r="Q163">
        <f t="shared" si="11"/>
        <v>4.6834406700862399E-5</v>
      </c>
    </row>
    <row r="164" spans="3:17" x14ac:dyDescent="0.25">
      <c r="C164" s="2">
        <v>125</v>
      </c>
      <c r="D164" s="2">
        <v>200</v>
      </c>
      <c r="E164" s="2">
        <v>150</v>
      </c>
      <c r="F164" s="2">
        <v>1026</v>
      </c>
      <c r="G164" s="2">
        <v>0.111847139979886</v>
      </c>
      <c r="P164">
        <f t="shared" si="10"/>
        <v>0.11390602850205632</v>
      </c>
      <c r="Q164">
        <f t="shared" si="11"/>
        <v>4.2390219467246665E-6</v>
      </c>
    </row>
    <row r="165" spans="3:17" x14ac:dyDescent="0.25">
      <c r="C165" s="2">
        <v>125</v>
      </c>
      <c r="D165" s="2">
        <v>200</v>
      </c>
      <c r="E165" s="2">
        <v>200</v>
      </c>
      <c r="F165" s="2">
        <v>1146</v>
      </c>
      <c r="G165" s="2">
        <v>9.9726800964572093E-2</v>
      </c>
      <c r="P165">
        <f t="shared" si="10"/>
        <v>9.8746438969505246E-2</v>
      </c>
      <c r="Q165">
        <f t="shared" si="11"/>
        <v>9.6110964137144928E-7</v>
      </c>
    </row>
    <row r="166" spans="3:17" x14ac:dyDescent="0.25">
      <c r="C166" s="2">
        <v>125</v>
      </c>
      <c r="D166" s="2">
        <v>200</v>
      </c>
      <c r="E166" s="2">
        <v>250</v>
      </c>
      <c r="F166" s="2">
        <v>1234</v>
      </c>
      <c r="G166" s="2">
        <v>9.2142365105194302E-2</v>
      </c>
      <c r="P166">
        <f t="shared" si="10"/>
        <v>8.9750066841921355E-2</v>
      </c>
      <c r="Q166">
        <f t="shared" si="11"/>
        <v>5.7230909804587541E-6</v>
      </c>
    </row>
    <row r="167" spans="3:17" x14ac:dyDescent="0.25">
      <c r="C167" s="2">
        <v>125</v>
      </c>
      <c r="D167" s="2">
        <v>200</v>
      </c>
      <c r="E167" s="2">
        <v>300</v>
      </c>
      <c r="F167" s="2">
        <v>1310</v>
      </c>
      <c r="G167" s="2">
        <v>8.63095854025243E-2</v>
      </c>
      <c r="P167">
        <f t="shared" si="10"/>
        <v>8.308458505207382E-2</v>
      </c>
      <c r="Q167">
        <f t="shared" si="11"/>
        <v>1.0400627260405718E-5</v>
      </c>
    </row>
    <row r="168" spans="3:17" x14ac:dyDescent="0.25">
      <c r="C168" s="2">
        <v>125</v>
      </c>
      <c r="D168" s="2">
        <v>200</v>
      </c>
      <c r="E168" s="2">
        <v>350</v>
      </c>
      <c r="F168" s="2">
        <v>1376</v>
      </c>
      <c r="G168" s="2">
        <v>8.1670842497953103E-2</v>
      </c>
      <c r="P168">
        <f t="shared" si="10"/>
        <v>7.7975330726318626E-2</v>
      </c>
      <c r="Q168">
        <f t="shared" si="11"/>
        <v>1.3656807254288991E-5</v>
      </c>
    </row>
    <row r="169" spans="3:17" x14ac:dyDescent="0.25">
      <c r="C169" s="2">
        <v>125</v>
      </c>
      <c r="D169" s="2">
        <v>200</v>
      </c>
      <c r="E169" s="2">
        <v>400</v>
      </c>
      <c r="F169" s="2">
        <v>1442</v>
      </c>
      <c r="G169" s="2">
        <v>7.7397417368312293E-2</v>
      </c>
      <c r="P169">
        <f t="shared" si="10"/>
        <v>7.3398230351493648E-2</v>
      </c>
      <c r="Q169">
        <f t="shared" si="11"/>
        <v>1.5993496795490814E-5</v>
      </c>
    </row>
    <row r="170" spans="3:17" x14ac:dyDescent="0.25">
      <c r="C170" s="2">
        <v>125</v>
      </c>
      <c r="D170" s="2">
        <v>250</v>
      </c>
      <c r="E170" s="2">
        <v>100</v>
      </c>
      <c r="F170" s="2">
        <v>1072</v>
      </c>
      <c r="G170" s="2">
        <v>0.107105663035089</v>
      </c>
      <c r="P170">
        <f t="shared" si="10"/>
        <v>0.11411907652101295</v>
      </c>
      <c r="Q170">
        <f t="shared" si="11"/>
        <v>4.9187968724539931E-5</v>
      </c>
    </row>
    <row r="171" spans="3:17" x14ac:dyDescent="0.25">
      <c r="C171" s="2">
        <v>125</v>
      </c>
      <c r="D171" s="2">
        <v>250</v>
      </c>
      <c r="E171" s="2">
        <v>150</v>
      </c>
      <c r="F171" s="2">
        <v>1176</v>
      </c>
      <c r="G171" s="2">
        <v>9.7945098523845794E-2</v>
      </c>
      <c r="P171">
        <f t="shared" si="10"/>
        <v>0.10124254723909105</v>
      </c>
      <c r="Q171">
        <f t="shared" si="11"/>
        <v>1.0873168029672618E-5</v>
      </c>
    </row>
    <row r="172" spans="3:17" x14ac:dyDescent="0.25">
      <c r="C172" s="2">
        <v>125</v>
      </c>
      <c r="D172" s="2">
        <v>250</v>
      </c>
      <c r="E172" s="2">
        <v>200</v>
      </c>
      <c r="F172" s="2">
        <v>1297</v>
      </c>
      <c r="G172" s="2">
        <v>8.9053853329226898E-2</v>
      </c>
      <c r="P172">
        <f t="shared" si="10"/>
        <v>8.9200634574384763E-2</v>
      </c>
      <c r="Q172">
        <f t="shared" si="11"/>
        <v>2.1544733930093219E-8</v>
      </c>
    </row>
    <row r="173" spans="3:17" x14ac:dyDescent="0.25">
      <c r="C173" s="2">
        <v>125</v>
      </c>
      <c r="D173" s="2">
        <v>250</v>
      </c>
      <c r="E173" s="2">
        <v>250</v>
      </c>
      <c r="F173" s="2">
        <v>1405</v>
      </c>
      <c r="G173" s="2">
        <v>8.2282747466485701E-2</v>
      </c>
      <c r="P173">
        <f t="shared" si="10"/>
        <v>8.0436565977466457E-2</v>
      </c>
      <c r="Q173">
        <f t="shared" si="11"/>
        <v>3.4083860903973131E-6</v>
      </c>
    </row>
    <row r="174" spans="3:17" x14ac:dyDescent="0.25">
      <c r="C174" s="2">
        <v>125</v>
      </c>
      <c r="D174" s="2">
        <v>250</v>
      </c>
      <c r="E174" s="2">
        <v>300</v>
      </c>
      <c r="F174" s="2">
        <v>1496</v>
      </c>
      <c r="G174" s="2">
        <v>7.7202299609461705E-2</v>
      </c>
      <c r="P174">
        <f t="shared" si="10"/>
        <v>7.4167254627247881E-2</v>
      </c>
      <c r="Q174">
        <f t="shared" si="11"/>
        <v>9.2114980440613166E-6</v>
      </c>
    </row>
    <row r="175" spans="3:17" x14ac:dyDescent="0.25">
      <c r="C175" s="2">
        <v>125</v>
      </c>
      <c r="D175" s="2">
        <v>250</v>
      </c>
      <c r="E175" s="2">
        <v>350</v>
      </c>
      <c r="F175" s="2">
        <v>1582</v>
      </c>
      <c r="G175" s="2">
        <v>7.2853430054492699E-2</v>
      </c>
      <c r="P175">
        <f t="shared" si="10"/>
        <v>6.8996101050652556E-2</v>
      </c>
      <c r="Q175">
        <f t="shared" si="11"/>
        <v>1.487898704386639E-5</v>
      </c>
    </row>
    <row r="176" spans="3:17" x14ac:dyDescent="0.25">
      <c r="C176" s="2">
        <v>125</v>
      </c>
      <c r="D176" s="2">
        <v>250</v>
      </c>
      <c r="E176" s="2">
        <v>400</v>
      </c>
      <c r="F176" s="2">
        <v>1664</v>
      </c>
      <c r="G176" s="2">
        <v>6.9039316510372997E-2</v>
      </c>
      <c r="P176">
        <f t="shared" si="10"/>
        <v>6.4631922865429139E-2</v>
      </c>
      <c r="Q176">
        <f t="shared" si="11"/>
        <v>1.9425118741491504E-5</v>
      </c>
    </row>
    <row r="177" spans="3:17" x14ac:dyDescent="0.25">
      <c r="C177" s="2">
        <v>150</v>
      </c>
      <c r="D177" s="2">
        <v>50</v>
      </c>
      <c r="E177" s="2">
        <v>100</v>
      </c>
      <c r="F177" s="2">
        <v>433</v>
      </c>
      <c r="G177" s="2">
        <v>0.22809095364039</v>
      </c>
      <c r="P177">
        <f t="shared" si="10"/>
        <v>0.23193570182916773</v>
      </c>
      <c r="Q177">
        <f t="shared" si="11"/>
        <v>1.4782088635109594E-5</v>
      </c>
    </row>
    <row r="178" spans="3:17" x14ac:dyDescent="0.25">
      <c r="C178" s="2">
        <v>150</v>
      </c>
      <c r="D178" s="2">
        <v>50</v>
      </c>
      <c r="E178" s="2">
        <v>150</v>
      </c>
      <c r="F178" s="2">
        <v>483</v>
      </c>
      <c r="G178" s="2">
        <v>0.198508424339915</v>
      </c>
      <c r="P178">
        <f t="shared" si="10"/>
        <v>0.20088264164975078</v>
      </c>
      <c r="Q178">
        <f t="shared" si="11"/>
        <v>5.6369078343238482E-6</v>
      </c>
    </row>
    <row r="179" spans="3:17" x14ac:dyDescent="0.25">
      <c r="C179" s="2">
        <v>150</v>
      </c>
      <c r="D179" s="2">
        <v>50</v>
      </c>
      <c r="E179" s="2">
        <v>200</v>
      </c>
      <c r="F179" s="2">
        <v>528</v>
      </c>
      <c r="G179" s="2">
        <v>0.176394936870197</v>
      </c>
      <c r="P179">
        <f t="shared" si="10"/>
        <v>0.17867179150943358</v>
      </c>
      <c r="Q179">
        <f t="shared" si="11"/>
        <v>5.1840670482131151E-6</v>
      </c>
    </row>
    <row r="180" spans="3:17" x14ac:dyDescent="0.25">
      <c r="C180" s="2">
        <v>150</v>
      </c>
      <c r="D180" s="2">
        <v>50</v>
      </c>
      <c r="E180" s="2">
        <v>250</v>
      </c>
      <c r="F180" s="2">
        <v>569</v>
      </c>
      <c r="G180" s="2">
        <v>0.15931273647510499</v>
      </c>
      <c r="P180">
        <f t="shared" si="10"/>
        <v>0.16193316885835521</v>
      </c>
      <c r="Q180">
        <f t="shared" si="11"/>
        <v>6.866665875186403E-6</v>
      </c>
    </row>
    <row r="181" spans="3:17" x14ac:dyDescent="0.25">
      <c r="C181" s="2">
        <v>150</v>
      </c>
      <c r="D181" s="2">
        <v>50</v>
      </c>
      <c r="E181" s="2">
        <v>300</v>
      </c>
      <c r="F181" s="2">
        <v>609</v>
      </c>
      <c r="G181" s="2">
        <v>0.14520325810990101</v>
      </c>
      <c r="P181">
        <f t="shared" si="10"/>
        <v>0.14809028576391023</v>
      </c>
      <c r="Q181">
        <f t="shared" si="11"/>
        <v>8.3349286750139934E-6</v>
      </c>
    </row>
    <row r="182" spans="3:17" x14ac:dyDescent="0.25">
      <c r="C182" s="2">
        <v>150</v>
      </c>
      <c r="D182" s="2">
        <v>50</v>
      </c>
      <c r="E182" s="2">
        <v>350</v>
      </c>
      <c r="F182" s="2">
        <v>646</v>
      </c>
      <c r="G182" s="2">
        <v>0.13382519696905401</v>
      </c>
      <c r="P182">
        <f t="shared" si="10"/>
        <v>0.13703570923729644</v>
      </c>
      <c r="Q182">
        <f t="shared" si="11"/>
        <v>1.0307389024535133E-5</v>
      </c>
    </row>
    <row r="183" spans="3:17" x14ac:dyDescent="0.25">
      <c r="C183" s="2">
        <v>150</v>
      </c>
      <c r="D183" s="2">
        <v>50</v>
      </c>
      <c r="E183" s="2">
        <v>400</v>
      </c>
      <c r="F183" s="2">
        <v>682</v>
      </c>
      <c r="G183" s="2">
        <v>0.124153679311127</v>
      </c>
      <c r="P183">
        <f t="shared" si="10"/>
        <v>0.12760126241958103</v>
      </c>
      <c r="Q183">
        <f t="shared" si="11"/>
        <v>1.1885829289697535E-5</v>
      </c>
    </row>
    <row r="184" spans="3:17" x14ac:dyDescent="0.25">
      <c r="C184" s="2">
        <v>150</v>
      </c>
      <c r="D184" s="2">
        <v>100</v>
      </c>
      <c r="E184" s="2">
        <v>100</v>
      </c>
      <c r="F184" s="2">
        <v>593</v>
      </c>
      <c r="G184" s="2">
        <v>0.165279773852161</v>
      </c>
      <c r="P184">
        <f t="shared" si="10"/>
        <v>0.16677016814182616</v>
      </c>
      <c r="Q184">
        <f t="shared" si="11"/>
        <v>2.2212751386665137E-6</v>
      </c>
    </row>
    <row r="185" spans="3:17" x14ac:dyDescent="0.25">
      <c r="C185" s="2">
        <v>150</v>
      </c>
      <c r="D185" s="2">
        <v>100</v>
      </c>
      <c r="E185" s="2">
        <v>150</v>
      </c>
      <c r="F185" s="2">
        <v>691</v>
      </c>
      <c r="G185" s="2">
        <v>0.13843892422412599</v>
      </c>
      <c r="P185">
        <f t="shared" si="10"/>
        <v>0.13634664001572383</v>
      </c>
      <c r="Q185">
        <f t="shared" si="11"/>
        <v>4.3776532087290388E-6</v>
      </c>
    </row>
    <row r="186" spans="3:17" x14ac:dyDescent="0.25">
      <c r="C186" s="2">
        <v>150</v>
      </c>
      <c r="D186" s="2">
        <v>100</v>
      </c>
      <c r="E186" s="2">
        <v>200</v>
      </c>
      <c r="F186" s="2">
        <v>760</v>
      </c>
      <c r="G186" s="2">
        <v>0.123369165013042</v>
      </c>
      <c r="P186">
        <f t="shared" si="10"/>
        <v>0.12028432391431534</v>
      </c>
      <c r="Q186">
        <f t="shared" si="11"/>
        <v>9.516244604393086E-6</v>
      </c>
    </row>
    <row r="187" spans="3:17" x14ac:dyDescent="0.25">
      <c r="C187" s="2">
        <v>150</v>
      </c>
      <c r="D187" s="2">
        <v>100</v>
      </c>
      <c r="E187" s="2">
        <v>250</v>
      </c>
      <c r="F187" s="2">
        <v>815</v>
      </c>
      <c r="G187" s="2">
        <v>0.11305089069301701</v>
      </c>
      <c r="P187">
        <f t="shared" si="10"/>
        <v>0.10971058582410866</v>
      </c>
      <c r="Q187">
        <f t="shared" si="11"/>
        <v>1.1157636617252831E-5</v>
      </c>
    </row>
    <row r="188" spans="3:17" x14ac:dyDescent="0.25">
      <c r="C188" s="2">
        <v>150</v>
      </c>
      <c r="D188" s="2">
        <v>100</v>
      </c>
      <c r="E188" s="2">
        <v>300</v>
      </c>
      <c r="F188" s="2">
        <v>865</v>
      </c>
      <c r="G188" s="2">
        <v>0.10479476426581399</v>
      </c>
      <c r="P188">
        <f t="shared" si="10"/>
        <v>0.10143669328412737</v>
      </c>
      <c r="Q188">
        <f t="shared" si="11"/>
        <v>1.1276640718045776E-5</v>
      </c>
    </row>
    <row r="189" spans="3:17" x14ac:dyDescent="0.25">
      <c r="C189" s="2">
        <v>150</v>
      </c>
      <c r="D189" s="2">
        <v>100</v>
      </c>
      <c r="E189" s="2">
        <v>350</v>
      </c>
      <c r="F189" s="2">
        <v>911</v>
      </c>
      <c r="G189" s="2">
        <v>9.79752423499404E-2</v>
      </c>
      <c r="P189">
        <f t="shared" si="10"/>
        <v>9.4746134810316726E-2</v>
      </c>
      <c r="Q189">
        <f t="shared" si="11"/>
        <v>1.0427135502454457E-5</v>
      </c>
    </row>
    <row r="190" spans="3:17" x14ac:dyDescent="0.25">
      <c r="C190" s="2">
        <v>150</v>
      </c>
      <c r="D190" s="2">
        <v>100</v>
      </c>
      <c r="E190" s="2">
        <v>400</v>
      </c>
      <c r="F190" s="2">
        <v>955</v>
      </c>
      <c r="G190" s="2">
        <v>9.2081219388995494E-2</v>
      </c>
      <c r="P190">
        <f t="shared" si="10"/>
        <v>8.903986656096341E-2</v>
      </c>
      <c r="Q190">
        <f t="shared" si="11"/>
        <v>9.2498270245787578E-6</v>
      </c>
    </row>
    <row r="191" spans="3:17" x14ac:dyDescent="0.25">
      <c r="C191" s="2">
        <v>150</v>
      </c>
      <c r="D191" s="2">
        <v>150</v>
      </c>
      <c r="E191" s="2">
        <v>100</v>
      </c>
      <c r="F191" s="2">
        <v>725</v>
      </c>
      <c r="G191" s="2">
        <v>0.133690647158971</v>
      </c>
      <c r="P191">
        <f t="shared" si="10"/>
        <v>0.13790863216377761</v>
      </c>
      <c r="Q191">
        <f t="shared" si="11"/>
        <v>1.7791397500773392E-5</v>
      </c>
    </row>
    <row r="192" spans="3:17" x14ac:dyDescent="0.25">
      <c r="C192" s="2">
        <v>150</v>
      </c>
      <c r="D192" s="2">
        <v>150</v>
      </c>
      <c r="E192" s="2">
        <v>150</v>
      </c>
      <c r="F192" s="2">
        <v>863</v>
      </c>
      <c r="G192" s="2">
        <v>0.110670888433369</v>
      </c>
      <c r="P192">
        <f t="shared" si="10"/>
        <v>0.10960212799805467</v>
      </c>
      <c r="Q192">
        <f t="shared" si="11"/>
        <v>1.1422488680932724E-6</v>
      </c>
    </row>
    <row r="193" spans="3:17" x14ac:dyDescent="0.25">
      <c r="C193" s="2">
        <v>150</v>
      </c>
      <c r="D193" s="2">
        <v>150</v>
      </c>
      <c r="E193" s="2">
        <v>200</v>
      </c>
      <c r="F193" s="2">
        <v>962</v>
      </c>
      <c r="G193" s="2">
        <v>9.7930696434916503E-2</v>
      </c>
      <c r="P193">
        <f t="shared" si="10"/>
        <v>9.4980445387998991E-2</v>
      </c>
      <c r="Q193">
        <f t="shared" si="11"/>
        <v>8.7039812398378785E-6</v>
      </c>
    </row>
    <row r="194" spans="3:17" x14ac:dyDescent="0.25">
      <c r="C194" s="2">
        <v>150</v>
      </c>
      <c r="D194" s="2">
        <v>150</v>
      </c>
      <c r="E194" s="2">
        <v>250</v>
      </c>
      <c r="F194" s="2">
        <v>1032</v>
      </c>
      <c r="G194" s="2">
        <v>9.0266639797499604E-2</v>
      </c>
      <c r="P194">
        <f t="shared" si="10"/>
        <v>8.6579426170353094E-2</v>
      </c>
      <c r="Q194">
        <f t="shared" si="11"/>
        <v>1.3595544332214922E-5</v>
      </c>
    </row>
    <row r="195" spans="3:17" x14ac:dyDescent="0.25">
      <c r="C195" s="2">
        <v>150</v>
      </c>
      <c r="D195" s="2">
        <v>150</v>
      </c>
      <c r="E195" s="2">
        <v>300</v>
      </c>
      <c r="F195" s="2">
        <v>1090</v>
      </c>
      <c r="G195" s="2">
        <v>8.45648335994231E-2</v>
      </c>
      <c r="P195">
        <f t="shared" ref="P195:P258" si="12">$T$2*LOG($W$2+$U$2*D195)*(1/F195^($R$2*LOG($S$2*C195+$V$2*D195)))</f>
        <v>8.0557356784787051E-2</v>
      </c>
      <c r="Q195">
        <f t="shared" ref="Q195:Q258" si="13">(G195-P195)^2</f>
        <v>1.6059870419845494E-5</v>
      </c>
    </row>
    <row r="196" spans="3:17" x14ac:dyDescent="0.25">
      <c r="C196" s="2">
        <v>150</v>
      </c>
      <c r="D196" s="2">
        <v>150</v>
      </c>
      <c r="E196" s="2">
        <v>350</v>
      </c>
      <c r="F196" s="2">
        <v>1144</v>
      </c>
      <c r="G196" s="2">
        <v>7.9743951333094504E-2</v>
      </c>
      <c r="P196">
        <f t="shared" si="12"/>
        <v>7.5581919487057211E-2</v>
      </c>
      <c r="Q196">
        <f t="shared" si="13"/>
        <v>1.7322509087428593E-5</v>
      </c>
    </row>
    <row r="197" spans="3:17" x14ac:dyDescent="0.25">
      <c r="C197" s="2">
        <v>150</v>
      </c>
      <c r="D197" s="2">
        <v>150</v>
      </c>
      <c r="E197" s="2">
        <v>400</v>
      </c>
      <c r="F197" s="2">
        <v>1196</v>
      </c>
      <c r="G197" s="2">
        <v>7.5484699692555196E-2</v>
      </c>
      <c r="P197">
        <f t="shared" si="12"/>
        <v>7.1279493945520786E-2</v>
      </c>
      <c r="Q197">
        <f t="shared" si="13"/>
        <v>1.7683755374891231E-5</v>
      </c>
    </row>
    <row r="198" spans="3:17" x14ac:dyDescent="0.25">
      <c r="C198" s="2">
        <v>150</v>
      </c>
      <c r="D198" s="2">
        <v>200</v>
      </c>
      <c r="E198" s="2">
        <v>100</v>
      </c>
      <c r="F198" s="2">
        <v>863</v>
      </c>
      <c r="G198" s="2">
        <v>0.11103672303493101</v>
      </c>
      <c r="P198">
        <f t="shared" si="12"/>
        <v>0.11720222712104413</v>
      </c>
      <c r="Q198">
        <f t="shared" si="13"/>
        <v>3.8013440635877568E-5</v>
      </c>
    </row>
    <row r="199" spans="3:17" x14ac:dyDescent="0.25">
      <c r="C199" s="2">
        <v>150</v>
      </c>
      <c r="D199" s="2">
        <v>200</v>
      </c>
      <c r="E199" s="2">
        <v>150</v>
      </c>
      <c r="F199" s="2">
        <v>997</v>
      </c>
      <c r="G199" s="2">
        <v>9.5821704387671403E-2</v>
      </c>
      <c r="P199">
        <f t="shared" si="12"/>
        <v>9.68705125195157E-2</v>
      </c>
      <c r="Q199">
        <f t="shared" si="13"/>
        <v>1.0999984974227258E-6</v>
      </c>
    </row>
    <row r="200" spans="3:17" x14ac:dyDescent="0.25">
      <c r="C200" s="2">
        <v>150</v>
      </c>
      <c r="D200" s="2">
        <v>200</v>
      </c>
      <c r="E200" s="2">
        <v>200</v>
      </c>
      <c r="F200" s="2">
        <v>1126</v>
      </c>
      <c r="G200" s="2">
        <v>8.43508031124513E-2</v>
      </c>
      <c r="P200">
        <f t="shared" si="12"/>
        <v>8.249692583661726E-2</v>
      </c>
      <c r="Q200">
        <f t="shared" si="13"/>
        <v>3.4368609538538412E-6</v>
      </c>
    </row>
    <row r="201" spans="3:17" x14ac:dyDescent="0.25">
      <c r="C201" s="2">
        <v>150</v>
      </c>
      <c r="D201" s="2">
        <v>200</v>
      </c>
      <c r="E201" s="2">
        <v>250</v>
      </c>
      <c r="F201" s="2">
        <v>1217</v>
      </c>
      <c r="G201" s="2">
        <v>7.7568119921125001E-2</v>
      </c>
      <c r="P201">
        <f t="shared" si="12"/>
        <v>7.4453374863989119E-2</v>
      </c>
      <c r="Q201">
        <f t="shared" si="13"/>
        <v>9.7016367709524061E-6</v>
      </c>
    </row>
    <row r="202" spans="3:17" x14ac:dyDescent="0.25">
      <c r="C202" s="2">
        <v>150</v>
      </c>
      <c r="D202" s="2">
        <v>200</v>
      </c>
      <c r="E202" s="2">
        <v>300</v>
      </c>
      <c r="F202" s="2">
        <v>1290</v>
      </c>
      <c r="G202" s="2">
        <v>7.2733754791537E-2</v>
      </c>
      <c r="P202">
        <f t="shared" si="12"/>
        <v>6.8942839682944637E-2</v>
      </c>
      <c r="Q202">
        <f t="shared" si="13"/>
        <v>1.4371037360553848E-5</v>
      </c>
    </row>
    <row r="203" spans="3:17" x14ac:dyDescent="0.25">
      <c r="C203" s="2">
        <v>150</v>
      </c>
      <c r="D203" s="2">
        <v>200</v>
      </c>
      <c r="E203" s="2">
        <v>350</v>
      </c>
      <c r="F203" s="2">
        <v>1357</v>
      </c>
      <c r="G203" s="2">
        <v>6.8685003545518E-2</v>
      </c>
      <c r="P203">
        <f t="shared" si="12"/>
        <v>6.4485469718834634E-2</v>
      </c>
      <c r="Q203">
        <f t="shared" si="13"/>
        <v>1.7636084361457834E-5</v>
      </c>
    </row>
    <row r="204" spans="3:17" x14ac:dyDescent="0.25">
      <c r="C204" s="2">
        <v>150</v>
      </c>
      <c r="D204" s="2">
        <v>200</v>
      </c>
      <c r="E204" s="2">
        <v>400</v>
      </c>
      <c r="F204" s="2">
        <v>1420</v>
      </c>
      <c r="G204" s="2">
        <v>6.5180161812228701E-2</v>
      </c>
      <c r="P204">
        <f t="shared" si="12"/>
        <v>6.0736025169825056E-2</v>
      </c>
      <c r="Q204">
        <f t="shared" si="13"/>
        <v>1.9750350496354747E-5</v>
      </c>
    </row>
    <row r="205" spans="3:17" x14ac:dyDescent="0.25">
      <c r="C205" s="2">
        <v>150</v>
      </c>
      <c r="D205" s="2">
        <v>250</v>
      </c>
      <c r="E205" s="2">
        <v>100</v>
      </c>
      <c r="F205" s="2">
        <v>1013</v>
      </c>
      <c r="G205" s="2">
        <v>9.4148670014693694E-2</v>
      </c>
      <c r="P205">
        <f t="shared" si="12"/>
        <v>0.10078309557138934</v>
      </c>
      <c r="Q205">
        <f t="shared" si="13"/>
        <v>4.4015602467336352E-5</v>
      </c>
    </row>
    <row r="206" spans="3:17" x14ac:dyDescent="0.25">
      <c r="C206" s="2">
        <v>150</v>
      </c>
      <c r="D206" s="2">
        <v>250</v>
      </c>
      <c r="E206" s="2">
        <v>150</v>
      </c>
      <c r="F206" s="2">
        <v>1126</v>
      </c>
      <c r="G206" s="2">
        <v>8.5013732850146503E-2</v>
      </c>
      <c r="P206">
        <f t="shared" si="12"/>
        <v>8.7637632982806926E-2</v>
      </c>
      <c r="Q206">
        <f t="shared" si="13"/>
        <v>6.8848519061753838E-6</v>
      </c>
    </row>
    <row r="207" spans="3:17" x14ac:dyDescent="0.25">
      <c r="C207" s="2">
        <v>150</v>
      </c>
      <c r="D207" s="2">
        <v>250</v>
      </c>
      <c r="E207" s="2">
        <v>200</v>
      </c>
      <c r="F207" s="2">
        <v>1263</v>
      </c>
      <c r="G207" s="2">
        <v>7.5989953197838106E-2</v>
      </c>
      <c r="P207">
        <f t="shared" si="12"/>
        <v>7.5299479381327056E-2</v>
      </c>
      <c r="Q207">
        <f t="shared" si="13"/>
        <v>4.7675409128733543E-7</v>
      </c>
    </row>
    <row r="208" spans="3:17" x14ac:dyDescent="0.25">
      <c r="C208" s="2">
        <v>150</v>
      </c>
      <c r="D208" s="2">
        <v>250</v>
      </c>
      <c r="E208" s="2">
        <v>250</v>
      </c>
      <c r="F208" s="2">
        <v>1380</v>
      </c>
      <c r="G208" s="2">
        <v>6.9563988611229199E-2</v>
      </c>
      <c r="P208">
        <f t="shared" si="12"/>
        <v>6.6979924256701698E-2</v>
      </c>
      <c r="Q208">
        <f t="shared" si="13"/>
        <v>6.6773885883396334E-6</v>
      </c>
    </row>
    <row r="209" spans="3:17" x14ac:dyDescent="0.25">
      <c r="C209" s="2">
        <v>150</v>
      </c>
      <c r="D209" s="2">
        <v>250</v>
      </c>
      <c r="E209" s="2">
        <v>300</v>
      </c>
      <c r="F209" s="2">
        <v>1472</v>
      </c>
      <c r="G209" s="2">
        <v>6.5138915240534306E-2</v>
      </c>
      <c r="P209">
        <f t="shared" si="12"/>
        <v>6.1504019832650692E-2</v>
      </c>
      <c r="Q209">
        <f t="shared" si="13"/>
        <v>1.321246462625339E-5</v>
      </c>
    </row>
    <row r="210" spans="3:17" x14ac:dyDescent="0.25">
      <c r="C210" s="2">
        <v>150</v>
      </c>
      <c r="D210" s="2">
        <v>250</v>
      </c>
      <c r="E210" s="2">
        <v>350</v>
      </c>
      <c r="F210" s="2">
        <v>1564</v>
      </c>
      <c r="G210" s="2">
        <v>6.11294016358939E-2</v>
      </c>
      <c r="P210">
        <f t="shared" si="12"/>
        <v>5.6768666052857415E-2</v>
      </c>
      <c r="Q210">
        <f t="shared" si="13"/>
        <v>1.9016014825160551E-5</v>
      </c>
    </row>
    <row r="211" spans="3:17" x14ac:dyDescent="0.25">
      <c r="C211" s="2">
        <v>150</v>
      </c>
      <c r="D211" s="2">
        <v>250</v>
      </c>
      <c r="E211" s="2">
        <v>400</v>
      </c>
      <c r="F211" s="2">
        <v>1651</v>
      </c>
      <c r="G211" s="2">
        <v>5.7692084808455897E-2</v>
      </c>
      <c r="P211">
        <f t="shared" si="12"/>
        <v>5.28492459824366E-2</v>
      </c>
      <c r="Q211">
        <f t="shared" si="13"/>
        <v>2.3453087894799959E-5</v>
      </c>
    </row>
    <row r="212" spans="3:17" x14ac:dyDescent="0.25">
      <c r="C212" s="2">
        <v>175</v>
      </c>
      <c r="D212" s="2">
        <v>50</v>
      </c>
      <c r="E212" s="2">
        <v>100</v>
      </c>
      <c r="F212" s="2">
        <v>422</v>
      </c>
      <c r="G212" s="2">
        <v>0.200890085640483</v>
      </c>
      <c r="P212">
        <f t="shared" si="12"/>
        <v>0.20604638401541692</v>
      </c>
      <c r="Q212">
        <f t="shared" si="13"/>
        <v>2.6587412931346192E-5</v>
      </c>
    </row>
    <row r="213" spans="3:17" x14ac:dyDescent="0.25">
      <c r="C213" s="2">
        <v>175</v>
      </c>
      <c r="D213" s="2">
        <v>50</v>
      </c>
      <c r="E213" s="2">
        <v>150</v>
      </c>
      <c r="F213" s="2">
        <v>465</v>
      </c>
      <c r="G213" s="2">
        <v>0.177254862288969</v>
      </c>
      <c r="P213">
        <f t="shared" si="12"/>
        <v>0.18091505859394738</v>
      </c>
      <c r="Q213">
        <f t="shared" si="13"/>
        <v>1.3397036990977388E-5</v>
      </c>
    </row>
    <row r="214" spans="3:17" x14ac:dyDescent="0.25">
      <c r="C214" s="2">
        <v>175</v>
      </c>
      <c r="D214" s="2">
        <v>50</v>
      </c>
      <c r="E214" s="2">
        <v>200</v>
      </c>
      <c r="F214" s="2">
        <v>505</v>
      </c>
      <c r="G214" s="2">
        <v>0.15866622897921201</v>
      </c>
      <c r="P214">
        <f t="shared" si="12"/>
        <v>0.16196922755550497</v>
      </c>
      <c r="Q214">
        <f t="shared" si="13"/>
        <v>1.0909799594993316E-5</v>
      </c>
    </row>
    <row r="215" spans="3:17" x14ac:dyDescent="0.25">
      <c r="C215" s="2">
        <v>175</v>
      </c>
      <c r="D215" s="2">
        <v>50</v>
      </c>
      <c r="E215" s="2">
        <v>250</v>
      </c>
      <c r="F215" s="2">
        <v>544</v>
      </c>
      <c r="G215" s="2">
        <v>0.14338480768741099</v>
      </c>
      <c r="P215">
        <f t="shared" si="12"/>
        <v>0.1465964858568384</v>
      </c>
      <c r="Q215">
        <f t="shared" si="13"/>
        <v>1.0314876663976613E-5</v>
      </c>
    </row>
    <row r="216" spans="3:17" x14ac:dyDescent="0.25">
      <c r="C216" s="2">
        <v>175</v>
      </c>
      <c r="D216" s="2">
        <v>50</v>
      </c>
      <c r="E216" s="2">
        <v>300</v>
      </c>
      <c r="F216" s="2">
        <v>581</v>
      </c>
      <c r="G216" s="2">
        <v>0.13100711400010501</v>
      </c>
      <c r="P216">
        <f t="shared" si="12"/>
        <v>0.13421935382808589</v>
      </c>
      <c r="Q216">
        <f t="shared" si="13"/>
        <v>1.0318484712466658E-5</v>
      </c>
    </row>
    <row r="217" spans="3:17" x14ac:dyDescent="0.25">
      <c r="C217" s="2">
        <v>175</v>
      </c>
      <c r="D217" s="2">
        <v>50</v>
      </c>
      <c r="E217" s="2">
        <v>350</v>
      </c>
      <c r="F217" s="2">
        <v>617</v>
      </c>
      <c r="G217" s="2">
        <v>0.12062741324151501</v>
      </c>
      <c r="P217">
        <f t="shared" si="12"/>
        <v>0.12382701561338647</v>
      </c>
      <c r="Q217">
        <f t="shared" si="13"/>
        <v>1.0237455338085473E-5</v>
      </c>
    </row>
    <row r="218" spans="3:17" x14ac:dyDescent="0.25">
      <c r="C218" s="2">
        <v>175</v>
      </c>
      <c r="D218" s="2">
        <v>50</v>
      </c>
      <c r="E218" s="2">
        <v>400</v>
      </c>
      <c r="F218" s="2">
        <v>652</v>
      </c>
      <c r="G218" s="2">
        <v>0.11182476325093001</v>
      </c>
      <c r="P218">
        <f t="shared" si="12"/>
        <v>0.11499878007762808</v>
      </c>
      <c r="Q218">
        <f t="shared" si="13"/>
        <v>1.0074382816162505E-5</v>
      </c>
    </row>
    <row r="219" spans="3:17" x14ac:dyDescent="0.25">
      <c r="C219" s="2">
        <v>175</v>
      </c>
      <c r="D219" s="2">
        <v>100</v>
      </c>
      <c r="E219" s="2">
        <v>100</v>
      </c>
      <c r="F219" s="2">
        <v>580</v>
      </c>
      <c r="G219" s="2">
        <v>0.144927141197672</v>
      </c>
      <c r="P219">
        <f t="shared" si="12"/>
        <v>0.14649710904880517</v>
      </c>
      <c r="Q219">
        <f t="shared" si="13"/>
        <v>2.4647990535917016E-6</v>
      </c>
    </row>
    <row r="220" spans="3:17" x14ac:dyDescent="0.25">
      <c r="C220" s="2">
        <v>175</v>
      </c>
      <c r="D220" s="2">
        <v>100</v>
      </c>
      <c r="E220" s="2">
        <v>150</v>
      </c>
      <c r="F220" s="2">
        <v>674</v>
      </c>
      <c r="G220" s="2">
        <v>0.121595045040858</v>
      </c>
      <c r="P220">
        <f t="shared" si="12"/>
        <v>0.11975569504333473</v>
      </c>
      <c r="Q220">
        <f t="shared" si="13"/>
        <v>3.3832084133888254E-6</v>
      </c>
    </row>
    <row r="221" spans="3:17" x14ac:dyDescent="0.25">
      <c r="C221" s="2">
        <v>175</v>
      </c>
      <c r="D221" s="2">
        <v>100</v>
      </c>
      <c r="E221" s="2">
        <v>200</v>
      </c>
      <c r="F221" s="2">
        <v>739</v>
      </c>
      <c r="G221" s="2">
        <v>0.108667396474423</v>
      </c>
      <c r="P221">
        <f t="shared" si="12"/>
        <v>0.10583809870699667</v>
      </c>
      <c r="Q221">
        <f t="shared" si="13"/>
        <v>8.0049258567635892E-6</v>
      </c>
    </row>
    <row r="222" spans="3:17" x14ac:dyDescent="0.25">
      <c r="C222" s="2">
        <v>175</v>
      </c>
      <c r="D222" s="2">
        <v>100</v>
      </c>
      <c r="E222" s="2">
        <v>250</v>
      </c>
      <c r="F222" s="2">
        <v>793</v>
      </c>
      <c r="G222" s="2">
        <v>9.9475423054290801E-2</v>
      </c>
      <c r="P222">
        <f t="shared" si="12"/>
        <v>9.6281347998541683E-2</v>
      </c>
      <c r="Q222">
        <f t="shared" si="13"/>
        <v>1.0202115461758733E-5</v>
      </c>
    </row>
    <row r="223" spans="3:17" x14ac:dyDescent="0.25">
      <c r="C223" s="2">
        <v>175</v>
      </c>
      <c r="D223" s="2">
        <v>100</v>
      </c>
      <c r="E223" s="2">
        <v>300</v>
      </c>
      <c r="F223" s="2">
        <v>842</v>
      </c>
      <c r="G223" s="2">
        <v>9.21490305201242E-2</v>
      </c>
      <c r="P223">
        <f t="shared" si="12"/>
        <v>8.8838512821026561E-2</v>
      </c>
      <c r="Q223">
        <f t="shared" si="13"/>
        <v>1.0959527436038732E-5</v>
      </c>
    </row>
    <row r="224" spans="3:17" x14ac:dyDescent="0.25">
      <c r="C224" s="2">
        <v>175</v>
      </c>
      <c r="D224" s="2">
        <v>100</v>
      </c>
      <c r="E224" s="2">
        <v>350</v>
      </c>
      <c r="F224" s="2">
        <v>887</v>
      </c>
      <c r="G224" s="2">
        <v>8.6125929075053703E-2</v>
      </c>
      <c r="P224">
        <f t="shared" si="12"/>
        <v>8.2843702022444343E-2</v>
      </c>
      <c r="Q224">
        <f t="shared" si="13"/>
        <v>1.0773014424880727E-5</v>
      </c>
    </row>
    <row r="225" spans="3:17" x14ac:dyDescent="0.25">
      <c r="C225" s="2">
        <v>175</v>
      </c>
      <c r="D225" s="2">
        <v>100</v>
      </c>
      <c r="E225" s="2">
        <v>400</v>
      </c>
      <c r="F225" s="2">
        <v>931</v>
      </c>
      <c r="G225" s="2">
        <v>8.0827276914478705E-2</v>
      </c>
      <c r="P225">
        <f t="shared" si="12"/>
        <v>7.7632792883809032E-2</v>
      </c>
      <c r="Q225">
        <f t="shared" si="13"/>
        <v>1.0204728222203558E-5</v>
      </c>
    </row>
    <row r="226" spans="3:17" x14ac:dyDescent="0.25">
      <c r="C226" s="2">
        <v>175</v>
      </c>
      <c r="D226" s="2">
        <v>150</v>
      </c>
      <c r="E226" s="2">
        <v>100</v>
      </c>
      <c r="F226" s="2">
        <v>706</v>
      </c>
      <c r="G226" s="2">
        <v>0.11781336099332</v>
      </c>
      <c r="P226">
        <f t="shared" si="12"/>
        <v>0.12142858812815767</v>
      </c>
      <c r="Q226">
        <f t="shared" si="13"/>
        <v>1.306986723646657E-5</v>
      </c>
    </row>
    <row r="227" spans="3:17" x14ac:dyDescent="0.25">
      <c r="C227" s="2">
        <v>175</v>
      </c>
      <c r="D227" s="2">
        <v>150</v>
      </c>
      <c r="E227" s="2">
        <v>150</v>
      </c>
      <c r="F227" s="2">
        <v>852</v>
      </c>
      <c r="G227" s="2">
        <v>9.5908635736797504E-2</v>
      </c>
      <c r="P227">
        <f t="shared" si="12"/>
        <v>9.4333954095240299E-2</v>
      </c>
      <c r="Q227">
        <f t="shared" si="13"/>
        <v>2.4796222722572925E-6</v>
      </c>
    </row>
    <row r="228" spans="3:17" x14ac:dyDescent="0.25">
      <c r="C228" s="2">
        <v>175</v>
      </c>
      <c r="D228" s="2">
        <v>150</v>
      </c>
      <c r="E228" s="2">
        <v>200</v>
      </c>
      <c r="F228" s="2">
        <v>952</v>
      </c>
      <c r="G228" s="2">
        <v>8.4523506034120094E-2</v>
      </c>
      <c r="P228">
        <f t="shared" si="12"/>
        <v>8.1269729005386912E-2</v>
      </c>
      <c r="Q228">
        <f t="shared" si="13"/>
        <v>1.0587064952711733E-5</v>
      </c>
    </row>
    <row r="229" spans="3:17" x14ac:dyDescent="0.25">
      <c r="C229" s="2">
        <v>175</v>
      </c>
      <c r="D229" s="2">
        <v>150</v>
      </c>
      <c r="E229" s="2">
        <v>250</v>
      </c>
      <c r="F229" s="2">
        <v>1020</v>
      </c>
      <c r="G229" s="2">
        <v>7.79674211184051E-2</v>
      </c>
      <c r="P229">
        <f t="shared" si="12"/>
        <v>7.4076741997454273E-2</v>
      </c>
      <c r="Q229">
        <f t="shared" si="13"/>
        <v>1.5137384022202698E-5</v>
      </c>
    </row>
    <row r="230" spans="3:17" x14ac:dyDescent="0.25">
      <c r="C230" s="2">
        <v>175</v>
      </c>
      <c r="D230" s="2">
        <v>150</v>
      </c>
      <c r="E230" s="2">
        <v>300</v>
      </c>
      <c r="F230" s="2">
        <v>1077</v>
      </c>
      <c r="G230" s="2">
        <v>7.3045265247957694E-2</v>
      </c>
      <c r="P230">
        <f t="shared" si="12"/>
        <v>6.8859081561675195E-2</v>
      </c>
      <c r="Q230">
        <f t="shared" si="13"/>
        <v>1.7524133855297733E-5</v>
      </c>
    </row>
    <row r="231" spans="3:17" x14ac:dyDescent="0.25">
      <c r="C231" s="2">
        <v>175</v>
      </c>
      <c r="D231" s="2">
        <v>150</v>
      </c>
      <c r="E231" s="2">
        <v>350</v>
      </c>
      <c r="F231" s="2">
        <v>1130</v>
      </c>
      <c r="G231" s="2">
        <v>6.8896561792026106E-2</v>
      </c>
      <c r="P231">
        <f t="shared" si="12"/>
        <v>6.4556229776231294E-2</v>
      </c>
      <c r="Q231">
        <f t="shared" si="13"/>
        <v>1.8838482007333459E-5</v>
      </c>
    </row>
    <row r="232" spans="3:17" x14ac:dyDescent="0.25">
      <c r="C232" s="2">
        <v>175</v>
      </c>
      <c r="D232" s="2">
        <v>150</v>
      </c>
      <c r="E232" s="2">
        <v>400</v>
      </c>
      <c r="F232" s="2">
        <v>1182</v>
      </c>
      <c r="G232" s="2">
        <v>6.5164055409964297E-2</v>
      </c>
      <c r="P232">
        <f t="shared" si="12"/>
        <v>6.0770542021730489E-2</v>
      </c>
      <c r="Q232">
        <f t="shared" si="13"/>
        <v>1.9302959892589716E-5</v>
      </c>
    </row>
    <row r="233" spans="3:17" x14ac:dyDescent="0.25">
      <c r="C233" s="2">
        <v>175</v>
      </c>
      <c r="D233" s="2">
        <v>200</v>
      </c>
      <c r="E233" s="2">
        <v>100</v>
      </c>
      <c r="F233" s="2">
        <v>832</v>
      </c>
      <c r="G233" s="2">
        <v>9.8752517333901599E-2</v>
      </c>
      <c r="P233">
        <f t="shared" si="12"/>
        <v>0.10430175398583502</v>
      </c>
      <c r="Q233">
        <f t="shared" si="13"/>
        <v>3.0794027419161265E-5</v>
      </c>
    </row>
    <row r="234" spans="3:17" x14ac:dyDescent="0.25">
      <c r="C234" s="2">
        <v>175</v>
      </c>
      <c r="D234" s="2">
        <v>200</v>
      </c>
      <c r="E234" s="2">
        <v>150</v>
      </c>
      <c r="F234" s="2">
        <v>982</v>
      </c>
      <c r="G234" s="2">
        <v>8.3299404972276697E-2</v>
      </c>
      <c r="P234">
        <f t="shared" si="12"/>
        <v>8.3464287030132103E-2</v>
      </c>
      <c r="Q234">
        <f t="shared" si="13"/>
        <v>2.7186093002633488E-8</v>
      </c>
    </row>
    <row r="235" spans="3:17" x14ac:dyDescent="0.25">
      <c r="C235" s="2">
        <v>175</v>
      </c>
      <c r="D235" s="2">
        <v>200</v>
      </c>
      <c r="E235" s="2">
        <v>200</v>
      </c>
      <c r="F235" s="2">
        <v>1120</v>
      </c>
      <c r="G235" s="2">
        <v>7.24451920397641E-2</v>
      </c>
      <c r="P235">
        <f t="shared" si="12"/>
        <v>6.9938884025686099E-2</v>
      </c>
      <c r="Q235">
        <f t="shared" si="13"/>
        <v>6.2815798614316156E-6</v>
      </c>
    </row>
    <row r="236" spans="3:17" x14ac:dyDescent="0.25">
      <c r="C236" s="2">
        <v>175</v>
      </c>
      <c r="D236" s="2">
        <v>200</v>
      </c>
      <c r="E236" s="2">
        <v>250</v>
      </c>
      <c r="F236" s="2">
        <v>1215</v>
      </c>
      <c r="G236" s="2">
        <v>6.6282545486329197E-2</v>
      </c>
      <c r="P236">
        <f t="shared" si="12"/>
        <v>6.268709272073196E-2</v>
      </c>
      <c r="Q236">
        <f t="shared" si="13"/>
        <v>1.2927280589640823E-5</v>
      </c>
    </row>
    <row r="237" spans="3:17" x14ac:dyDescent="0.25">
      <c r="C237" s="2">
        <v>175</v>
      </c>
      <c r="D237" s="2">
        <v>200</v>
      </c>
      <c r="E237" s="2">
        <v>300</v>
      </c>
      <c r="F237" s="2">
        <v>1287</v>
      </c>
      <c r="G237" s="2">
        <v>6.2164298991489599E-2</v>
      </c>
      <c r="P237">
        <f t="shared" si="12"/>
        <v>5.8017844740323517E-2</v>
      </c>
      <c r="Q237">
        <f t="shared" si="13"/>
        <v>1.7193082857013273E-5</v>
      </c>
    </row>
    <row r="238" spans="3:17" x14ac:dyDescent="0.25">
      <c r="C238" s="2">
        <v>175</v>
      </c>
      <c r="D238" s="2">
        <v>200</v>
      </c>
      <c r="E238" s="2">
        <v>350</v>
      </c>
      <c r="F238" s="2">
        <v>1353</v>
      </c>
      <c r="G238" s="2">
        <v>5.87265679830173E-2</v>
      </c>
      <c r="P238">
        <f t="shared" si="12"/>
        <v>5.4244936259171858E-2</v>
      </c>
      <c r="Q238">
        <f t="shared" si="13"/>
        <v>2.0085022908177866E-5</v>
      </c>
    </row>
    <row r="239" spans="3:17" x14ac:dyDescent="0.25">
      <c r="C239" s="2">
        <v>175</v>
      </c>
      <c r="D239" s="2">
        <v>200</v>
      </c>
      <c r="E239" s="2">
        <v>400</v>
      </c>
      <c r="F239" s="2">
        <v>1416</v>
      </c>
      <c r="G239" s="2">
        <v>5.5710943577261703E-2</v>
      </c>
      <c r="P239">
        <f t="shared" si="12"/>
        <v>5.1025088498440313E-2</v>
      </c>
      <c r="Q239">
        <f t="shared" si="13"/>
        <v>2.1957237819716211E-5</v>
      </c>
    </row>
    <row r="240" spans="3:17" x14ac:dyDescent="0.25">
      <c r="C240" s="2">
        <v>175</v>
      </c>
      <c r="D240" s="2">
        <v>250</v>
      </c>
      <c r="E240" s="2">
        <v>100</v>
      </c>
      <c r="F240" s="2">
        <v>967</v>
      </c>
      <c r="G240" s="2">
        <v>8.4358956786500405E-2</v>
      </c>
      <c r="P240">
        <f t="shared" si="12"/>
        <v>9.0671563375260042E-2</v>
      </c>
      <c r="Q240">
        <f t="shared" si="13"/>
        <v>3.9849001944451576E-5</v>
      </c>
    </row>
    <row r="241" spans="3:17" x14ac:dyDescent="0.25">
      <c r="C241" s="2">
        <v>175</v>
      </c>
      <c r="D241" s="2">
        <v>250</v>
      </c>
      <c r="E241" s="2">
        <v>150</v>
      </c>
      <c r="F241" s="2">
        <v>1090</v>
      </c>
      <c r="G241" s="2">
        <v>7.5161031098848502E-2</v>
      </c>
      <c r="P241">
        <f t="shared" si="12"/>
        <v>7.7176753293048517E-2</v>
      </c>
      <c r="Q241">
        <f t="shared" si="13"/>
        <v>4.063135964190522E-6</v>
      </c>
    </row>
    <row r="242" spans="3:17" x14ac:dyDescent="0.25">
      <c r="C242" s="2">
        <v>175</v>
      </c>
      <c r="D242" s="2">
        <v>250</v>
      </c>
      <c r="E242" s="2">
        <v>200</v>
      </c>
      <c r="F242" s="2">
        <v>1246</v>
      </c>
      <c r="G242" s="2">
        <v>6.5865594734021399E-2</v>
      </c>
      <c r="P242">
        <f t="shared" si="12"/>
        <v>6.4461972290290201E-2</v>
      </c>
      <c r="Q242">
        <f t="shared" si="13"/>
        <v>1.9701559645459396E-6</v>
      </c>
    </row>
    <row r="243" spans="3:17" x14ac:dyDescent="0.25">
      <c r="C243" s="2">
        <v>175</v>
      </c>
      <c r="D243" s="2">
        <v>250</v>
      </c>
      <c r="E243" s="2">
        <v>250</v>
      </c>
      <c r="F243" s="2">
        <v>1377</v>
      </c>
      <c r="G243" s="2">
        <v>5.9545914103353102E-2</v>
      </c>
      <c r="P243">
        <f t="shared" si="12"/>
        <v>5.634715539351038E-2</v>
      </c>
      <c r="Q243">
        <f t="shared" si="13"/>
        <v>1.0232057283794678E-5</v>
      </c>
    </row>
    <row r="244" spans="3:17" x14ac:dyDescent="0.25">
      <c r="C244" s="2">
        <v>175</v>
      </c>
      <c r="D244" s="2">
        <v>250</v>
      </c>
      <c r="E244" s="2">
        <v>300</v>
      </c>
      <c r="F244" s="2">
        <v>1482</v>
      </c>
      <c r="G244" s="2">
        <v>5.5199298879709299E-2</v>
      </c>
      <c r="P244">
        <f t="shared" si="12"/>
        <v>5.1041092237661956E-2</v>
      </c>
      <c r="Q244">
        <f t="shared" si="13"/>
        <v>1.7290682477966643E-5</v>
      </c>
    </row>
    <row r="245" spans="3:17" x14ac:dyDescent="0.25">
      <c r="C245" s="2">
        <v>175</v>
      </c>
      <c r="D245" s="2">
        <v>250</v>
      </c>
      <c r="E245" s="2">
        <v>350</v>
      </c>
      <c r="F245" s="2">
        <v>1578</v>
      </c>
      <c r="G245" s="2">
        <v>5.1674498965445598E-2</v>
      </c>
      <c r="P245">
        <f t="shared" si="12"/>
        <v>4.6906552774174118E-2</v>
      </c>
      <c r="Q245">
        <f t="shared" si="13"/>
        <v>2.273331088286021E-5</v>
      </c>
    </row>
    <row r="246" spans="3:17" x14ac:dyDescent="0.25">
      <c r="C246" s="2">
        <v>175</v>
      </c>
      <c r="D246" s="2">
        <v>250</v>
      </c>
      <c r="E246" s="2">
        <v>400</v>
      </c>
      <c r="F246" s="2">
        <v>1660</v>
      </c>
      <c r="G246" s="2">
        <v>4.89092226231796E-2</v>
      </c>
      <c r="P246">
        <f t="shared" si="12"/>
        <v>4.3815038329754134E-2</v>
      </c>
      <c r="Q246">
        <f t="shared" si="13"/>
        <v>2.5950713615382715E-5</v>
      </c>
    </row>
    <row r="247" spans="3:17" x14ac:dyDescent="0.25">
      <c r="C247" s="2">
        <v>200</v>
      </c>
      <c r="D247" s="2">
        <v>50</v>
      </c>
      <c r="E247" s="2">
        <v>100</v>
      </c>
      <c r="F247" s="2">
        <v>413</v>
      </c>
      <c r="G247" s="2">
        <v>0.17983572782744001</v>
      </c>
      <c r="P247">
        <f t="shared" si="12"/>
        <v>0.18594790624657623</v>
      </c>
      <c r="Q247">
        <f t="shared" si="13"/>
        <v>3.7358725027354563E-5</v>
      </c>
    </row>
    <row r="248" spans="3:17" x14ac:dyDescent="0.25">
      <c r="C248" s="2">
        <v>200</v>
      </c>
      <c r="D248" s="2">
        <v>50</v>
      </c>
      <c r="E248" s="2">
        <v>150</v>
      </c>
      <c r="F248" s="2">
        <v>451</v>
      </c>
      <c r="G248" s="2">
        <v>0.160341655320756</v>
      </c>
      <c r="P248">
        <f t="shared" si="12"/>
        <v>0.16493509866877193</v>
      </c>
      <c r="Q248">
        <f t="shared" si="13"/>
        <v>2.1099721791431744E-5</v>
      </c>
    </row>
    <row r="249" spans="3:17" x14ac:dyDescent="0.25">
      <c r="C249" s="2">
        <v>200</v>
      </c>
      <c r="D249" s="2">
        <v>50</v>
      </c>
      <c r="E249" s="2">
        <v>200</v>
      </c>
      <c r="F249" s="2">
        <v>487</v>
      </c>
      <c r="G249" s="2">
        <v>0.14450346176687101</v>
      </c>
      <c r="P249">
        <f t="shared" si="12"/>
        <v>0.14855083988314388</v>
      </c>
      <c r="Q249">
        <f t="shared" si="13"/>
        <v>1.6381269616084529E-5</v>
      </c>
    </row>
    <row r="250" spans="3:17" x14ac:dyDescent="0.25">
      <c r="C250" s="2">
        <v>200</v>
      </c>
      <c r="D250" s="2">
        <v>50</v>
      </c>
      <c r="E250" s="2">
        <v>250</v>
      </c>
      <c r="F250" s="2">
        <v>524</v>
      </c>
      <c r="G250" s="2">
        <v>0.13080471968127</v>
      </c>
      <c r="P250">
        <f t="shared" si="12"/>
        <v>0.13444632100737081</v>
      </c>
      <c r="Q250">
        <f t="shared" si="13"/>
        <v>1.3261260218259159E-5</v>
      </c>
    </row>
    <row r="251" spans="3:17" x14ac:dyDescent="0.25">
      <c r="C251" s="2">
        <v>200</v>
      </c>
      <c r="D251" s="2">
        <v>50</v>
      </c>
      <c r="E251" s="2">
        <v>300</v>
      </c>
      <c r="F251" s="2">
        <v>560</v>
      </c>
      <c r="G251" s="2">
        <v>0.119481171207999</v>
      </c>
      <c r="P251">
        <f t="shared" si="12"/>
        <v>0.12281055087071796</v>
      </c>
      <c r="Q251">
        <f t="shared" si="13"/>
        <v>1.1084768938526592E-5</v>
      </c>
    </row>
    <row r="252" spans="3:17" x14ac:dyDescent="0.25">
      <c r="C252" s="2">
        <v>200</v>
      </c>
      <c r="D252" s="2">
        <v>50</v>
      </c>
      <c r="E252" s="2">
        <v>350</v>
      </c>
      <c r="F252" s="2">
        <v>596</v>
      </c>
      <c r="G252" s="2">
        <v>0.109791092080259</v>
      </c>
      <c r="P252">
        <f t="shared" si="12"/>
        <v>0.11281650697588312</v>
      </c>
      <c r="Q252">
        <f t="shared" si="13"/>
        <v>9.1531352906643089E-6</v>
      </c>
    </row>
    <row r="253" spans="3:17" x14ac:dyDescent="0.25">
      <c r="C253" s="2">
        <v>200</v>
      </c>
      <c r="D253" s="2">
        <v>50</v>
      </c>
      <c r="E253" s="2">
        <v>400</v>
      </c>
      <c r="F253" s="2">
        <v>631</v>
      </c>
      <c r="G253" s="2">
        <v>0.101607083449565</v>
      </c>
      <c r="P253">
        <f t="shared" si="12"/>
        <v>0.10437804711585498</v>
      </c>
      <c r="Q253">
        <f t="shared" si="13"/>
        <v>7.6782396398992228E-6</v>
      </c>
    </row>
    <row r="254" spans="3:17" x14ac:dyDescent="0.25">
      <c r="C254" s="2">
        <v>200</v>
      </c>
      <c r="D254" s="2">
        <v>100</v>
      </c>
      <c r="E254" s="2">
        <v>100</v>
      </c>
      <c r="F254" s="2">
        <v>572</v>
      </c>
      <c r="G254" s="2">
        <v>0.128554635236586</v>
      </c>
      <c r="P254">
        <f t="shared" si="12"/>
        <v>0.13006802017411739</v>
      </c>
      <c r="Q254">
        <f t="shared" si="13"/>
        <v>2.2903339691468965E-6</v>
      </c>
    </row>
    <row r="255" spans="3:17" x14ac:dyDescent="0.25">
      <c r="C255" s="2">
        <v>200</v>
      </c>
      <c r="D255" s="2">
        <v>100</v>
      </c>
      <c r="E255" s="2">
        <v>150</v>
      </c>
      <c r="F255" s="2">
        <v>662</v>
      </c>
      <c r="G255" s="2">
        <v>0.108200153611774</v>
      </c>
      <c r="P255">
        <f t="shared" si="12"/>
        <v>0.106570614367773</v>
      </c>
      <c r="Q255">
        <f t="shared" si="13"/>
        <v>2.6553981477393481E-6</v>
      </c>
    </row>
    <row r="256" spans="3:17" x14ac:dyDescent="0.25">
      <c r="C256" s="2">
        <v>200</v>
      </c>
      <c r="D256" s="2">
        <v>100</v>
      </c>
      <c r="E256" s="2">
        <v>200</v>
      </c>
      <c r="F256" s="2">
        <v>725</v>
      </c>
      <c r="G256" s="2">
        <v>9.6773701835832407E-2</v>
      </c>
      <c r="P256">
        <f t="shared" si="12"/>
        <v>9.4146634726817224E-2</v>
      </c>
      <c r="Q256">
        <f t="shared" si="13"/>
        <v>6.9014815952693888E-6</v>
      </c>
    </row>
    <row r="257" spans="3:17" x14ac:dyDescent="0.25">
      <c r="C257" s="2">
        <v>200</v>
      </c>
      <c r="D257" s="2">
        <v>100</v>
      </c>
      <c r="E257" s="2">
        <v>250</v>
      </c>
      <c r="F257" s="2">
        <v>777</v>
      </c>
      <c r="G257" s="2">
        <v>8.8692327134608701E-2</v>
      </c>
      <c r="P257">
        <f t="shared" si="12"/>
        <v>8.5661434847720333E-2</v>
      </c>
      <c r="Q257">
        <f t="shared" si="13"/>
        <v>9.186308054719398E-6</v>
      </c>
    </row>
    <row r="258" spans="3:17" x14ac:dyDescent="0.25">
      <c r="C258" s="2">
        <v>200</v>
      </c>
      <c r="D258" s="2">
        <v>100</v>
      </c>
      <c r="E258" s="2">
        <v>300</v>
      </c>
      <c r="F258" s="2">
        <v>825</v>
      </c>
      <c r="G258" s="2">
        <v>8.2150042109868093E-2</v>
      </c>
      <c r="P258">
        <f t="shared" si="12"/>
        <v>7.8938404977571583E-2</v>
      </c>
      <c r="Q258">
        <f t="shared" si="13"/>
        <v>1.0314613069545754E-5</v>
      </c>
    </row>
    <row r="259" spans="3:17" x14ac:dyDescent="0.25">
      <c r="C259" s="2">
        <v>200</v>
      </c>
      <c r="D259" s="2">
        <v>100</v>
      </c>
      <c r="E259" s="2">
        <v>350</v>
      </c>
      <c r="F259" s="2">
        <v>871</v>
      </c>
      <c r="G259" s="2">
        <v>7.6579501867751698E-2</v>
      </c>
      <c r="P259">
        <f t="shared" ref="P259:P322" si="14">$T$2*LOG($W$2+$U$2*D259)*(1/F259^($R$2*LOG($S$2*C259+$V$2*D259)))</f>
        <v>7.3309044221309211E-2</v>
      </c>
      <c r="Q259">
        <f t="shared" ref="Q259:Q322" si="15">(G259-P259)^2</f>
        <v>1.0695893217174133E-5</v>
      </c>
    </row>
    <row r="260" spans="3:17" x14ac:dyDescent="0.25">
      <c r="C260" s="2">
        <v>200</v>
      </c>
      <c r="D260" s="2">
        <v>100</v>
      </c>
      <c r="E260" s="2">
        <v>400</v>
      </c>
      <c r="F260" s="2">
        <v>916</v>
      </c>
      <c r="G260" s="2">
        <v>7.1705007259545803E-2</v>
      </c>
      <c r="P260">
        <f t="shared" si="14"/>
        <v>6.8442664830260375E-2</v>
      </c>
      <c r="Q260">
        <f t="shared" si="15"/>
        <v>1.0642878125915948E-5</v>
      </c>
    </row>
    <row r="261" spans="3:17" x14ac:dyDescent="0.25">
      <c r="C261" s="2">
        <v>200</v>
      </c>
      <c r="D261" s="2">
        <v>150</v>
      </c>
      <c r="E261" s="2">
        <v>100</v>
      </c>
      <c r="F261" s="2">
        <v>693</v>
      </c>
      <c r="G261" s="2">
        <v>0.105113399180085</v>
      </c>
      <c r="P261">
        <f t="shared" si="14"/>
        <v>0.1081610937359201</v>
      </c>
      <c r="Q261">
        <f t="shared" si="15"/>
        <v>9.2884421056669305E-6</v>
      </c>
    </row>
    <row r="262" spans="3:17" x14ac:dyDescent="0.25">
      <c r="C262" s="2">
        <v>200</v>
      </c>
      <c r="D262" s="2">
        <v>150</v>
      </c>
      <c r="E262" s="2">
        <v>150</v>
      </c>
      <c r="F262" s="2">
        <v>849</v>
      </c>
      <c r="G262" s="2">
        <v>8.3956917056571503E-2</v>
      </c>
      <c r="P262">
        <f t="shared" si="14"/>
        <v>8.1985662302606496E-2</v>
      </c>
      <c r="Q262">
        <f t="shared" si="15"/>
        <v>3.8858453050296407E-6</v>
      </c>
    </row>
    <row r="263" spans="3:17" x14ac:dyDescent="0.25">
      <c r="C263" s="2">
        <v>200</v>
      </c>
      <c r="D263" s="2">
        <v>150</v>
      </c>
      <c r="E263" s="2">
        <v>200</v>
      </c>
      <c r="F263" s="2">
        <v>949</v>
      </c>
      <c r="G263" s="2">
        <v>7.3841632952220196E-2</v>
      </c>
      <c r="P263">
        <f t="shared" si="14"/>
        <v>7.0427491802547773E-2</v>
      </c>
      <c r="Q263">
        <f t="shared" si="15"/>
        <v>1.1656359789886533E-5</v>
      </c>
    </row>
    <row r="264" spans="3:17" x14ac:dyDescent="0.25">
      <c r="C264" s="2">
        <v>200</v>
      </c>
      <c r="D264" s="2">
        <v>150</v>
      </c>
      <c r="E264" s="2">
        <v>250</v>
      </c>
      <c r="F264" s="2">
        <v>1016</v>
      </c>
      <c r="G264" s="2">
        <v>6.8134180262670693E-2</v>
      </c>
      <c r="P264">
        <f t="shared" si="14"/>
        <v>6.416660782732829E-2</v>
      </c>
      <c r="Q264">
        <f t="shared" si="15"/>
        <v>1.574163102968885E-5</v>
      </c>
    </row>
    <row r="265" spans="3:17" x14ac:dyDescent="0.25">
      <c r="C265" s="2">
        <v>200</v>
      </c>
      <c r="D265" s="2">
        <v>150</v>
      </c>
      <c r="E265" s="2">
        <v>300</v>
      </c>
      <c r="F265" s="2">
        <v>1073</v>
      </c>
      <c r="G265" s="2">
        <v>6.3801608973792903E-2</v>
      </c>
      <c r="P265">
        <f t="shared" si="14"/>
        <v>5.956032862442602E-2</v>
      </c>
      <c r="Q265">
        <f t="shared" si="15"/>
        <v>1.7988459001925665E-5</v>
      </c>
    </row>
    <row r="266" spans="3:17" x14ac:dyDescent="0.25">
      <c r="C266" s="2">
        <v>200</v>
      </c>
      <c r="D266" s="2">
        <v>150</v>
      </c>
      <c r="E266" s="2">
        <v>350</v>
      </c>
      <c r="F266" s="2">
        <v>1126</v>
      </c>
      <c r="G266" s="2">
        <v>6.0150681324776398E-2</v>
      </c>
      <c r="P266">
        <f t="shared" si="14"/>
        <v>5.5767571476762645E-2</v>
      </c>
      <c r="Q266">
        <f t="shared" si="15"/>
        <v>1.9211651939755141E-5</v>
      </c>
    </row>
    <row r="267" spans="3:17" x14ac:dyDescent="0.25">
      <c r="C267" s="2">
        <v>200</v>
      </c>
      <c r="D267" s="2">
        <v>150</v>
      </c>
      <c r="E267" s="2">
        <v>400</v>
      </c>
      <c r="F267" s="2">
        <v>1178</v>
      </c>
      <c r="G267" s="2">
        <v>5.6877652497040403E-2</v>
      </c>
      <c r="P267">
        <f t="shared" si="14"/>
        <v>5.2435313252359068E-2</v>
      </c>
      <c r="Q267">
        <f t="shared" si="15"/>
        <v>1.9734377964835927E-5</v>
      </c>
    </row>
    <row r="268" spans="3:17" x14ac:dyDescent="0.25">
      <c r="C268" s="2">
        <v>200</v>
      </c>
      <c r="D268" s="2">
        <v>200</v>
      </c>
      <c r="E268" s="2">
        <v>100</v>
      </c>
      <c r="F268" s="2">
        <v>807</v>
      </c>
      <c r="G268" s="2">
        <v>8.9154115491133806E-2</v>
      </c>
      <c r="P268">
        <f t="shared" si="14"/>
        <v>9.4202668938871179E-2</v>
      </c>
      <c r="Q268">
        <f t="shared" si="15"/>
        <v>2.5487891914660907E-5</v>
      </c>
    </row>
    <row r="269" spans="3:17" x14ac:dyDescent="0.25">
      <c r="C269" s="2">
        <v>200</v>
      </c>
      <c r="D269" s="2">
        <v>200</v>
      </c>
      <c r="E269" s="2">
        <v>150</v>
      </c>
      <c r="F269" s="2">
        <v>979</v>
      </c>
      <c r="G269" s="2">
        <v>7.2978969139531696E-2</v>
      </c>
      <c r="P269">
        <f t="shared" si="14"/>
        <v>7.2352427603075795E-2</v>
      </c>
      <c r="Q269">
        <f t="shared" si="15"/>
        <v>3.9255429690452216E-7</v>
      </c>
    </row>
    <row r="270" spans="3:17" x14ac:dyDescent="0.25">
      <c r="C270" s="2">
        <v>200</v>
      </c>
      <c r="D270" s="2">
        <v>200</v>
      </c>
      <c r="E270" s="2">
        <v>200</v>
      </c>
      <c r="F270" s="2">
        <v>1131</v>
      </c>
      <c r="G270" s="2">
        <v>6.2458307866353299E-2</v>
      </c>
      <c r="P270">
        <f t="shared" si="14"/>
        <v>5.9407280633189084E-2</v>
      </c>
      <c r="Q270">
        <f t="shared" si="15"/>
        <v>9.3087671775096855E-6</v>
      </c>
    </row>
    <row r="271" spans="3:17" x14ac:dyDescent="0.25">
      <c r="C271" s="2">
        <v>200</v>
      </c>
      <c r="D271" s="2">
        <v>200</v>
      </c>
      <c r="E271" s="2">
        <v>250</v>
      </c>
      <c r="F271" s="2">
        <v>1224</v>
      </c>
      <c r="G271" s="2">
        <v>5.7230121691319802E-2</v>
      </c>
      <c r="P271">
        <f t="shared" si="14"/>
        <v>5.3329091634575047E-2</v>
      </c>
      <c r="Q271">
        <f t="shared" si="15"/>
        <v>1.5218035503625983E-5</v>
      </c>
    </row>
    <row r="272" spans="3:17" x14ac:dyDescent="0.25">
      <c r="C272" s="2">
        <v>200</v>
      </c>
      <c r="D272" s="2">
        <v>200</v>
      </c>
      <c r="E272" s="2">
        <v>300</v>
      </c>
      <c r="F272" s="2">
        <v>1296</v>
      </c>
      <c r="G272" s="2">
        <v>5.3676486016150902E-2</v>
      </c>
      <c r="P272">
        <f t="shared" si="14"/>
        <v>4.9323975425975448E-2</v>
      </c>
      <c r="Q272">
        <f t="shared" si="15"/>
        <v>1.8944348437589481E-5</v>
      </c>
    </row>
    <row r="273" spans="3:17" x14ac:dyDescent="0.25">
      <c r="C273" s="2">
        <v>200</v>
      </c>
      <c r="D273" s="2">
        <v>200</v>
      </c>
      <c r="E273" s="2">
        <v>350</v>
      </c>
      <c r="F273" s="2">
        <v>1363</v>
      </c>
      <c r="G273" s="2">
        <v>5.0657955970559401E-2</v>
      </c>
      <c r="P273">
        <f t="shared" si="14"/>
        <v>4.6042375737802552E-2</v>
      </c>
      <c r="Q273">
        <f t="shared" si="15"/>
        <v>2.1303580885015774E-5</v>
      </c>
    </row>
    <row r="274" spans="3:17" x14ac:dyDescent="0.25">
      <c r="C274" s="2">
        <v>200</v>
      </c>
      <c r="D274" s="2">
        <v>200</v>
      </c>
      <c r="E274" s="2">
        <v>400</v>
      </c>
      <c r="F274" s="2">
        <v>1427</v>
      </c>
      <c r="G274" s="2">
        <v>4.8020997304539098E-2</v>
      </c>
      <c r="P274">
        <f t="shared" si="14"/>
        <v>4.3245233457347806E-2</v>
      </c>
      <c r="Q274">
        <f t="shared" si="15"/>
        <v>2.2807920324139367E-5</v>
      </c>
    </row>
    <row r="275" spans="3:17" x14ac:dyDescent="0.25">
      <c r="C275" s="2">
        <v>200</v>
      </c>
      <c r="D275" s="2">
        <v>250</v>
      </c>
      <c r="E275" s="2">
        <v>100</v>
      </c>
      <c r="F275" s="2">
        <v>929</v>
      </c>
      <c r="G275" s="2">
        <v>7.6741780542789795E-2</v>
      </c>
      <c r="P275">
        <f t="shared" si="14"/>
        <v>8.2799670574083842E-2</v>
      </c>
      <c r="Q275">
        <f t="shared" si="15"/>
        <v>3.669803163125179E-5</v>
      </c>
    </row>
    <row r="276" spans="3:17" x14ac:dyDescent="0.25">
      <c r="C276" s="2">
        <v>200</v>
      </c>
      <c r="D276" s="2">
        <v>250</v>
      </c>
      <c r="E276" s="2">
        <v>150</v>
      </c>
      <c r="F276" s="2">
        <v>1071</v>
      </c>
      <c r="G276" s="2">
        <v>6.6855064675353099E-2</v>
      </c>
      <c r="P276">
        <f t="shared" si="14"/>
        <v>6.8168123224772975E-2</v>
      </c>
      <c r="Q276">
        <f t="shared" si="15"/>
        <v>1.7241227542046303E-6</v>
      </c>
    </row>
    <row r="277" spans="3:17" x14ac:dyDescent="0.25">
      <c r="C277" s="2">
        <v>200</v>
      </c>
      <c r="D277" s="2">
        <v>250</v>
      </c>
      <c r="E277" s="2">
        <v>200</v>
      </c>
      <c r="F277" s="2">
        <v>1252</v>
      </c>
      <c r="G277" s="2">
        <v>5.7207025763242103E-2</v>
      </c>
      <c r="P277">
        <f t="shared" si="14"/>
        <v>5.5064998468011966E-2</v>
      </c>
      <c r="Q277">
        <f t="shared" si="15"/>
        <v>4.5882809335109353E-6</v>
      </c>
    </row>
    <row r="278" spans="3:17" x14ac:dyDescent="0.25">
      <c r="C278" s="2">
        <v>200</v>
      </c>
      <c r="D278" s="2">
        <v>250</v>
      </c>
      <c r="E278" s="2">
        <v>250</v>
      </c>
      <c r="F278" s="2">
        <v>1397</v>
      </c>
      <c r="G278" s="2">
        <v>5.1125564901221901E-2</v>
      </c>
      <c r="P278">
        <f t="shared" si="14"/>
        <v>4.7404033942944533E-2</v>
      </c>
      <c r="Q278">
        <f t="shared" si="15"/>
        <v>1.3849792673416864E-5</v>
      </c>
    </row>
    <row r="279" spans="3:17" x14ac:dyDescent="0.25">
      <c r="C279" s="2">
        <v>200</v>
      </c>
      <c r="D279" s="2">
        <v>250</v>
      </c>
      <c r="E279" s="2">
        <v>300</v>
      </c>
      <c r="F279" s="2">
        <v>1510</v>
      </c>
      <c r="G279" s="2">
        <v>4.7135233983126398E-2</v>
      </c>
      <c r="P279">
        <f t="shared" si="14"/>
        <v>4.2622204491300546E-2</v>
      </c>
      <c r="Q279">
        <f t="shared" si="15"/>
        <v>2.0367435194089912E-5</v>
      </c>
    </row>
    <row r="280" spans="3:17" x14ac:dyDescent="0.25">
      <c r="C280" s="2">
        <v>200</v>
      </c>
      <c r="D280" s="2">
        <v>250</v>
      </c>
      <c r="E280" s="2">
        <v>350</v>
      </c>
      <c r="F280" s="2">
        <v>1599</v>
      </c>
      <c r="G280" s="2">
        <v>4.4334364364483403E-2</v>
      </c>
      <c r="P280">
        <f t="shared" si="14"/>
        <v>3.9412639446335392E-2</v>
      </c>
      <c r="Q280">
        <f t="shared" si="15"/>
        <v>2.4223376169919048E-5</v>
      </c>
    </row>
    <row r="281" spans="3:17" x14ac:dyDescent="0.25">
      <c r="C281" s="2">
        <v>200</v>
      </c>
      <c r="D281" s="2">
        <v>250</v>
      </c>
      <c r="E281" s="2">
        <v>400</v>
      </c>
      <c r="F281" s="2">
        <v>1687</v>
      </c>
      <c r="G281" s="2">
        <v>4.18143716157615E-2</v>
      </c>
      <c r="P281">
        <f t="shared" si="14"/>
        <v>3.662933999999169E-2</v>
      </c>
      <c r="Q281">
        <f t="shared" si="15"/>
        <v>2.6884552856532485E-5</v>
      </c>
    </row>
    <row r="282" spans="3:17" x14ac:dyDescent="0.25">
      <c r="C282" s="2">
        <v>225</v>
      </c>
      <c r="D282" s="2">
        <v>50</v>
      </c>
      <c r="E282" s="2">
        <v>100</v>
      </c>
      <c r="F282" s="2">
        <v>405</v>
      </c>
      <c r="G282" s="2">
        <v>0.1632228117889</v>
      </c>
      <c r="P282">
        <f t="shared" si="14"/>
        <v>0.17009646679045598</v>
      </c>
      <c r="Q282">
        <f t="shared" si="15"/>
        <v>4.7247133080415594E-5</v>
      </c>
    </row>
    <row r="283" spans="3:17" x14ac:dyDescent="0.25">
      <c r="C283" s="2">
        <v>225</v>
      </c>
      <c r="D283" s="2">
        <v>50</v>
      </c>
      <c r="E283" s="2">
        <v>150</v>
      </c>
      <c r="F283" s="2">
        <v>439</v>
      </c>
      <c r="G283" s="2">
        <v>0.14682503977946901</v>
      </c>
      <c r="P283">
        <f t="shared" si="14"/>
        <v>0.15216852625436067</v>
      </c>
      <c r="Q283">
        <f t="shared" si="15"/>
        <v>2.8552847707350124E-5</v>
      </c>
    </row>
    <row r="284" spans="3:17" x14ac:dyDescent="0.25">
      <c r="C284" s="2">
        <v>225</v>
      </c>
      <c r="D284" s="2">
        <v>50</v>
      </c>
      <c r="E284" s="2">
        <v>200</v>
      </c>
      <c r="F284" s="2">
        <v>473</v>
      </c>
      <c r="G284" s="2">
        <v>0.13272562444435501</v>
      </c>
      <c r="P284">
        <f t="shared" si="14"/>
        <v>0.13726645769486001</v>
      </c>
      <c r="Q284">
        <f t="shared" si="15"/>
        <v>2.06191666088918E-5</v>
      </c>
    </row>
    <row r="285" spans="3:17" x14ac:dyDescent="0.25">
      <c r="C285" s="2">
        <v>225</v>
      </c>
      <c r="D285" s="2">
        <v>50</v>
      </c>
      <c r="E285" s="2">
        <v>250</v>
      </c>
      <c r="F285" s="2">
        <v>508</v>
      </c>
      <c r="G285" s="2">
        <v>0.120462998945132</v>
      </c>
      <c r="P285">
        <f t="shared" si="14"/>
        <v>0.12437413964896263</v>
      </c>
      <c r="Q285">
        <f t="shared" si="15"/>
        <v>1.5297021605160724E-5</v>
      </c>
    </row>
    <row r="286" spans="3:17" x14ac:dyDescent="0.25">
      <c r="C286" s="2">
        <v>225</v>
      </c>
      <c r="D286" s="2">
        <v>50</v>
      </c>
      <c r="E286" s="2">
        <v>300</v>
      </c>
      <c r="F286" s="2">
        <v>544</v>
      </c>
      <c r="G286" s="2">
        <v>0.109828747199789</v>
      </c>
      <c r="P286">
        <f t="shared" si="14"/>
        <v>0.11314798365044228</v>
      </c>
      <c r="Q286">
        <f t="shared" si="15"/>
        <v>1.1017330615345396E-5</v>
      </c>
    </row>
    <row r="287" spans="3:17" x14ac:dyDescent="0.25">
      <c r="C287" s="2">
        <v>225</v>
      </c>
      <c r="D287" s="2">
        <v>50</v>
      </c>
      <c r="E287" s="2">
        <v>350</v>
      </c>
      <c r="F287" s="2">
        <v>580</v>
      </c>
      <c r="G287" s="2">
        <v>0.100759320328387</v>
      </c>
      <c r="P287">
        <f t="shared" si="14"/>
        <v>0.10356120143834814</v>
      </c>
      <c r="Q287">
        <f t="shared" si="15"/>
        <v>7.8505377543570888E-6</v>
      </c>
    </row>
    <row r="288" spans="3:17" x14ac:dyDescent="0.25">
      <c r="C288" s="2">
        <v>225</v>
      </c>
      <c r="D288" s="2">
        <v>50</v>
      </c>
      <c r="E288" s="2">
        <v>400</v>
      </c>
      <c r="F288" s="2">
        <v>616</v>
      </c>
      <c r="G288" s="2">
        <v>9.2944044222057903E-2</v>
      </c>
      <c r="P288">
        <f t="shared" si="14"/>
        <v>9.529354543426001E-2</v>
      </c>
      <c r="Q288">
        <f t="shared" si="15"/>
        <v>5.5201559461391702E-6</v>
      </c>
    </row>
    <row r="289" spans="3:17" x14ac:dyDescent="0.25">
      <c r="C289" s="2">
        <v>225</v>
      </c>
      <c r="D289" s="2">
        <v>100</v>
      </c>
      <c r="E289" s="2">
        <v>100</v>
      </c>
      <c r="F289" s="2">
        <v>566</v>
      </c>
      <c r="G289" s="2">
        <v>0.115400625321084</v>
      </c>
      <c r="P289">
        <f t="shared" si="14"/>
        <v>0.11686963460646475</v>
      </c>
      <c r="Q289">
        <f t="shared" si="15"/>
        <v>2.1579882805348735E-6</v>
      </c>
    </row>
    <row r="290" spans="3:17" x14ac:dyDescent="0.25">
      <c r="C290" s="2">
        <v>225</v>
      </c>
      <c r="D290" s="2">
        <v>100</v>
      </c>
      <c r="E290" s="2">
        <v>150</v>
      </c>
      <c r="F290" s="2">
        <v>652</v>
      </c>
      <c r="G290" s="2">
        <v>9.7513329166430102E-2</v>
      </c>
      <c r="P290">
        <f t="shared" si="14"/>
        <v>9.6108403901570189E-2</v>
      </c>
      <c r="Q290">
        <f t="shared" si="15"/>
        <v>1.973814999841697E-6</v>
      </c>
    </row>
    <row r="291" spans="3:17" x14ac:dyDescent="0.25">
      <c r="C291" s="2">
        <v>225</v>
      </c>
      <c r="D291" s="2">
        <v>100</v>
      </c>
      <c r="E291" s="2">
        <v>200</v>
      </c>
      <c r="F291" s="2">
        <v>714</v>
      </c>
      <c r="G291" s="2">
        <v>8.7176829978909104E-2</v>
      </c>
      <c r="P291">
        <f t="shared" si="14"/>
        <v>8.4764372468375399E-2</v>
      </c>
      <c r="Q291">
        <f t="shared" si="15"/>
        <v>5.8199512401304832E-6</v>
      </c>
    </row>
    <row r="292" spans="3:17" x14ac:dyDescent="0.25">
      <c r="C292" s="2">
        <v>225</v>
      </c>
      <c r="D292" s="2">
        <v>100</v>
      </c>
      <c r="E292" s="2">
        <v>250</v>
      </c>
      <c r="F292" s="2">
        <v>766</v>
      </c>
      <c r="G292" s="2">
        <v>7.9783942046344605E-2</v>
      </c>
      <c r="P292">
        <f t="shared" si="14"/>
        <v>7.6912870844268927E-2</v>
      </c>
      <c r="Q292">
        <f t="shared" si="15"/>
        <v>8.2430498473882805E-6</v>
      </c>
    </row>
    <row r="293" spans="3:17" x14ac:dyDescent="0.25">
      <c r="C293" s="2">
        <v>225</v>
      </c>
      <c r="D293" s="2">
        <v>100</v>
      </c>
      <c r="E293" s="2">
        <v>300</v>
      </c>
      <c r="F293" s="2">
        <v>815</v>
      </c>
      <c r="G293" s="2">
        <v>7.3704927259634401E-2</v>
      </c>
      <c r="P293">
        <f t="shared" si="14"/>
        <v>7.059350694279351E-2</v>
      </c>
      <c r="Q293">
        <f t="shared" si="15"/>
        <v>9.6809363880502665E-6</v>
      </c>
    </row>
    <row r="294" spans="3:17" x14ac:dyDescent="0.25">
      <c r="C294" s="2">
        <v>225</v>
      </c>
      <c r="D294" s="2">
        <v>100</v>
      </c>
      <c r="E294" s="2">
        <v>350</v>
      </c>
      <c r="F294" s="2">
        <v>861</v>
      </c>
      <c r="G294" s="2">
        <v>6.86541780369537E-2</v>
      </c>
      <c r="P294">
        <f t="shared" si="14"/>
        <v>6.5432533898016135E-2</v>
      </c>
      <c r="Q294">
        <f t="shared" si="15"/>
        <v>1.0378990957950768E-5</v>
      </c>
    </row>
    <row r="295" spans="3:17" x14ac:dyDescent="0.25">
      <c r="C295" s="2">
        <v>225</v>
      </c>
      <c r="D295" s="2">
        <v>100</v>
      </c>
      <c r="E295" s="2">
        <v>400</v>
      </c>
      <c r="F295" s="2">
        <v>907</v>
      </c>
      <c r="G295" s="2">
        <v>6.4150872139163595E-2</v>
      </c>
      <c r="P295">
        <f t="shared" si="14"/>
        <v>6.0889050655307274E-2</v>
      </c>
      <c r="Q295">
        <f t="shared" si="15"/>
        <v>1.0639479392546653E-5</v>
      </c>
    </row>
    <row r="296" spans="3:17" x14ac:dyDescent="0.25">
      <c r="C296" s="2">
        <v>225</v>
      </c>
      <c r="D296" s="2">
        <v>150</v>
      </c>
      <c r="E296" s="2">
        <v>100</v>
      </c>
      <c r="F296" s="2">
        <v>684</v>
      </c>
      <c r="G296" s="2">
        <v>9.4706499005320993E-2</v>
      </c>
      <c r="P296">
        <f t="shared" si="14"/>
        <v>9.725115699862108E-2</v>
      </c>
      <c r="Q296">
        <f t="shared" si="15"/>
        <v>6.4752843028660248E-6</v>
      </c>
    </row>
    <row r="297" spans="3:17" x14ac:dyDescent="0.25">
      <c r="C297" s="2">
        <v>225</v>
      </c>
      <c r="D297" s="2">
        <v>150</v>
      </c>
      <c r="E297" s="2">
        <v>150</v>
      </c>
      <c r="F297" s="2">
        <v>854</v>
      </c>
      <c r="G297" s="2">
        <v>7.3828365802761503E-2</v>
      </c>
      <c r="P297">
        <f t="shared" si="14"/>
        <v>7.1531949390688812E-2</v>
      </c>
      <c r="Q297">
        <f t="shared" si="15"/>
        <v>5.2735283376368114E-6</v>
      </c>
    </row>
    <row r="298" spans="3:17" x14ac:dyDescent="0.25">
      <c r="C298" s="2">
        <v>225</v>
      </c>
      <c r="D298" s="2">
        <v>150</v>
      </c>
      <c r="E298" s="2">
        <v>200</v>
      </c>
      <c r="F298" s="2">
        <v>955</v>
      </c>
      <c r="G298" s="2">
        <v>6.4787226643209406E-2</v>
      </c>
      <c r="P298">
        <f t="shared" si="14"/>
        <v>6.1281000045905379E-2</v>
      </c>
      <c r="Q298">
        <f t="shared" si="15"/>
        <v>1.2293624951642175E-5</v>
      </c>
    </row>
    <row r="299" spans="3:17" x14ac:dyDescent="0.25">
      <c r="C299" s="2">
        <v>225</v>
      </c>
      <c r="D299" s="2">
        <v>150</v>
      </c>
      <c r="E299" s="2">
        <v>250</v>
      </c>
      <c r="F299" s="2">
        <v>1020</v>
      </c>
      <c r="G299" s="2">
        <v>5.9910907141939501E-2</v>
      </c>
      <c r="P299">
        <f t="shared" si="14"/>
        <v>5.5944241118467304E-2</v>
      </c>
      <c r="Q299">
        <f t="shared" si="15"/>
        <v>1.5734439341768734E-5</v>
      </c>
    </row>
    <row r="300" spans="3:17" x14ac:dyDescent="0.25">
      <c r="C300" s="2">
        <v>225</v>
      </c>
      <c r="D300" s="2">
        <v>150</v>
      </c>
      <c r="E300" s="2">
        <v>300</v>
      </c>
      <c r="F300" s="2">
        <v>1076</v>
      </c>
      <c r="G300" s="2">
        <v>5.6158795236974597E-2</v>
      </c>
      <c r="P300">
        <f t="shared" si="14"/>
        <v>5.1956027835852382E-2</v>
      </c>
      <c r="Q300">
        <f t="shared" si="15"/>
        <v>1.7663253827935575E-5</v>
      </c>
    </row>
    <row r="301" spans="3:17" x14ac:dyDescent="0.25">
      <c r="C301" s="2">
        <v>225</v>
      </c>
      <c r="D301" s="2">
        <v>150</v>
      </c>
      <c r="E301" s="2">
        <v>350</v>
      </c>
      <c r="F301" s="2">
        <v>1130</v>
      </c>
      <c r="G301" s="2">
        <v>5.2889073880072399E-2</v>
      </c>
      <c r="P301">
        <f t="shared" si="14"/>
        <v>4.8552226082990944E-2</v>
      </c>
      <c r="Q301">
        <f t="shared" si="15"/>
        <v>1.8808248815050262E-5</v>
      </c>
    </row>
    <row r="302" spans="3:17" x14ac:dyDescent="0.25">
      <c r="C302" s="2">
        <v>225</v>
      </c>
      <c r="D302" s="2">
        <v>150</v>
      </c>
      <c r="E302" s="2">
        <v>400</v>
      </c>
      <c r="F302" s="2">
        <v>1183</v>
      </c>
      <c r="G302" s="2">
        <v>4.9959683644456701E-2</v>
      </c>
      <c r="P302">
        <f t="shared" si="14"/>
        <v>4.5568429064306401E-2</v>
      </c>
      <c r="Q302">
        <f t="shared" si="15"/>
        <v>1.9283116787690987E-5</v>
      </c>
    </row>
    <row r="303" spans="3:17" x14ac:dyDescent="0.25">
      <c r="C303" s="2">
        <v>225</v>
      </c>
      <c r="D303" s="2">
        <v>200</v>
      </c>
      <c r="E303" s="2">
        <v>100</v>
      </c>
      <c r="F303" s="2">
        <v>790</v>
      </c>
      <c r="G303" s="2">
        <v>8.1012593677994502E-2</v>
      </c>
      <c r="P303">
        <f t="shared" si="14"/>
        <v>8.5496017179688341E-2</v>
      </c>
      <c r="Q303">
        <f t="shared" si="15"/>
        <v>2.0101086295540649E-5</v>
      </c>
    </row>
    <row r="304" spans="3:17" x14ac:dyDescent="0.25">
      <c r="C304" s="2">
        <v>225</v>
      </c>
      <c r="D304" s="2">
        <v>200</v>
      </c>
      <c r="E304" s="2">
        <v>150</v>
      </c>
      <c r="F304" s="2">
        <v>987</v>
      </c>
      <c r="G304" s="2">
        <v>6.4137787378931402E-2</v>
      </c>
      <c r="P304">
        <f t="shared" si="14"/>
        <v>6.2813317274477393E-2</v>
      </c>
      <c r="Q304">
        <f t="shared" si="15"/>
        <v>1.7542210575924139E-6</v>
      </c>
    </row>
    <row r="305" spans="3:17" x14ac:dyDescent="0.25">
      <c r="C305" s="2">
        <v>225</v>
      </c>
      <c r="D305" s="2">
        <v>200</v>
      </c>
      <c r="E305" s="2">
        <v>200</v>
      </c>
      <c r="F305" s="2">
        <v>1160</v>
      </c>
      <c r="G305" s="2">
        <v>5.3695961536582203E-2</v>
      </c>
      <c r="P305">
        <f t="shared" si="14"/>
        <v>5.0225275375960658E-2</v>
      </c>
      <c r="Q305">
        <f t="shared" si="15"/>
        <v>1.2045662425529917E-5</v>
      </c>
    </row>
    <row r="306" spans="3:17" x14ac:dyDescent="0.25">
      <c r="C306" s="2">
        <v>225</v>
      </c>
      <c r="D306" s="2">
        <v>200</v>
      </c>
      <c r="E306" s="2">
        <v>250</v>
      </c>
      <c r="F306" s="2">
        <v>1252</v>
      </c>
      <c r="G306" s="2">
        <v>4.9286838161367898E-2</v>
      </c>
      <c r="P306">
        <f t="shared" si="14"/>
        <v>4.5187888078081558E-2</v>
      </c>
      <c r="Q306">
        <f t="shared" si="15"/>
        <v>1.6801391785273095E-5</v>
      </c>
    </row>
    <row r="307" spans="3:17" x14ac:dyDescent="0.25">
      <c r="C307" s="2">
        <v>225</v>
      </c>
      <c r="D307" s="2">
        <v>200</v>
      </c>
      <c r="E307" s="2">
        <v>300</v>
      </c>
      <c r="F307" s="2">
        <v>1321</v>
      </c>
      <c r="G307" s="2">
        <v>4.6379227850577603E-2</v>
      </c>
      <c r="P307">
        <f t="shared" si="14"/>
        <v>4.1952595793492344E-2</v>
      </c>
      <c r="Q307">
        <f t="shared" si="15"/>
        <v>1.9595071368814881E-5</v>
      </c>
    </row>
    <row r="308" spans="3:17" x14ac:dyDescent="0.25">
      <c r="C308" s="2">
        <v>225</v>
      </c>
      <c r="D308" s="2">
        <v>200</v>
      </c>
      <c r="E308" s="2">
        <v>350</v>
      </c>
      <c r="F308" s="2">
        <v>1386</v>
      </c>
      <c r="G308" s="2">
        <v>4.3877941436159702E-2</v>
      </c>
      <c r="P308">
        <f t="shared" si="14"/>
        <v>3.9252906717954381E-2</v>
      </c>
      <c r="Q308">
        <f t="shared" si="15"/>
        <v>2.1390946144604578E-5</v>
      </c>
    </row>
    <row r="309" spans="3:17" x14ac:dyDescent="0.25">
      <c r="C309" s="2">
        <v>225</v>
      </c>
      <c r="D309" s="2">
        <v>200</v>
      </c>
      <c r="E309" s="2">
        <v>400</v>
      </c>
      <c r="F309" s="2">
        <v>1450</v>
      </c>
      <c r="G309" s="2">
        <v>4.1616273397404598E-2</v>
      </c>
      <c r="P309">
        <f t="shared" si="14"/>
        <v>3.6874283372119614E-2</v>
      </c>
      <c r="Q309">
        <f t="shared" si="15"/>
        <v>2.2486469399902283E-5</v>
      </c>
    </row>
    <row r="310" spans="3:17" x14ac:dyDescent="0.25">
      <c r="C310" s="2">
        <v>225</v>
      </c>
      <c r="D310" s="2">
        <v>250</v>
      </c>
      <c r="E310" s="2">
        <v>100</v>
      </c>
      <c r="F310" s="2">
        <v>901</v>
      </c>
      <c r="G310" s="2">
        <v>7.0298292098654E-2</v>
      </c>
      <c r="P310">
        <f t="shared" si="14"/>
        <v>7.5987414103929299E-2</v>
      </c>
      <c r="Q310">
        <f t="shared" si="15"/>
        <v>3.236610919090764E-5</v>
      </c>
    </row>
    <row r="311" spans="3:17" x14ac:dyDescent="0.25">
      <c r="C311" s="2">
        <v>225</v>
      </c>
      <c r="D311" s="2">
        <v>250</v>
      </c>
      <c r="E311" s="2">
        <v>150</v>
      </c>
      <c r="F311" s="2">
        <v>1056</v>
      </c>
      <c r="G311" s="2">
        <v>6.0227409283321501E-2</v>
      </c>
      <c r="P311">
        <f t="shared" si="14"/>
        <v>6.0982488594354935E-2</v>
      </c>
      <c r="Q311">
        <f t="shared" si="15"/>
        <v>5.7014476595072526E-7</v>
      </c>
    </row>
    <row r="312" spans="3:17" x14ac:dyDescent="0.25">
      <c r="C312" s="2">
        <v>225</v>
      </c>
      <c r="D312" s="2">
        <v>250</v>
      </c>
      <c r="E312" s="2">
        <v>200</v>
      </c>
      <c r="F312" s="2">
        <v>1281</v>
      </c>
      <c r="G312" s="2">
        <v>4.94847364919003E-2</v>
      </c>
      <c r="P312">
        <f t="shared" si="14"/>
        <v>4.6661230779826798E-2</v>
      </c>
      <c r="Q312">
        <f t="shared" si="15"/>
        <v>7.9721845061116889E-6</v>
      </c>
    </row>
    <row r="313" spans="3:17" x14ac:dyDescent="0.25">
      <c r="C313" s="2">
        <v>225</v>
      </c>
      <c r="D313" s="2">
        <v>250</v>
      </c>
      <c r="E313" s="2">
        <v>250</v>
      </c>
      <c r="F313" s="2">
        <v>1450</v>
      </c>
      <c r="G313" s="2">
        <v>4.34630615393767E-2</v>
      </c>
      <c r="P313">
        <f t="shared" si="14"/>
        <v>3.9298273045440806E-2</v>
      </c>
      <c r="Q313">
        <f t="shared" si="15"/>
        <v>1.7345463199220818E-5</v>
      </c>
    </row>
    <row r="314" spans="3:17" x14ac:dyDescent="0.25">
      <c r="C314" s="2">
        <v>225</v>
      </c>
      <c r="D314" s="2">
        <v>250</v>
      </c>
      <c r="E314" s="2">
        <v>300</v>
      </c>
      <c r="F314" s="2">
        <v>1563</v>
      </c>
      <c r="G314" s="2">
        <v>4.0130061288363397E-2</v>
      </c>
      <c r="P314">
        <f t="shared" si="14"/>
        <v>3.5416738938065503E-2</v>
      </c>
      <c r="Q314">
        <f t="shared" si="15"/>
        <v>2.221540757781766E-5</v>
      </c>
    </row>
    <row r="315" spans="3:17" x14ac:dyDescent="0.25">
      <c r="C315" s="2">
        <v>225</v>
      </c>
      <c r="D315" s="2">
        <v>250</v>
      </c>
      <c r="E315" s="2">
        <v>350</v>
      </c>
      <c r="F315" s="2">
        <v>1662</v>
      </c>
      <c r="G315" s="2">
        <v>3.7530425278337103E-2</v>
      </c>
      <c r="P315">
        <f t="shared" si="14"/>
        <v>3.2527163464548051E-2</v>
      </c>
      <c r="Q315">
        <f t="shared" si="15"/>
        <v>2.5032628777319715E-5</v>
      </c>
    </row>
    <row r="316" spans="3:17" x14ac:dyDescent="0.25">
      <c r="C316" s="2">
        <v>225</v>
      </c>
      <c r="D316" s="2">
        <v>250</v>
      </c>
      <c r="E316" s="2">
        <v>400</v>
      </c>
      <c r="F316" s="2">
        <v>1749</v>
      </c>
      <c r="G316" s="2">
        <v>3.5484180345502103E-2</v>
      </c>
      <c r="P316">
        <f t="shared" si="14"/>
        <v>3.0306677147102064E-2</v>
      </c>
      <c r="Q316">
        <f t="shared" si="15"/>
        <v>2.6806539369442637E-5</v>
      </c>
    </row>
    <row r="317" spans="3:17" x14ac:dyDescent="0.25">
      <c r="C317" s="2">
        <v>250</v>
      </c>
      <c r="D317" s="2">
        <v>50</v>
      </c>
      <c r="E317" s="2">
        <v>100</v>
      </c>
      <c r="F317" s="2">
        <v>398</v>
      </c>
      <c r="G317" s="2">
        <v>0.14967025297380601</v>
      </c>
      <c r="P317">
        <f t="shared" si="14"/>
        <v>0.15714042840136125</v>
      </c>
      <c r="Q317">
        <f t="shared" si="15"/>
        <v>5.5803520918450066E-5</v>
      </c>
    </row>
    <row r="318" spans="3:17" x14ac:dyDescent="0.25">
      <c r="C318" s="2">
        <v>250</v>
      </c>
      <c r="D318" s="2">
        <v>50</v>
      </c>
      <c r="E318" s="2">
        <v>150</v>
      </c>
      <c r="F318" s="2">
        <v>429</v>
      </c>
      <c r="G318" s="2">
        <v>0.135577445930716</v>
      </c>
      <c r="P318">
        <f t="shared" si="14"/>
        <v>0.14148812030449459</v>
      </c>
      <c r="Q318">
        <f t="shared" si="15"/>
        <v>3.4936071552843002E-5</v>
      </c>
    </row>
    <row r="319" spans="3:17" x14ac:dyDescent="0.25">
      <c r="C319" s="2">
        <v>250</v>
      </c>
      <c r="D319" s="2">
        <v>50</v>
      </c>
      <c r="E319" s="2">
        <v>200</v>
      </c>
      <c r="F319" s="2">
        <v>461</v>
      </c>
      <c r="G319" s="2">
        <v>0.123013689105128</v>
      </c>
      <c r="P319">
        <f t="shared" si="14"/>
        <v>0.12794207035577126</v>
      </c>
      <c r="Q319">
        <f t="shared" si="15"/>
        <v>2.428894175169208E-5</v>
      </c>
    </row>
    <row r="320" spans="3:17" x14ac:dyDescent="0.25">
      <c r="C320" s="2">
        <v>250</v>
      </c>
      <c r="D320" s="2">
        <v>50</v>
      </c>
      <c r="E320" s="2">
        <v>250</v>
      </c>
      <c r="F320" s="2">
        <v>496</v>
      </c>
      <c r="G320" s="2">
        <v>0.11147204148643</v>
      </c>
      <c r="P320">
        <f t="shared" si="14"/>
        <v>0.1154929299623985</v>
      </c>
      <c r="Q320">
        <f t="shared" si="15"/>
        <v>1.6167544136176295E-5</v>
      </c>
    </row>
    <row r="321" spans="3:17" x14ac:dyDescent="0.25">
      <c r="C321" s="2">
        <v>250</v>
      </c>
      <c r="D321" s="2">
        <v>50</v>
      </c>
      <c r="E321" s="2">
        <v>300</v>
      </c>
      <c r="F321" s="2">
        <v>531</v>
      </c>
      <c r="G321" s="2">
        <v>0.10172441910954599</v>
      </c>
      <c r="P321">
        <f t="shared" si="14"/>
        <v>0.10498568847079638</v>
      </c>
      <c r="Q321">
        <f t="shared" si="15"/>
        <v>1.0635877846630513E-5</v>
      </c>
    </row>
    <row r="322" spans="3:17" x14ac:dyDescent="0.25">
      <c r="C322" s="2">
        <v>250</v>
      </c>
      <c r="D322" s="2">
        <v>50</v>
      </c>
      <c r="E322" s="2">
        <v>350</v>
      </c>
      <c r="F322" s="2">
        <v>568</v>
      </c>
      <c r="G322" s="2">
        <v>9.2987687708645003E-2</v>
      </c>
      <c r="P322">
        <f t="shared" si="14"/>
        <v>9.5544798234825257E-2</v>
      </c>
      <c r="Q322">
        <f t="shared" si="15"/>
        <v>6.5388142431018524E-6</v>
      </c>
    </row>
    <row r="323" spans="3:17" x14ac:dyDescent="0.25">
      <c r="C323" s="2">
        <v>250</v>
      </c>
      <c r="D323" s="2">
        <v>50</v>
      </c>
      <c r="E323" s="2">
        <v>400</v>
      </c>
      <c r="F323" s="2">
        <v>604</v>
      </c>
      <c r="G323" s="2">
        <v>8.5673461170654594E-2</v>
      </c>
      <c r="P323">
        <f t="shared" ref="P323:P351" si="16">$T$2*LOG($W$2+$U$2*D323)*(1/F323^($R$2*LOG($S$2*C323+$V$2*D323)))</f>
        <v>8.767433084246691E-2</v>
      </c>
      <c r="Q323">
        <f t="shared" ref="Q323:Q351" si="17">(G323-P323)^2</f>
        <v>4.0034794435783269E-6</v>
      </c>
    </row>
    <row r="324" spans="3:17" x14ac:dyDescent="0.25">
      <c r="C324" s="2">
        <v>250</v>
      </c>
      <c r="D324" s="2">
        <v>100</v>
      </c>
      <c r="E324" s="2">
        <v>100</v>
      </c>
      <c r="F324" s="2">
        <v>562</v>
      </c>
      <c r="G324" s="2">
        <v>0.104462817483475</v>
      </c>
      <c r="P324">
        <f t="shared" si="16"/>
        <v>0.10587472749580551</v>
      </c>
      <c r="Q324">
        <f t="shared" si="17"/>
        <v>1.9934898829191519E-6</v>
      </c>
    </row>
    <row r="325" spans="3:17" x14ac:dyDescent="0.25">
      <c r="C325" s="2">
        <v>250</v>
      </c>
      <c r="D325" s="2">
        <v>100</v>
      </c>
      <c r="E325" s="2">
        <v>150</v>
      </c>
      <c r="F325" s="2">
        <v>646</v>
      </c>
      <c r="G325" s="2">
        <v>8.8364973094949603E-2</v>
      </c>
      <c r="P325">
        <f t="shared" si="16"/>
        <v>8.7117822657972466E-2</v>
      </c>
      <c r="Q325">
        <f t="shared" si="17"/>
        <v>1.5553842124522649E-6</v>
      </c>
    </row>
    <row r="326" spans="3:17" x14ac:dyDescent="0.25">
      <c r="C326" s="2">
        <v>250</v>
      </c>
      <c r="D326" s="2">
        <v>100</v>
      </c>
      <c r="E326" s="2">
        <v>200</v>
      </c>
      <c r="F326" s="2">
        <v>707</v>
      </c>
      <c r="G326" s="2">
        <v>7.9005007113341102E-2</v>
      </c>
      <c r="P326">
        <f t="shared" si="16"/>
        <v>7.6780589309109873E-2</v>
      </c>
      <c r="Q326">
        <f t="shared" si="17"/>
        <v>4.9480345677808852E-6</v>
      </c>
    </row>
    <row r="327" spans="3:17" x14ac:dyDescent="0.25">
      <c r="C327" s="2">
        <v>250</v>
      </c>
      <c r="D327" s="2">
        <v>100</v>
      </c>
      <c r="E327" s="2">
        <v>250</v>
      </c>
      <c r="F327" s="2">
        <v>759</v>
      </c>
      <c r="G327" s="2">
        <v>7.2218960714118E-2</v>
      </c>
      <c r="P327">
        <f t="shared" si="16"/>
        <v>6.9519224447235628E-2</v>
      </c>
      <c r="Q327">
        <f t="shared" si="17"/>
        <v>7.2885759107199637E-6</v>
      </c>
    </row>
    <row r="328" spans="3:17" x14ac:dyDescent="0.25">
      <c r="C328" s="2">
        <v>250</v>
      </c>
      <c r="D328" s="2">
        <v>100</v>
      </c>
      <c r="E328" s="2">
        <v>300</v>
      </c>
      <c r="F328" s="2">
        <v>808</v>
      </c>
      <c r="G328" s="2">
        <v>6.6663809492366805E-2</v>
      </c>
      <c r="P328">
        <f t="shared" si="16"/>
        <v>6.3690068651159129E-2</v>
      </c>
      <c r="Q328">
        <f t="shared" si="17"/>
        <v>8.8431345906665332E-6</v>
      </c>
    </row>
    <row r="329" spans="3:17" x14ac:dyDescent="0.25">
      <c r="C329" s="2">
        <v>250</v>
      </c>
      <c r="D329" s="2">
        <v>100</v>
      </c>
      <c r="E329" s="2">
        <v>350</v>
      </c>
      <c r="F329" s="2">
        <v>857</v>
      </c>
      <c r="G329" s="2">
        <v>6.1792248496570598E-2</v>
      </c>
      <c r="P329">
        <f t="shared" si="16"/>
        <v>5.8651407731044082E-2</v>
      </c>
      <c r="Q329">
        <f t="shared" si="17"/>
        <v>9.8648807143931913E-6</v>
      </c>
    </row>
    <row r="330" spans="3:17" x14ac:dyDescent="0.25">
      <c r="C330" s="2">
        <v>250</v>
      </c>
      <c r="D330" s="2">
        <v>100</v>
      </c>
      <c r="E330" s="2">
        <v>400</v>
      </c>
      <c r="F330" s="2">
        <v>905</v>
      </c>
      <c r="G330" s="2">
        <v>5.7557441799204002E-2</v>
      </c>
      <c r="P330">
        <f t="shared" si="16"/>
        <v>5.434345597547259E-2</v>
      </c>
      <c r="Q330">
        <f t="shared" si="17"/>
        <v>1.0329704875146484E-5</v>
      </c>
    </row>
    <row r="331" spans="3:17" x14ac:dyDescent="0.25">
      <c r="C331" s="2">
        <v>250</v>
      </c>
      <c r="D331" s="2">
        <v>150</v>
      </c>
      <c r="E331" s="2">
        <v>100</v>
      </c>
      <c r="F331" s="2">
        <v>680</v>
      </c>
      <c r="G331" s="2">
        <v>8.5715192428154702E-2</v>
      </c>
      <c r="P331">
        <f t="shared" si="16"/>
        <v>8.7725009122493577E-2</v>
      </c>
      <c r="Q331">
        <f t="shared" si="17"/>
        <v>4.0393631448432458E-6</v>
      </c>
    </row>
    <row r="332" spans="3:17" x14ac:dyDescent="0.25">
      <c r="C332" s="2">
        <v>250</v>
      </c>
      <c r="D332" s="2">
        <v>150</v>
      </c>
      <c r="E332" s="2">
        <v>150</v>
      </c>
      <c r="F332" s="2">
        <v>870</v>
      </c>
      <c r="G332" s="2">
        <v>6.4705336137552305E-2</v>
      </c>
      <c r="P332">
        <f t="shared" si="16"/>
        <v>6.2119026364838924E-2</v>
      </c>
      <c r="Q332">
        <f t="shared" si="17"/>
        <v>6.6889982404327417E-6</v>
      </c>
    </row>
    <row r="333" spans="3:17" x14ac:dyDescent="0.25">
      <c r="C333" s="2">
        <v>250</v>
      </c>
      <c r="D333" s="2">
        <v>150</v>
      </c>
      <c r="E333" s="2">
        <v>200</v>
      </c>
      <c r="F333" s="2">
        <v>972</v>
      </c>
      <c r="G333" s="2">
        <v>5.6731471209682E-2</v>
      </c>
      <c r="P333">
        <f t="shared" si="16"/>
        <v>5.318398694554094E-2</v>
      </c>
      <c r="Q333">
        <f t="shared" si="17"/>
        <v>1.2584644604328436E-5</v>
      </c>
    </row>
    <row r="334" spans="3:17" x14ac:dyDescent="0.25">
      <c r="C334" s="2">
        <v>250</v>
      </c>
      <c r="D334" s="2">
        <v>150</v>
      </c>
      <c r="E334" s="2">
        <v>250</v>
      </c>
      <c r="F334" s="2">
        <v>1032</v>
      </c>
      <c r="G334" s="2">
        <v>5.2807628064704203E-2</v>
      </c>
      <c r="P334">
        <f t="shared" si="16"/>
        <v>4.8903685705798748E-2</v>
      </c>
      <c r="Q334">
        <f t="shared" si="17"/>
        <v>1.5240765941656284E-5</v>
      </c>
    </row>
    <row r="335" spans="3:17" x14ac:dyDescent="0.25">
      <c r="C335" s="2">
        <v>250</v>
      </c>
      <c r="D335" s="2">
        <v>150</v>
      </c>
      <c r="E335" s="2">
        <v>300</v>
      </c>
      <c r="F335" s="2">
        <v>1088</v>
      </c>
      <c r="G335" s="2">
        <v>4.9519560718863799E-2</v>
      </c>
      <c r="P335">
        <f t="shared" si="16"/>
        <v>4.5414510162037347E-2</v>
      </c>
      <c r="Q335">
        <f t="shared" si="17"/>
        <v>1.6851440074101165E-5</v>
      </c>
    </row>
    <row r="336" spans="3:17" x14ac:dyDescent="0.25">
      <c r="C336" s="2">
        <v>250</v>
      </c>
      <c r="D336" s="2">
        <v>150</v>
      </c>
      <c r="E336" s="2">
        <v>350</v>
      </c>
      <c r="F336" s="2">
        <v>1142</v>
      </c>
      <c r="G336" s="2">
        <v>4.66539996771363E-2</v>
      </c>
      <c r="P336">
        <f t="shared" si="16"/>
        <v>4.24351721689138E-2</v>
      </c>
      <c r="Q336">
        <f t="shared" si="17"/>
        <v>1.7798505544134869E-5</v>
      </c>
    </row>
    <row r="337" spans="3:17" x14ac:dyDescent="0.25">
      <c r="C337" s="2">
        <v>250</v>
      </c>
      <c r="D337" s="2">
        <v>150</v>
      </c>
      <c r="E337" s="2">
        <v>400</v>
      </c>
      <c r="F337" s="2">
        <v>1196</v>
      </c>
      <c r="G337" s="2">
        <v>4.4040693714474097E-2</v>
      </c>
      <c r="P337">
        <f t="shared" si="16"/>
        <v>3.9775812031057199E-2</v>
      </c>
      <c r="Q337">
        <f t="shared" si="17"/>
        <v>1.8189215773544951E-5</v>
      </c>
    </row>
    <row r="338" spans="3:17" x14ac:dyDescent="0.25">
      <c r="C338" s="2">
        <v>250</v>
      </c>
      <c r="D338" s="2">
        <v>200</v>
      </c>
      <c r="E338" s="2">
        <v>100</v>
      </c>
      <c r="F338" s="2">
        <v>778</v>
      </c>
      <c r="G338" s="2">
        <v>7.4088211315058203E-2</v>
      </c>
      <c r="P338">
        <f t="shared" si="16"/>
        <v>7.8010449421046707E-2</v>
      </c>
      <c r="Q338">
        <f t="shared" si="17"/>
        <v>1.5383951760068288E-5</v>
      </c>
    </row>
    <row r="339" spans="3:17" x14ac:dyDescent="0.25">
      <c r="C339" s="2">
        <v>250</v>
      </c>
      <c r="D339" s="2">
        <v>200</v>
      </c>
      <c r="E339" s="2">
        <v>150</v>
      </c>
      <c r="F339" s="2">
        <v>1050</v>
      </c>
      <c r="G339" s="2">
        <v>5.2413000000000001E-2</v>
      </c>
      <c r="P339">
        <f t="shared" si="16"/>
        <v>5.1242996489992039E-2</v>
      </c>
      <c r="Q339">
        <f t="shared" si="17"/>
        <v>1.3689082134309519E-6</v>
      </c>
    </row>
    <row r="340" spans="3:17" x14ac:dyDescent="0.25">
      <c r="C340" s="2">
        <v>250</v>
      </c>
      <c r="D340" s="2">
        <v>200</v>
      </c>
      <c r="E340" s="2">
        <v>200</v>
      </c>
      <c r="F340" s="2">
        <v>1234</v>
      </c>
      <c r="G340" s="2">
        <v>4.4724382813559997E-2</v>
      </c>
      <c r="P340">
        <f t="shared" si="16"/>
        <v>4.0863664436768567E-2</v>
      </c>
      <c r="Q340">
        <f t="shared" si="17"/>
        <v>1.4905146384895058E-5</v>
      </c>
    </row>
    <row r="341" spans="3:17" x14ac:dyDescent="0.25">
      <c r="C341" s="2">
        <v>250</v>
      </c>
      <c r="D341" s="2">
        <v>200</v>
      </c>
      <c r="E341" s="2">
        <v>250</v>
      </c>
      <c r="F341" s="2">
        <v>1303</v>
      </c>
      <c r="G341" s="2">
        <v>4.2057918490825498E-2</v>
      </c>
      <c r="P341">
        <f t="shared" si="16"/>
        <v>3.7863048531145575E-2</v>
      </c>
      <c r="Q341">
        <f t="shared" si="17"/>
        <v>1.7596933978625036E-5</v>
      </c>
    </row>
    <row r="342" spans="3:17" x14ac:dyDescent="0.25">
      <c r="C342" s="2">
        <v>250</v>
      </c>
      <c r="D342" s="2">
        <v>200</v>
      </c>
      <c r="E342" s="2">
        <v>300</v>
      </c>
      <c r="F342" s="2">
        <v>1361</v>
      </c>
      <c r="G342" s="2">
        <v>4.0026933407770297E-2</v>
      </c>
      <c r="P342">
        <f t="shared" si="16"/>
        <v>3.5620806553198985E-2</v>
      </c>
      <c r="Q342">
        <f t="shared" si="17"/>
        <v>1.9413953858574492E-5</v>
      </c>
    </row>
    <row r="343" spans="3:17" x14ac:dyDescent="0.25">
      <c r="C343" s="2">
        <v>250</v>
      </c>
      <c r="D343" s="2">
        <v>200</v>
      </c>
      <c r="E343" s="2">
        <v>350</v>
      </c>
      <c r="F343" s="2">
        <v>1422</v>
      </c>
      <c r="G343" s="2">
        <v>3.8030549842266802E-2</v>
      </c>
      <c r="P343">
        <f t="shared" si="16"/>
        <v>3.3497533704830336E-2</v>
      </c>
      <c r="Q343">
        <f t="shared" si="17"/>
        <v>2.0548235302259414E-5</v>
      </c>
    </row>
    <row r="344" spans="3:17" x14ac:dyDescent="0.25">
      <c r="C344" s="2">
        <v>250</v>
      </c>
      <c r="D344" s="2">
        <v>200</v>
      </c>
      <c r="E344" s="2">
        <v>400</v>
      </c>
      <c r="F344" s="2">
        <v>1490</v>
      </c>
      <c r="G344" s="2">
        <v>3.5985465972886398E-2</v>
      </c>
      <c r="P344">
        <f t="shared" si="16"/>
        <v>3.1374476412987136E-2</v>
      </c>
      <c r="Q344">
        <f t="shared" si="17"/>
        <v>2.1261224721499986E-5</v>
      </c>
    </row>
    <row r="345" spans="3:17" x14ac:dyDescent="0.25">
      <c r="C345" s="2">
        <v>250</v>
      </c>
      <c r="D345" s="2">
        <v>250</v>
      </c>
      <c r="E345" s="2">
        <v>100</v>
      </c>
      <c r="F345" s="2">
        <v>876</v>
      </c>
      <c r="G345" s="2">
        <v>6.5062327915497695E-2</v>
      </c>
      <c r="P345">
        <f t="shared" si="16"/>
        <v>7.0485823460362459E-2</v>
      </c>
      <c r="Q345">
        <f t="shared" si="17"/>
        <v>2.9414303925167951E-5</v>
      </c>
    </row>
    <row r="346" spans="3:17" x14ac:dyDescent="0.25">
      <c r="C346" s="2">
        <v>250</v>
      </c>
      <c r="D346" s="2">
        <v>250</v>
      </c>
      <c r="E346" s="2">
        <v>150</v>
      </c>
      <c r="F346" s="2">
        <v>1058</v>
      </c>
      <c r="G346" s="2">
        <v>5.4046937177899101E-2</v>
      </c>
      <c r="P346">
        <f t="shared" si="16"/>
        <v>5.4089092218558697E-2</v>
      </c>
      <c r="Q346">
        <f t="shared" si="17"/>
        <v>1.7770474530121751E-9</v>
      </c>
    </row>
    <row r="347" spans="3:17" x14ac:dyDescent="0.25">
      <c r="C347" s="2">
        <v>250</v>
      </c>
      <c r="D347" s="2">
        <v>250</v>
      </c>
      <c r="E347" s="2">
        <v>200</v>
      </c>
      <c r="F347" s="2">
        <v>1391</v>
      </c>
      <c r="G347" s="2">
        <v>4.05929735914934E-2</v>
      </c>
      <c r="P347">
        <f t="shared" si="16"/>
        <v>3.6848157465591454E-2</v>
      </c>
      <c r="Q347">
        <f t="shared" si="17"/>
        <v>1.4023647816815265E-5</v>
      </c>
    </row>
    <row r="348" spans="3:17" x14ac:dyDescent="0.25">
      <c r="C348" s="2">
        <v>250</v>
      </c>
      <c r="D348" s="2">
        <v>250</v>
      </c>
      <c r="E348" s="2">
        <v>250</v>
      </c>
      <c r="F348" s="2">
        <v>1595</v>
      </c>
      <c r="G348" s="2">
        <v>3.4102E-2</v>
      </c>
      <c r="P348">
        <f t="shared" si="16"/>
        <v>3.0412409359848298E-2</v>
      </c>
      <c r="Q348">
        <f t="shared" si="17"/>
        <v>1.3613079091895046E-5</v>
      </c>
    </row>
    <row r="349" spans="3:17" x14ac:dyDescent="0.25">
      <c r="C349" s="2">
        <v>250</v>
      </c>
      <c r="D349" s="2">
        <v>250</v>
      </c>
      <c r="E349" s="2">
        <v>300</v>
      </c>
      <c r="F349" s="2">
        <v>1688</v>
      </c>
      <c r="G349" s="2">
        <v>3.2915851553496002E-2</v>
      </c>
      <c r="P349">
        <f t="shared" si="16"/>
        <v>2.8088526371317001E-2</v>
      </c>
      <c r="Q349">
        <f t="shared" si="17"/>
        <v>2.330306841449953E-5</v>
      </c>
    </row>
    <row r="350" spans="3:17" x14ac:dyDescent="0.25">
      <c r="C350" s="2">
        <v>250</v>
      </c>
      <c r="D350" s="2">
        <v>250</v>
      </c>
      <c r="E350" s="2">
        <v>350</v>
      </c>
      <c r="F350" s="2">
        <v>1769</v>
      </c>
      <c r="G350" s="2">
        <v>3.1262902544545598E-2</v>
      </c>
      <c r="P350">
        <f t="shared" si="16"/>
        <v>2.630130548701258E-2</v>
      </c>
      <c r="Q350">
        <f t="shared" si="17"/>
        <v>2.4617445361320303E-5</v>
      </c>
    </row>
    <row r="351" spans="3:17" x14ac:dyDescent="0.25">
      <c r="C351" s="2">
        <v>250</v>
      </c>
      <c r="D351" s="2">
        <v>250</v>
      </c>
      <c r="E351" s="2">
        <v>400</v>
      </c>
      <c r="F351" s="2">
        <v>1857</v>
      </c>
      <c r="G351" s="2">
        <v>2.96128221621389E-2</v>
      </c>
      <c r="P351">
        <f t="shared" si="16"/>
        <v>2.4569910077889199E-2</v>
      </c>
      <c r="Q351">
        <f t="shared" si="17"/>
        <v>2.5430962289471664E-5</v>
      </c>
    </row>
    <row r="353" spans="9:9" x14ac:dyDescent="0.25">
      <c r="I353" s="3"/>
    </row>
  </sheetData>
  <autoFilter ref="C1:G353" xr:uid="{BA87C030-9E72-42B7-AEA2-207F6B11F96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primuszp</dc:creator>
  <cp:lastModifiedBy>Péter Primusz</cp:lastModifiedBy>
  <dcterms:created xsi:type="dcterms:W3CDTF">2022-05-26T10:05:26Z</dcterms:created>
  <dcterms:modified xsi:type="dcterms:W3CDTF">2022-05-26T19:26:35Z</dcterms:modified>
</cp:coreProperties>
</file>